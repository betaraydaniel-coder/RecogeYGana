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Lookups" sheetId="3" state="visible" r:id="rId3"/>
    <sheet name="Units_Owners" sheetId="4" state="visible" r:id="rId4"/>
    <sheet name="Quarterly_Billing_Run" sheetId="5" state="visible" r:id="rId5"/>
    <sheet name="Payments" sheetId="6" state="visible" r:id="rId6"/>
    <sheet name="Ledger" sheetId="7" state="visible" r:id="rId7"/>
    <sheet name="Aging_Report" sheetId="8" state="visible" r:id="rId8"/>
    <sheet name="Invoice_Template" sheetId="9" state="visible" r:id="rId9"/>
    <sheet name="Owner_Statement" sheetId="10" state="visible" r:id="rId10"/>
    <sheet name="Print_Email_Log" sheetId="11" state="visible" r:id="rId11"/>
    <sheet name="Macro_Blueprint" sheetId="12" state="visible" r:id="rId12"/>
  </sheets>
  <definedNames>
    <definedName name="_xlnm._FilterDatabase" localSheetId="3" hidden="1">'Units_Owners'!$A$4:$K$504</definedName>
    <definedName name="_xlnm._FilterDatabase" localSheetId="4" hidden="1">'Quarterly_Billing_Run'!$A$4:$S$504</definedName>
    <definedName name="_xlnm._FilterDatabase" localSheetId="5" hidden="1">'Payments'!$A$4:$K$504</definedName>
    <definedName name="_xlnm._FilterDatabase" localSheetId="6" hidden="1">'Ledger'!$A$4:$J$1004</definedName>
    <definedName name="_xlnm._FilterDatabase" localSheetId="7" hidden="1">'Aging_Report'!$A$4:$H$504</definedName>
    <definedName name="_xlnm.Print_Area" localSheetId="8">'Invoice_Template'!$A$1:$D$32</definedName>
    <definedName name="_xlnm._FilterDatabase" localSheetId="10" hidden="1">'Print_Email_Log'!$A$4:$H$504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$#,##0.00"/>
    <numFmt numFmtId="166" formatCode="$#,##0.00;[Red]-$#,##0.00;0"/>
  </numFmts>
  <fonts count="7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808080"/>
    </font>
    <font>
      <b val="1"/>
      <color rgb="001F4E78"/>
    </font>
    <font>
      <b val="1"/>
    </font>
    <font>
      <b val="1"/>
      <color rgb="00FFFFFF"/>
    </font>
    <font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HOA Quarterly Billing System</t>
        </is>
      </c>
      <c r="B1" s="2" t="n"/>
      <c r="C1" s="2" t="n"/>
      <c r="D1" s="2" t="n"/>
      <c r="E1" s="2" t="n"/>
      <c r="F1" s="2" t="n"/>
    </row>
    <row r="2">
      <c r="A2" s="3" t="inlineStr">
        <is>
          <t>Focused Excel billing database for efficient quarterly HOA or condo assessment billing.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Purpose</t>
        </is>
      </c>
      <c r="B4" s="2" t="n"/>
      <c r="C4" s="2" t="n"/>
      <c r="D4" s="2" t="n"/>
      <c r="E4" s="2" t="n"/>
      <c r="F4" s="2" t="n"/>
    </row>
    <row r="5">
      <c r="A5" s="5" t="inlineStr">
        <is>
          <t>This workbook is designed for one practical task: producing, tracking, and reviewing quarterly HOA billing more efficiently.</t>
        </is>
      </c>
      <c r="B5" s="2" t="n"/>
      <c r="C5" s="2" t="n"/>
      <c r="D5" s="2" t="n"/>
      <c r="E5" s="2" t="n"/>
      <c r="F5" s="2" t="n"/>
    </row>
    <row r="6">
      <c r="A6" s="6" t="n"/>
      <c r="B6" s="6" t="n"/>
      <c r="C6" s="6" t="n"/>
      <c r="D6" s="6" t="n"/>
      <c r="E6" s="6" t="n"/>
      <c r="F6" s="6" t="n"/>
    </row>
    <row r="7">
      <c r="A7" s="4" t="inlineStr">
        <is>
          <t>Recommended quarterly workflow</t>
        </is>
      </c>
      <c r="B7" s="2" t="n"/>
      <c r="C7" s="2" t="n"/>
      <c r="D7" s="2" t="n"/>
      <c r="E7" s="2" t="n"/>
      <c r="F7" s="2" t="n"/>
    </row>
    <row r="8">
      <c r="A8" s="5" t="inlineStr">
        <is>
          <t>1. Update Setup for the year, quarter, billing date, due date, and memo. 2. Update Units_Owners. 3. Review Quarterly_Billing_Run. 4. Use Invoice_Template to print/save invoices. 5. Enter payments in Payments. 6. Review Aging_Report and Ledger.</t>
        </is>
      </c>
      <c r="B8" s="6" t="n"/>
      <c r="C8" s="6" t="n"/>
      <c r="D8" s="6" t="n"/>
      <c r="E8" s="6" t="n"/>
      <c r="F8" s="6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Macro strategy</t>
        </is>
      </c>
      <c r="B10" s="6" t="n"/>
      <c r="C10" s="6" t="n"/>
      <c r="D10" s="6" t="n"/>
      <c r="E10" s="6" t="n"/>
      <c r="F10" s="6" t="n"/>
    </row>
    <row r="11">
      <c r="A11" s="5" t="inlineStr">
        <is>
          <t>This file is macro-free for review and safe opening. The Macro_Blueprint sheet lists the automation I recommend after you approve the layout: generate billing, export PDFs, mark invoices sent, apply late fees, and create statements.</t>
        </is>
      </c>
      <c r="B11" s="2" t="n"/>
      <c r="C11" s="2" t="n"/>
      <c r="D11" s="2" t="n"/>
      <c r="E11" s="2" t="n"/>
      <c r="F11" s="2" t="n"/>
    </row>
    <row r="12">
      <c r="A12" s="6" t="n"/>
      <c r="B12" s="6" t="n"/>
      <c r="C12" s="6" t="n"/>
      <c r="D12" s="6" t="n"/>
      <c r="E12" s="6" t="n"/>
      <c r="F12" s="6" t="n"/>
    </row>
    <row r="13">
      <c r="A13" s="4" t="inlineStr">
        <is>
          <t>Important</t>
        </is>
      </c>
      <c r="B13" s="2" t="n"/>
      <c r="C13" s="2" t="n"/>
      <c r="D13" s="2" t="n"/>
      <c r="E13" s="2" t="n"/>
      <c r="F13" s="2" t="n"/>
    </row>
    <row r="14">
      <c r="A14" s="5" t="inlineStr">
        <is>
          <t>Rows marked SAMPLE are for review only. Replace or delete them before live billing. Review all formulas, amounts, late-fee rules, and collection practices against your HOA documents.</t>
        </is>
      </c>
      <c r="B14" s="6" t="n"/>
      <c r="C14" s="6" t="n"/>
      <c r="D14" s="6" t="n"/>
      <c r="E14" s="6" t="n"/>
      <c r="F14" s="6" t="n"/>
    </row>
    <row r="15">
      <c r="A15" s="2" t="n"/>
      <c r="B15" s="2" t="n"/>
      <c r="C15" s="2" t="n"/>
      <c r="D15" s="2" t="n"/>
      <c r="E15" s="2" t="n"/>
      <c r="F15" s="2" t="n"/>
    </row>
    <row r="16">
      <c r="A16" s="6" t="n"/>
      <c r="B16" s="6" t="n"/>
      <c r="C16" s="6" t="n"/>
      <c r="D16" s="6" t="n"/>
      <c r="E16" s="6" t="n"/>
      <c r="F16" s="6" t="n"/>
    </row>
    <row r="17">
      <c r="A17" s="2" t="n"/>
      <c r="B17" s="2" t="n"/>
      <c r="C17" s="2" t="n"/>
      <c r="D17" s="2" t="n"/>
      <c r="E17" s="2" t="n"/>
      <c r="F17" s="2" t="n"/>
    </row>
    <row r="18">
      <c r="A18" s="4" t="inlineStr">
        <is>
          <t>Primary sheets</t>
        </is>
      </c>
      <c r="B18" s="6" t="n"/>
      <c r="C18" s="6" t="n"/>
      <c r="D18" s="6" t="n"/>
      <c r="E18" s="6" t="n"/>
      <c r="F18" s="6" t="n"/>
    </row>
    <row r="19">
      <c r="A19" s="7" t="inlineStr">
        <is>
          <t>Setup</t>
        </is>
      </c>
      <c r="B19" s="2" t="inlineStr">
        <is>
          <t>Billing cycle control panel.</t>
        </is>
      </c>
      <c r="C19" s="2" t="n"/>
      <c r="D19" s="2" t="n"/>
      <c r="E19" s="2" t="n"/>
      <c r="F19" s="2" t="n"/>
    </row>
    <row r="20">
      <c r="A20" s="7" t="inlineStr">
        <is>
          <t>Units_Owners</t>
        </is>
      </c>
      <c r="B20" s="2" t="inlineStr">
        <is>
          <t>Billing directory and quarterly dues by unit.</t>
        </is>
      </c>
      <c r="C20" s="6" t="n"/>
      <c r="D20" s="6" t="n"/>
      <c r="E20" s="6" t="n"/>
      <c r="F20" s="6" t="n"/>
    </row>
    <row r="21">
      <c r="A21" s="7" t="inlineStr">
        <is>
          <t>Quarterly_Billing_Run</t>
        </is>
      </c>
      <c r="B21" s="2" t="inlineStr">
        <is>
          <t>Invoice rows generated from unit records.</t>
        </is>
      </c>
      <c r="C21" s="2" t="n"/>
      <c r="D21" s="2" t="n"/>
      <c r="E21" s="2" t="n"/>
      <c r="F21" s="2" t="n"/>
    </row>
    <row r="22">
      <c r="A22" s="7" t="inlineStr">
        <is>
          <t>Payments</t>
        </is>
      </c>
      <c r="B22" s="2" t="inlineStr">
        <is>
          <t>Payment entry and reference tracking.</t>
        </is>
      </c>
      <c r="C22" s="6" t="n"/>
      <c r="D22" s="6" t="n"/>
      <c r="E22" s="6" t="n"/>
      <c r="F22" s="6" t="n"/>
    </row>
    <row r="23">
      <c r="A23" s="7" t="inlineStr">
        <is>
          <t>Ledger</t>
        </is>
      </c>
      <c r="B23" s="2" t="inlineStr">
        <is>
          <t>Manual audit ledger for charges, payments, credits, and adjustments.</t>
        </is>
      </c>
      <c r="C23" s="2" t="n"/>
      <c r="D23" s="2" t="n"/>
      <c r="E23" s="2" t="n"/>
      <c r="F23" s="2" t="n"/>
    </row>
    <row r="24">
      <c r="A24" s="7" t="inlineStr">
        <is>
          <t>Invoice_Template</t>
        </is>
      </c>
      <c r="B24" s="2" t="inlineStr">
        <is>
          <t>Printable invoice view selected by invoice number.</t>
        </is>
      </c>
      <c r="C24" s="6" t="n"/>
      <c r="D24" s="6" t="n"/>
      <c r="E24" s="6" t="n"/>
      <c r="F24" s="6" t="n"/>
    </row>
    <row r="25">
      <c r="A25" s="7" t="inlineStr">
        <is>
          <t>Aging_Report</t>
        </is>
      </c>
      <c r="B25" s="2" t="inlineStr">
        <is>
          <t>Open balance and days-past-due review.</t>
        </is>
      </c>
      <c r="C25" s="2" t="n"/>
      <c r="D25" s="2" t="n"/>
      <c r="E25" s="2" t="n"/>
      <c r="F25" s="2" t="n"/>
    </row>
    <row r="26">
      <c r="A26" s="7" t="inlineStr">
        <is>
          <t>Macro_Blueprint</t>
        </is>
      </c>
      <c r="B26" s="2" t="inlineStr">
        <is>
          <t>Recommended automation for a later .xlsm version.</t>
        </is>
      </c>
      <c r="C26" s="6" t="n"/>
      <c r="D26" s="6" t="n"/>
      <c r="E26" s="6" t="n"/>
      <c r="F26" s="6" t="n"/>
    </row>
    <row r="27">
      <c r="A27" s="2" t="n"/>
      <c r="B27" s="2" t="n"/>
      <c r="C27" s="2" t="n"/>
      <c r="D27" s="2" t="n"/>
      <c r="E27" s="2" t="n"/>
      <c r="F27" s="2" t="n"/>
    </row>
    <row r="28">
      <c r="A28" s="6" t="n"/>
      <c r="B28" s="6" t="n"/>
      <c r="C28" s="6" t="n"/>
      <c r="D28" s="6" t="n"/>
      <c r="E28" s="6" t="n"/>
      <c r="F28" s="6" t="n"/>
    </row>
    <row r="29">
      <c r="A29" s="2" t="n"/>
      <c r="B29" s="2" t="n"/>
      <c r="C29" s="2" t="n"/>
      <c r="D29" s="2" t="n"/>
      <c r="E29" s="2" t="n"/>
      <c r="F29" s="2" t="n"/>
    </row>
    <row r="30">
      <c r="A30" s="6" t="n"/>
      <c r="B30" s="6" t="n"/>
      <c r="C30" s="6" t="n"/>
      <c r="D30" s="6" t="n"/>
      <c r="E30" s="6" t="n"/>
      <c r="F30" s="6" t="n"/>
    </row>
  </sheetData>
  <mergeCells count="4">
    <mergeCell ref="A8:F8"/>
    <mergeCell ref="A14:F14"/>
    <mergeCell ref="A11:F11"/>
    <mergeCell ref="A5:F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Billing Setup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Association Name</t>
        </is>
      </c>
      <c r="B4" s="8" t="inlineStr">
        <is>
          <t>Example HOA / Condominium Association</t>
        </is>
      </c>
      <c r="C4" s="2" t="n"/>
      <c r="D4" s="2" t="n"/>
    </row>
    <row r="5">
      <c r="A5" s="4" t="inlineStr">
        <is>
          <t>Billing Year</t>
        </is>
      </c>
      <c r="B5" s="8" t="n">
        <v>2026</v>
      </c>
      <c r="C5" s="2" t="n"/>
      <c r="D5" s="2" t="n"/>
    </row>
    <row r="6">
      <c r="A6" s="4" t="inlineStr">
        <is>
          <t>Quarter</t>
        </is>
      </c>
      <c r="B6" s="8" t="inlineStr">
        <is>
          <t>Q1</t>
        </is>
      </c>
      <c r="C6" s="6" t="n"/>
      <c r="D6" s="6" t="n"/>
    </row>
    <row r="7">
      <c r="A7" s="4" t="inlineStr">
        <is>
          <t>Billing Date</t>
        </is>
      </c>
      <c r="B7" s="9" t="inlineStr">
        <is>
          <t>1/1/2026</t>
        </is>
      </c>
      <c r="C7" s="2" t="n"/>
      <c r="D7" s="2" t="n"/>
    </row>
    <row r="8">
      <c r="A8" s="4" t="inlineStr">
        <is>
          <t>Due Date</t>
        </is>
      </c>
      <c r="B8" s="9" t="inlineStr">
        <is>
          <t>1/31/2026</t>
        </is>
      </c>
      <c r="C8" s="6" t="n"/>
      <c r="D8" s="6" t="n"/>
    </row>
    <row r="9">
      <c r="A9" s="4" t="inlineStr">
        <is>
          <t>Late Fee Date</t>
        </is>
      </c>
      <c r="B9" s="9" t="inlineStr">
        <is>
          <t>2/1/2026</t>
        </is>
      </c>
      <c r="C9" s="2" t="n"/>
      <c r="D9" s="2" t="n"/>
    </row>
    <row r="10">
      <c r="A10" s="4" t="inlineStr">
        <is>
          <t>Standard Quarterly Dues</t>
        </is>
      </c>
      <c r="B10" s="10" t="n">
        <v>350</v>
      </c>
      <c r="C10" s="6" t="n"/>
      <c r="D10" s="6" t="n"/>
    </row>
    <row r="11">
      <c r="A11" s="4" t="inlineStr">
        <is>
          <t>Default Special Assessment</t>
        </is>
      </c>
      <c r="B11" s="10" t="n">
        <v>0</v>
      </c>
      <c r="C11" s="2" t="n"/>
      <c r="D11" s="2" t="n"/>
    </row>
    <row r="12">
      <c r="A12" s="4" t="inlineStr">
        <is>
          <t>Late Fee Amount</t>
        </is>
      </c>
      <c r="B12" s="10" t="n">
        <v>25</v>
      </c>
      <c r="C12" s="6" t="n"/>
      <c r="D12" s="6" t="n"/>
    </row>
    <row r="13">
      <c r="A13" s="4" t="inlineStr">
        <is>
          <t>Payment Instructions</t>
        </is>
      </c>
      <c r="B13" s="8" t="inlineStr">
        <is>
          <t>Pay by check, ACH, or approved online payment method.</t>
        </is>
      </c>
      <c r="C13" s="2" t="n"/>
      <c r="D13" s="2" t="n"/>
    </row>
    <row r="14">
      <c r="A14" s="4" t="inlineStr">
        <is>
          <t>Invoice Memo</t>
        </is>
      </c>
      <c r="B14" s="8" t="inlineStr">
        <is>
          <t>Quarterly assessment invoice. Please pay by the due date to avoid late fees.</t>
        </is>
      </c>
      <c r="C14" s="6" t="n"/>
      <c r="D14" s="6" t="n"/>
    </row>
    <row r="15">
      <c r="A15" s="4" t="inlineStr">
        <is>
          <t>Next Invoice Sequence</t>
        </is>
      </c>
      <c r="B15" s="8" t="n">
        <v>1</v>
      </c>
      <c r="C15" s="2" t="n"/>
      <c r="D15" s="2" t="n"/>
    </row>
    <row r="16">
      <c r="A16" s="6" t="n"/>
      <c r="B16" s="6" t="n"/>
      <c r="C16" s="6" t="n"/>
      <c r="D16" s="6" t="n"/>
    </row>
    <row r="17">
      <c r="A17" s="2" t="n"/>
      <c r="B17" s="2" t="n"/>
      <c r="C17" s="2" t="n"/>
      <c r="D17" s="2" t="n"/>
    </row>
    <row r="18">
      <c r="A18" s="6" t="n"/>
      <c r="B18" s="6" t="n"/>
      <c r="C18" s="6" t="n"/>
      <c r="D18" s="6" t="n"/>
    </row>
    <row r="19">
      <c r="A19" s="2" t="n"/>
      <c r="B19" s="2" t="n"/>
      <c r="C19" s="2" t="n"/>
      <c r="D19" s="2" t="n"/>
    </row>
    <row r="20">
      <c r="A20" s="6" t="n"/>
      <c r="B20" s="6" t="n"/>
      <c r="C20" s="6" t="n"/>
      <c r="D20" s="6" t="n"/>
    </row>
    <row r="21">
      <c r="A21" s="2" t="n"/>
      <c r="B21" s="2" t="n"/>
      <c r="C21" s="2" t="n"/>
      <c r="D21" s="2" t="n"/>
    </row>
    <row r="22">
      <c r="A22" s="6" t="n"/>
      <c r="B22" s="6" t="n"/>
      <c r="C22" s="6" t="n"/>
      <c r="D22" s="6" t="n"/>
    </row>
    <row r="23">
      <c r="A23" s="2" t="n"/>
      <c r="B23" s="2" t="n"/>
      <c r="C23" s="2" t="n"/>
      <c r="D23" s="2" t="n"/>
    </row>
    <row r="24">
      <c r="A24" s="6" t="n"/>
      <c r="B24" s="6" t="n"/>
      <c r="C24" s="6" t="n"/>
      <c r="D24" s="6" t="n"/>
    </row>
    <row r="25">
      <c r="A25" s="2" t="n"/>
      <c r="B25" s="2" t="n"/>
      <c r="C25" s="2" t="n"/>
      <c r="D25" s="2" t="n"/>
    </row>
    <row r="26">
      <c r="A26" s="6" t="n"/>
      <c r="B26" s="6" t="n"/>
      <c r="C26" s="6" t="n"/>
      <c r="D26" s="6" t="n"/>
    </row>
    <row r="27">
      <c r="A27" s="2" t="n"/>
      <c r="B27" s="2" t="n"/>
      <c r="C27" s="2" t="n"/>
      <c r="D27" s="2" t="n"/>
    </row>
    <row r="28">
      <c r="A28" s="6" t="n"/>
      <c r="B28" s="6" t="n"/>
      <c r="C28" s="6" t="n"/>
      <c r="D28" s="6" t="n"/>
    </row>
    <row r="29">
      <c r="A29" s="2" t="n"/>
      <c r="B29" s="2" t="n"/>
      <c r="C29" s="2" t="n"/>
      <c r="D29" s="2" t="n"/>
    </row>
    <row r="30">
      <c r="A30" s="6" t="n"/>
      <c r="B30" s="6" t="n"/>
      <c r="C30" s="6" t="n"/>
      <c r="D30" s="6" t="n"/>
    </row>
  </sheetData>
  <dataValidations count="1">
    <dataValidation sqref="B6" showDropDown="0" showInputMessage="0" showErrorMessage="0" allowBlank="1" type="list">
      <formula1>"Q1,Q2,Q3,Q4"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</cols>
  <sheetData>
    <row r="1">
      <c r="A1" s="1" t="inlineStr">
        <is>
          <t>Dropdown Values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1" t="inlineStr">
        <is>
          <t>Quarter</t>
        </is>
      </c>
      <c r="B4" s="11" t="inlineStr">
        <is>
          <t>Billing Preference</t>
        </is>
      </c>
      <c r="C4" s="11" t="inlineStr">
        <is>
          <t>Yes/No</t>
        </is>
      </c>
      <c r="D4" s="11" t="inlineStr">
        <is>
          <t>Invoice Status</t>
        </is>
      </c>
      <c r="E4" s="11" t="inlineStr">
        <is>
          <t>Payment Method</t>
        </is>
      </c>
      <c r="F4" s="11" t="inlineStr">
        <is>
          <t>Receipt Sent</t>
        </is>
      </c>
      <c r="G4" s="11" t="inlineStr">
        <is>
          <t>Ledger Type</t>
        </is>
      </c>
      <c r="H4" s="11" t="inlineStr">
        <is>
          <t>Delivery Status</t>
        </is>
      </c>
    </row>
    <row r="5">
      <c r="A5" s="2" t="inlineStr">
        <is>
          <t>Q1</t>
        </is>
      </c>
      <c r="B5" s="2" t="inlineStr">
        <is>
          <t>Email</t>
        </is>
      </c>
      <c r="C5" s="2" t="inlineStr">
        <is>
          <t>Yes</t>
        </is>
      </c>
      <c r="D5" s="2" t="inlineStr">
        <is>
          <t>Draft</t>
        </is>
      </c>
      <c r="E5" s="2" t="inlineStr">
        <is>
          <t>ACH</t>
        </is>
      </c>
      <c r="F5" s="2" t="inlineStr">
        <is>
          <t>Yes</t>
        </is>
      </c>
      <c r="G5" s="2" t="inlineStr">
        <is>
          <t>Charge</t>
        </is>
      </c>
      <c r="H5" s="2" t="inlineStr">
        <is>
          <t>Not Sent</t>
        </is>
      </c>
    </row>
    <row r="6">
      <c r="A6" s="2" t="inlineStr">
        <is>
          <t>Q2</t>
        </is>
      </c>
      <c r="B6" s="2" t="inlineStr">
        <is>
          <t>Mail</t>
        </is>
      </c>
      <c r="C6" s="2" t="inlineStr">
        <is>
          <t>No</t>
        </is>
      </c>
      <c r="D6" s="2" t="inlineStr">
        <is>
          <t>Open</t>
        </is>
      </c>
      <c r="E6" s="2" t="inlineStr">
        <is>
          <t>Check</t>
        </is>
      </c>
      <c r="F6" s="2" t="inlineStr">
        <is>
          <t>No</t>
        </is>
      </c>
      <c r="G6" s="2" t="inlineStr">
        <is>
          <t>Payment</t>
        </is>
      </c>
      <c r="H6" s="2" t="inlineStr">
        <is>
          <t>Sent</t>
        </is>
      </c>
    </row>
    <row r="7">
      <c r="A7" s="2" t="inlineStr">
        <is>
          <t>Q3</t>
        </is>
      </c>
      <c r="B7" s="2" t="inlineStr">
        <is>
          <t>Both</t>
        </is>
      </c>
      <c r="C7" s="2" t="n"/>
      <c r="D7" s="2" t="inlineStr">
        <is>
          <t>Sent</t>
        </is>
      </c>
      <c r="E7" s="2" t="inlineStr">
        <is>
          <t>Credit Card</t>
        </is>
      </c>
      <c r="F7" s="2" t="inlineStr">
        <is>
          <t>N/A</t>
        </is>
      </c>
      <c r="G7" s="2" t="inlineStr">
        <is>
          <t>Adjustment</t>
        </is>
      </c>
      <c r="H7" s="2" t="inlineStr">
        <is>
          <t>Delivered</t>
        </is>
      </c>
    </row>
    <row r="8">
      <c r="A8" s="2" t="inlineStr">
        <is>
          <t>Q4</t>
        </is>
      </c>
      <c r="B8" s="2" t="inlineStr">
        <is>
          <t>Do Not Bill</t>
        </is>
      </c>
      <c r="C8" s="6" t="n"/>
      <c r="D8" s="2" t="inlineStr">
        <is>
          <t>Paid</t>
        </is>
      </c>
      <c r="E8" s="2" t="inlineStr">
        <is>
          <t>Debit Card</t>
        </is>
      </c>
      <c r="F8" s="6" t="n"/>
      <c r="G8" s="2" t="inlineStr">
        <is>
          <t>Late Fee</t>
        </is>
      </c>
      <c r="H8" s="2" t="inlineStr">
        <is>
          <t>Bounced</t>
        </is>
      </c>
    </row>
    <row r="9">
      <c r="A9" s="2" t="n"/>
      <c r="B9" s="2" t="n"/>
      <c r="C9" s="2" t="n"/>
      <c r="D9" s="2" t="inlineStr">
        <is>
          <t>Past Due</t>
        </is>
      </c>
      <c r="E9" s="2" t="inlineStr">
        <is>
          <t>Cash</t>
        </is>
      </c>
      <c r="F9" s="2" t="n"/>
      <c r="G9" s="2" t="inlineStr">
        <is>
          <t>Credit</t>
        </is>
      </c>
      <c r="H9" s="2" t="inlineStr">
        <is>
          <t>Returned</t>
        </is>
      </c>
    </row>
    <row r="10">
      <c r="A10" s="6" t="n"/>
      <c r="B10" s="6" t="n"/>
      <c r="C10" s="6" t="n"/>
      <c r="D10" s="2" t="inlineStr">
        <is>
          <t>Skip - Inactive</t>
        </is>
      </c>
      <c r="E10" s="2" t="inlineStr">
        <is>
          <t>Money Order</t>
        </is>
      </c>
      <c r="F10" s="6" t="n"/>
      <c r="G10" s="2" t="inlineStr">
        <is>
          <t>Write-Off</t>
        </is>
      </c>
      <c r="H10" s="2" t="inlineStr">
        <is>
          <t>Printed</t>
        </is>
      </c>
    </row>
    <row r="11">
      <c r="A11" s="2" t="n"/>
      <c r="B11" s="2" t="n"/>
      <c r="C11" s="2" t="n"/>
      <c r="D11" s="2" t="inlineStr">
        <is>
          <t>Void</t>
        </is>
      </c>
      <c r="E11" s="2" t="inlineStr">
        <is>
          <t>Wire</t>
        </is>
      </c>
      <c r="F11" s="2" t="n"/>
      <c r="G11" s="2" t="n"/>
      <c r="H11" s="2" t="inlineStr">
        <is>
          <t>Mailed</t>
        </is>
      </c>
    </row>
    <row r="12">
      <c r="A12" s="6" t="n"/>
      <c r="B12" s="6" t="n"/>
      <c r="C12" s="6" t="n"/>
      <c r="D12" s="6" t="n"/>
      <c r="E12" s="2" t="inlineStr">
        <is>
          <t>Other</t>
        </is>
      </c>
      <c r="F12" s="6" t="n"/>
      <c r="G12" s="6" t="n"/>
      <c r="H12" s="6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30" customWidth="1" min="4" max="4"/>
    <col width="16" customWidth="1" min="5" max="5"/>
    <col width="38" customWidth="1" min="6" max="6"/>
    <col width="20" customWidth="1" min="7" max="7"/>
    <col width="18" customWidth="1" min="8" max="8"/>
    <col width="12" customWidth="1" min="9" max="9"/>
    <col width="24" customWidth="1" min="10" max="10"/>
    <col width="34" customWidth="1" min="11" max="11"/>
  </cols>
  <sheetData>
    <row r="1">
      <c r="A1" s="1" t="inlineStr">
        <is>
          <t>Units and Owners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1" t="inlineStr">
        <is>
          <t>Unit ID</t>
        </is>
      </c>
      <c r="B4" s="11" t="inlineStr">
        <is>
          <t>Condo/Unit No.</t>
        </is>
      </c>
      <c r="C4" s="11" t="inlineStr">
        <is>
          <t>Owner Name</t>
        </is>
      </c>
      <c r="D4" s="11" t="inlineStr">
        <is>
          <t>Billing Email</t>
        </is>
      </c>
      <c r="E4" s="11" t="inlineStr">
        <is>
          <t>Phone</t>
        </is>
      </c>
      <c r="F4" s="11" t="inlineStr">
        <is>
          <t>Mailing Address</t>
        </is>
      </c>
      <c r="G4" s="11" t="inlineStr">
        <is>
          <t>Billing Preference</t>
        </is>
      </c>
      <c r="H4" s="11" t="inlineStr">
        <is>
          <t>Quarterly Dues</t>
        </is>
      </c>
      <c r="I4" s="11" t="inlineStr">
        <is>
          <t>Active?</t>
        </is>
      </c>
      <c r="J4" s="11" t="inlineStr">
        <is>
          <t>Prior Balance Override</t>
        </is>
      </c>
      <c r="K4" s="11" t="inlineStr">
        <is>
          <t>Notes</t>
        </is>
      </c>
    </row>
    <row r="5">
      <c r="A5" s="2" t="inlineStr">
        <is>
          <t>U-001</t>
        </is>
      </c>
      <c r="B5" s="2" t="inlineStr">
        <is>
          <t>101</t>
        </is>
      </c>
      <c r="C5" s="2" t="inlineStr">
        <is>
          <t>SAMPLE Owner One</t>
        </is>
      </c>
      <c r="D5" s="2" t="inlineStr">
        <is>
          <t>owner1@example.com</t>
        </is>
      </c>
      <c r="E5" s="2" t="inlineStr">
        <is>
          <t>555-0101</t>
        </is>
      </c>
      <c r="F5" s="2" t="inlineStr">
        <is>
          <t>101 Main St</t>
        </is>
      </c>
      <c r="G5" s="2" t="inlineStr">
        <is>
          <t>Email</t>
        </is>
      </c>
      <c r="H5" s="2" t="n">
        <v>350</v>
      </c>
      <c r="I5" s="2" t="inlineStr">
        <is>
          <t>Yes</t>
        </is>
      </c>
      <c r="J5" s="2" t="n">
        <v>0</v>
      </c>
      <c r="K5" s="2" t="inlineStr">
        <is>
          <t>Replace sample row</t>
        </is>
      </c>
    </row>
    <row r="6">
      <c r="A6" s="2" t="inlineStr">
        <is>
          <t>U-002</t>
        </is>
      </c>
      <c r="B6" s="2" t="inlineStr">
        <is>
          <t>102</t>
        </is>
      </c>
      <c r="C6" s="2" t="inlineStr">
        <is>
          <t>SAMPLE Owner Two</t>
        </is>
      </c>
      <c r="D6" s="2" t="inlineStr">
        <is>
          <t>owner2@example.com</t>
        </is>
      </c>
      <c r="E6" s="2" t="inlineStr">
        <is>
          <t>555-0102</t>
        </is>
      </c>
      <c r="F6" s="2" t="inlineStr">
        <is>
          <t>102 Main St</t>
        </is>
      </c>
      <c r="G6" s="2" t="inlineStr">
        <is>
          <t>Mail</t>
        </is>
      </c>
      <c r="H6" s="2" t="n">
        <v>350</v>
      </c>
      <c r="I6" s="2" t="inlineStr">
        <is>
          <t>Yes</t>
        </is>
      </c>
      <c r="J6" s="2" t="n">
        <v>0</v>
      </c>
      <c r="K6" s="2" t="inlineStr">
        <is>
          <t>Replace sample row</t>
        </is>
      </c>
    </row>
    <row r="7">
      <c r="A7" s="2" t="inlineStr">
        <is>
          <t>U-003</t>
        </is>
      </c>
      <c r="B7" s="2" t="inlineStr">
        <is>
          <t>103</t>
        </is>
      </c>
      <c r="C7" s="2" t="inlineStr">
        <is>
          <t>SAMPLE Owner Three</t>
        </is>
      </c>
      <c r="D7" s="2" t="inlineStr">
        <is>
          <t>owner3@example.com</t>
        </is>
      </c>
      <c r="E7" s="2" t="inlineStr">
        <is>
          <t>555-0103</t>
        </is>
      </c>
      <c r="F7" s="2" t="inlineStr">
        <is>
          <t>103 Main St</t>
        </is>
      </c>
      <c r="G7" s="2" t="inlineStr">
        <is>
          <t>Both</t>
        </is>
      </c>
      <c r="H7" s="2" t="n">
        <v>350</v>
      </c>
      <c r="I7" s="2" t="inlineStr">
        <is>
          <t>Yes</t>
        </is>
      </c>
      <c r="J7" s="2" t="n">
        <v>45</v>
      </c>
      <c r="K7" s="2" t="inlineStr">
        <is>
          <t>Prior balance example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2">
        <f>Setup!$B$10</f>
        <v/>
      </c>
      <c r="I8" s="2" t="inlineStr">
        <is>
          <t>Yes</t>
        </is>
      </c>
      <c r="J8" s="2" t="n">
        <v>0</v>
      </c>
      <c r="K8" s="6" t="n"/>
    </row>
    <row r="9">
      <c r="A9" s="2" t="n"/>
      <c r="B9" s="2" t="n"/>
      <c r="C9" s="2" t="n"/>
      <c r="D9" s="2" t="n"/>
      <c r="E9" s="2" t="n"/>
      <c r="F9" s="2" t="n"/>
      <c r="G9" s="2" t="n"/>
      <c r="H9" s="2">
        <f>Setup!$B$10</f>
        <v/>
      </c>
      <c r="I9" s="2" t="inlineStr">
        <is>
          <t>Yes</t>
        </is>
      </c>
      <c r="J9" s="2" t="n">
        <v>0</v>
      </c>
      <c r="K9" s="2" t="n"/>
    </row>
    <row r="10">
      <c r="A10" s="6" t="n"/>
      <c r="B10" s="6" t="n"/>
      <c r="C10" s="6" t="n"/>
      <c r="D10" s="6" t="n"/>
      <c r="E10" s="6" t="n"/>
      <c r="F10" s="6" t="n"/>
      <c r="G10" s="6" t="n"/>
      <c r="H10" s="2">
        <f>Setup!$B$10</f>
        <v/>
      </c>
      <c r="I10" s="2" t="inlineStr">
        <is>
          <t>Yes</t>
        </is>
      </c>
      <c r="J10" s="2" t="n">
        <v>0</v>
      </c>
      <c r="K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>
        <f>Setup!$B$10</f>
        <v/>
      </c>
      <c r="I11" s="2" t="inlineStr">
        <is>
          <t>Yes</t>
        </is>
      </c>
      <c r="J11" s="2" t="n">
        <v>0</v>
      </c>
      <c r="K11" s="2" t="n"/>
    </row>
    <row r="12">
      <c r="A12" s="6" t="n"/>
      <c r="B12" s="6" t="n"/>
      <c r="C12" s="6" t="n"/>
      <c r="D12" s="6" t="n"/>
      <c r="E12" s="6" t="n"/>
      <c r="F12" s="6" t="n"/>
      <c r="G12" s="6" t="n"/>
      <c r="H12" s="2">
        <f>Setup!$B$10</f>
        <v/>
      </c>
      <c r="I12" s="2" t="inlineStr">
        <is>
          <t>Yes</t>
        </is>
      </c>
      <c r="J12" s="2" t="n">
        <v>0</v>
      </c>
      <c r="K12" s="6" t="n"/>
    </row>
    <row r="13">
      <c r="A13" s="2" t="n"/>
      <c r="B13" s="2" t="n"/>
      <c r="C13" s="2" t="n"/>
      <c r="D13" s="2" t="n"/>
      <c r="E13" s="2" t="n"/>
      <c r="F13" s="2" t="n"/>
      <c r="G13" s="2" t="n"/>
      <c r="H13" s="2">
        <f>Setup!$B$10</f>
        <v/>
      </c>
      <c r="I13" s="2" t="inlineStr">
        <is>
          <t>Yes</t>
        </is>
      </c>
      <c r="J13" s="2" t="n">
        <v>0</v>
      </c>
      <c r="K13" s="2" t="n"/>
    </row>
    <row r="14">
      <c r="A14" s="6" t="n"/>
      <c r="B14" s="6" t="n"/>
      <c r="C14" s="6" t="n"/>
      <c r="D14" s="6" t="n"/>
      <c r="E14" s="6" t="n"/>
      <c r="F14" s="6" t="n"/>
      <c r="G14" s="6" t="n"/>
      <c r="H14" s="2">
        <f>Setup!$B$10</f>
        <v/>
      </c>
      <c r="I14" s="2" t="inlineStr">
        <is>
          <t>Yes</t>
        </is>
      </c>
      <c r="J14" s="2" t="n">
        <v>0</v>
      </c>
      <c r="K14" s="6" t="n"/>
    </row>
    <row r="15">
      <c r="A15" s="2" t="n"/>
      <c r="B15" s="2" t="n"/>
      <c r="C15" s="2" t="n"/>
      <c r="D15" s="2" t="n"/>
      <c r="E15" s="2" t="n"/>
      <c r="F15" s="2" t="n"/>
      <c r="G15" s="2" t="n"/>
      <c r="H15" s="2">
        <f>Setup!$B$10</f>
        <v/>
      </c>
      <c r="I15" s="2" t="inlineStr">
        <is>
          <t>Yes</t>
        </is>
      </c>
      <c r="J15" s="2" t="n">
        <v>0</v>
      </c>
      <c r="K15" s="2" t="n"/>
    </row>
    <row r="16">
      <c r="A16" s="6" t="n"/>
      <c r="B16" s="6" t="n"/>
      <c r="C16" s="6" t="n"/>
      <c r="D16" s="6" t="n"/>
      <c r="E16" s="6" t="n"/>
      <c r="F16" s="6" t="n"/>
      <c r="G16" s="6" t="n"/>
      <c r="H16" s="2">
        <f>Setup!$B$10</f>
        <v/>
      </c>
      <c r="I16" s="2" t="inlineStr">
        <is>
          <t>Yes</t>
        </is>
      </c>
      <c r="J16" s="2" t="n">
        <v>0</v>
      </c>
      <c r="K16" s="6" t="n"/>
    </row>
    <row r="17">
      <c r="A17" s="2" t="n"/>
      <c r="B17" s="2" t="n"/>
      <c r="C17" s="2" t="n"/>
      <c r="D17" s="2" t="n"/>
      <c r="E17" s="2" t="n"/>
      <c r="F17" s="2" t="n"/>
      <c r="G17" s="2" t="n"/>
      <c r="H17" s="2">
        <f>Setup!$B$10</f>
        <v/>
      </c>
      <c r="I17" s="2" t="inlineStr">
        <is>
          <t>Yes</t>
        </is>
      </c>
      <c r="J17" s="2" t="n">
        <v>0</v>
      </c>
      <c r="K17" s="2" t="n"/>
    </row>
    <row r="18">
      <c r="A18" s="6" t="n"/>
      <c r="B18" s="6" t="n"/>
      <c r="C18" s="6" t="n"/>
      <c r="D18" s="6" t="n"/>
      <c r="E18" s="6" t="n"/>
      <c r="F18" s="6" t="n"/>
      <c r="G18" s="6" t="n"/>
      <c r="H18" s="2">
        <f>Setup!$B$10</f>
        <v/>
      </c>
      <c r="I18" s="2" t="inlineStr">
        <is>
          <t>Yes</t>
        </is>
      </c>
      <c r="J18" s="2" t="n">
        <v>0</v>
      </c>
      <c r="K18" s="6" t="n"/>
    </row>
    <row r="19">
      <c r="A19" s="2" t="n"/>
      <c r="B19" s="2" t="n"/>
      <c r="C19" s="2" t="n"/>
      <c r="D19" s="2" t="n"/>
      <c r="E19" s="2" t="n"/>
      <c r="F19" s="2" t="n"/>
      <c r="G19" s="2" t="n"/>
      <c r="H19" s="2">
        <f>Setup!$B$10</f>
        <v/>
      </c>
      <c r="I19" s="2" t="inlineStr">
        <is>
          <t>Yes</t>
        </is>
      </c>
      <c r="J19" s="2" t="n">
        <v>0</v>
      </c>
      <c r="K19" s="2" t="n"/>
    </row>
    <row r="20">
      <c r="A20" s="6" t="n"/>
      <c r="B20" s="6" t="n"/>
      <c r="C20" s="6" t="n"/>
      <c r="D20" s="6" t="n"/>
      <c r="E20" s="6" t="n"/>
      <c r="F20" s="6" t="n"/>
      <c r="G20" s="6" t="n"/>
      <c r="H20" s="2">
        <f>Setup!$B$10</f>
        <v/>
      </c>
      <c r="I20" s="2" t="inlineStr">
        <is>
          <t>Yes</t>
        </is>
      </c>
      <c r="J20" s="2" t="n">
        <v>0</v>
      </c>
      <c r="K20" s="6" t="n"/>
    </row>
    <row r="21">
      <c r="A21" s="2" t="n"/>
      <c r="B21" s="2" t="n"/>
      <c r="C21" s="2" t="n"/>
      <c r="D21" s="2" t="n"/>
      <c r="E21" s="2" t="n"/>
      <c r="F21" s="2" t="n"/>
      <c r="G21" s="2" t="n"/>
      <c r="H21" s="2">
        <f>Setup!$B$10</f>
        <v/>
      </c>
      <c r="I21" s="2" t="inlineStr">
        <is>
          <t>Yes</t>
        </is>
      </c>
      <c r="J21" s="2" t="n">
        <v>0</v>
      </c>
      <c r="K21" s="2" t="n"/>
    </row>
    <row r="22">
      <c r="A22" s="6" t="n"/>
      <c r="B22" s="6" t="n"/>
      <c r="C22" s="6" t="n"/>
      <c r="D22" s="6" t="n"/>
      <c r="E22" s="6" t="n"/>
      <c r="F22" s="6" t="n"/>
      <c r="G22" s="6" t="n"/>
      <c r="H22" s="2">
        <f>Setup!$B$10</f>
        <v/>
      </c>
      <c r="I22" s="2" t="inlineStr">
        <is>
          <t>Yes</t>
        </is>
      </c>
      <c r="J22" s="2" t="n">
        <v>0</v>
      </c>
      <c r="K22" s="6" t="n"/>
    </row>
    <row r="23">
      <c r="A23" s="2" t="n"/>
      <c r="B23" s="2" t="n"/>
      <c r="C23" s="2" t="n"/>
      <c r="D23" s="2" t="n"/>
      <c r="E23" s="2" t="n"/>
      <c r="F23" s="2" t="n"/>
      <c r="G23" s="2" t="n"/>
      <c r="H23" s="2">
        <f>Setup!$B$10</f>
        <v/>
      </c>
      <c r="I23" s="2" t="inlineStr">
        <is>
          <t>Yes</t>
        </is>
      </c>
      <c r="J23" s="2" t="n">
        <v>0</v>
      </c>
      <c r="K23" s="2" t="n"/>
    </row>
    <row r="24">
      <c r="A24" s="6" t="n"/>
      <c r="B24" s="6" t="n"/>
      <c r="C24" s="6" t="n"/>
      <c r="D24" s="6" t="n"/>
      <c r="E24" s="6" t="n"/>
      <c r="F24" s="6" t="n"/>
      <c r="G24" s="6" t="n"/>
      <c r="H24" s="2">
        <f>Setup!$B$10</f>
        <v/>
      </c>
      <c r="I24" s="2" t="inlineStr">
        <is>
          <t>Yes</t>
        </is>
      </c>
      <c r="J24" s="2" t="n">
        <v>0</v>
      </c>
      <c r="K24" s="6" t="n"/>
    </row>
    <row r="25">
      <c r="A25" s="2" t="n"/>
      <c r="B25" s="2" t="n"/>
      <c r="C25" s="2" t="n"/>
      <c r="D25" s="2" t="n"/>
      <c r="E25" s="2" t="n"/>
      <c r="F25" s="2" t="n"/>
      <c r="G25" s="2" t="n"/>
      <c r="H25" s="2">
        <f>Setup!$B$10</f>
        <v/>
      </c>
      <c r="I25" s="2" t="inlineStr">
        <is>
          <t>Yes</t>
        </is>
      </c>
      <c r="J25" s="2" t="n">
        <v>0</v>
      </c>
      <c r="K25" s="2" t="n"/>
    </row>
    <row r="26">
      <c r="A26" s="6" t="n"/>
      <c r="B26" s="6" t="n"/>
      <c r="C26" s="6" t="n"/>
      <c r="D26" s="6" t="n"/>
      <c r="E26" s="6" t="n"/>
      <c r="F26" s="6" t="n"/>
      <c r="G26" s="6" t="n"/>
      <c r="H26" s="2">
        <f>Setup!$B$10</f>
        <v/>
      </c>
      <c r="I26" s="2" t="inlineStr">
        <is>
          <t>Yes</t>
        </is>
      </c>
      <c r="J26" s="2" t="n">
        <v>0</v>
      </c>
      <c r="K26" s="6" t="n"/>
    </row>
    <row r="27">
      <c r="A27" s="2" t="n"/>
      <c r="B27" s="2" t="n"/>
      <c r="C27" s="2" t="n"/>
      <c r="D27" s="2" t="n"/>
      <c r="E27" s="2" t="n"/>
      <c r="F27" s="2" t="n"/>
      <c r="G27" s="2" t="n"/>
      <c r="H27" s="2">
        <f>Setup!$B$10</f>
        <v/>
      </c>
      <c r="I27" s="2" t="inlineStr">
        <is>
          <t>Yes</t>
        </is>
      </c>
      <c r="J27" s="2" t="n">
        <v>0</v>
      </c>
      <c r="K27" s="2" t="n"/>
    </row>
    <row r="28">
      <c r="A28" s="6" t="n"/>
      <c r="B28" s="6" t="n"/>
      <c r="C28" s="6" t="n"/>
      <c r="D28" s="6" t="n"/>
      <c r="E28" s="6" t="n"/>
      <c r="F28" s="6" t="n"/>
      <c r="G28" s="6" t="n"/>
      <c r="H28" s="2">
        <f>Setup!$B$10</f>
        <v/>
      </c>
      <c r="I28" s="2" t="inlineStr">
        <is>
          <t>Yes</t>
        </is>
      </c>
      <c r="J28" s="2" t="n">
        <v>0</v>
      </c>
      <c r="K28" s="6" t="n"/>
    </row>
    <row r="29">
      <c r="A29" s="2" t="n"/>
      <c r="B29" s="2" t="n"/>
      <c r="C29" s="2" t="n"/>
      <c r="D29" s="2" t="n"/>
      <c r="E29" s="2" t="n"/>
      <c r="F29" s="2" t="n"/>
      <c r="G29" s="2" t="n"/>
      <c r="H29" s="2">
        <f>Setup!$B$10</f>
        <v/>
      </c>
      <c r="I29" s="2" t="inlineStr">
        <is>
          <t>Yes</t>
        </is>
      </c>
      <c r="J29" s="2" t="n">
        <v>0</v>
      </c>
      <c r="K29" s="2" t="n"/>
    </row>
    <row r="30">
      <c r="A30" s="6" t="n"/>
      <c r="B30" s="6" t="n"/>
      <c r="C30" s="6" t="n"/>
      <c r="D30" s="6" t="n"/>
      <c r="E30" s="6" t="n"/>
      <c r="F30" s="6" t="n"/>
      <c r="G30" s="6" t="n"/>
      <c r="H30" s="2">
        <f>Setup!$B$10</f>
        <v/>
      </c>
      <c r="I30" s="2" t="inlineStr">
        <is>
          <t>Yes</t>
        </is>
      </c>
      <c r="J30" s="2" t="n">
        <v>0</v>
      </c>
      <c r="K30" s="6" t="n"/>
    </row>
    <row r="31">
      <c r="A31" s="2" t="n"/>
      <c r="B31" s="2" t="n"/>
      <c r="C31" s="2" t="n"/>
      <c r="D31" s="2" t="n"/>
      <c r="E31" s="2" t="n"/>
      <c r="F31" s="2" t="n"/>
      <c r="G31" s="2" t="n"/>
      <c r="H31" s="2">
        <f>Setup!$B$10</f>
        <v/>
      </c>
      <c r="I31" s="2" t="inlineStr">
        <is>
          <t>Yes</t>
        </is>
      </c>
      <c r="J31" s="2" t="n">
        <v>0</v>
      </c>
      <c r="K31" s="2" t="n"/>
    </row>
    <row r="32">
      <c r="A32" s="6" t="n"/>
      <c r="B32" s="6" t="n"/>
      <c r="C32" s="6" t="n"/>
      <c r="D32" s="6" t="n"/>
      <c r="E32" s="6" t="n"/>
      <c r="F32" s="6" t="n"/>
      <c r="G32" s="6" t="n"/>
      <c r="H32" s="2">
        <f>Setup!$B$10</f>
        <v/>
      </c>
      <c r="I32" s="2" t="inlineStr">
        <is>
          <t>Yes</t>
        </is>
      </c>
      <c r="J32" s="2" t="n">
        <v>0</v>
      </c>
      <c r="K32" s="6" t="n"/>
    </row>
    <row r="33">
      <c r="A33" s="2" t="n"/>
      <c r="B33" s="2" t="n"/>
      <c r="C33" s="2" t="n"/>
      <c r="D33" s="2" t="n"/>
      <c r="E33" s="2" t="n"/>
      <c r="F33" s="2" t="n"/>
      <c r="G33" s="2" t="n"/>
      <c r="H33" s="2">
        <f>Setup!$B$10</f>
        <v/>
      </c>
      <c r="I33" s="2" t="inlineStr">
        <is>
          <t>Yes</t>
        </is>
      </c>
      <c r="J33" s="2" t="n">
        <v>0</v>
      </c>
      <c r="K33" s="2" t="n"/>
    </row>
    <row r="34">
      <c r="A34" s="6" t="n"/>
      <c r="B34" s="6" t="n"/>
      <c r="C34" s="6" t="n"/>
      <c r="D34" s="6" t="n"/>
      <c r="E34" s="6" t="n"/>
      <c r="F34" s="6" t="n"/>
      <c r="G34" s="6" t="n"/>
      <c r="H34" s="2">
        <f>Setup!$B$10</f>
        <v/>
      </c>
      <c r="I34" s="2" t="inlineStr">
        <is>
          <t>Yes</t>
        </is>
      </c>
      <c r="J34" s="2" t="n">
        <v>0</v>
      </c>
      <c r="K34" s="6" t="n"/>
    </row>
    <row r="35">
      <c r="A35" s="2" t="n"/>
      <c r="B35" s="2" t="n"/>
      <c r="C35" s="2" t="n"/>
      <c r="D35" s="2" t="n"/>
      <c r="E35" s="2" t="n"/>
      <c r="F35" s="2" t="n"/>
      <c r="G35" s="2" t="n"/>
      <c r="H35" s="2">
        <f>Setup!$B$10</f>
        <v/>
      </c>
      <c r="I35" s="2" t="inlineStr">
        <is>
          <t>Yes</t>
        </is>
      </c>
      <c r="J35" s="2" t="n">
        <v>0</v>
      </c>
      <c r="K35" s="2" t="n"/>
    </row>
    <row r="36">
      <c r="A36" s="6" t="n"/>
      <c r="B36" s="6" t="n"/>
      <c r="C36" s="6" t="n"/>
      <c r="D36" s="6" t="n"/>
      <c r="E36" s="6" t="n"/>
      <c r="F36" s="6" t="n"/>
      <c r="G36" s="6" t="n"/>
      <c r="H36" s="2">
        <f>Setup!$B$10</f>
        <v/>
      </c>
      <c r="I36" s="2" t="inlineStr">
        <is>
          <t>Yes</t>
        </is>
      </c>
      <c r="J36" s="2" t="n">
        <v>0</v>
      </c>
      <c r="K36" s="6" t="n"/>
    </row>
    <row r="37">
      <c r="A37" s="2" t="n"/>
      <c r="B37" s="2" t="n"/>
      <c r="C37" s="2" t="n"/>
      <c r="D37" s="2" t="n"/>
      <c r="E37" s="2" t="n"/>
      <c r="F37" s="2" t="n"/>
      <c r="G37" s="2" t="n"/>
      <c r="H37" s="2">
        <f>Setup!$B$10</f>
        <v/>
      </c>
      <c r="I37" s="2" t="inlineStr">
        <is>
          <t>Yes</t>
        </is>
      </c>
      <c r="J37" s="2" t="n">
        <v>0</v>
      </c>
      <c r="K37" s="2" t="n"/>
    </row>
    <row r="38">
      <c r="A38" s="6" t="n"/>
      <c r="B38" s="6" t="n"/>
      <c r="C38" s="6" t="n"/>
      <c r="D38" s="6" t="n"/>
      <c r="E38" s="6" t="n"/>
      <c r="F38" s="6" t="n"/>
      <c r="G38" s="6" t="n"/>
      <c r="H38" s="2">
        <f>Setup!$B$10</f>
        <v/>
      </c>
      <c r="I38" s="2" t="inlineStr">
        <is>
          <t>Yes</t>
        </is>
      </c>
      <c r="J38" s="2" t="n">
        <v>0</v>
      </c>
      <c r="K38" s="6" t="n"/>
    </row>
    <row r="39">
      <c r="A39" s="2" t="n"/>
      <c r="B39" s="2" t="n"/>
      <c r="C39" s="2" t="n"/>
      <c r="D39" s="2" t="n"/>
      <c r="E39" s="2" t="n"/>
      <c r="F39" s="2" t="n"/>
      <c r="G39" s="2" t="n"/>
      <c r="H39" s="2">
        <f>Setup!$B$10</f>
        <v/>
      </c>
      <c r="I39" s="2" t="inlineStr">
        <is>
          <t>Yes</t>
        </is>
      </c>
      <c r="J39" s="2" t="n">
        <v>0</v>
      </c>
      <c r="K39" s="2" t="n"/>
    </row>
    <row r="40">
      <c r="A40" s="6" t="n"/>
      <c r="B40" s="6" t="n"/>
      <c r="C40" s="6" t="n"/>
      <c r="D40" s="6" t="n"/>
      <c r="E40" s="6" t="n"/>
      <c r="F40" s="6" t="n"/>
      <c r="G40" s="6" t="n"/>
      <c r="H40" s="2">
        <f>Setup!$B$10</f>
        <v/>
      </c>
      <c r="I40" s="2" t="inlineStr">
        <is>
          <t>Yes</t>
        </is>
      </c>
      <c r="J40" s="2" t="n">
        <v>0</v>
      </c>
      <c r="K40" s="6" t="n"/>
    </row>
    <row r="41">
      <c r="A41" s="2" t="n"/>
      <c r="B41" s="2" t="n"/>
      <c r="C41" s="2" t="n"/>
      <c r="D41" s="2" t="n"/>
      <c r="E41" s="2" t="n"/>
      <c r="F41" s="2" t="n"/>
      <c r="G41" s="2" t="n"/>
      <c r="H41" s="2">
        <f>Setup!$B$10</f>
        <v/>
      </c>
      <c r="I41" s="2" t="inlineStr">
        <is>
          <t>Yes</t>
        </is>
      </c>
      <c r="J41" s="2" t="n">
        <v>0</v>
      </c>
      <c r="K41" s="2" t="n"/>
    </row>
    <row r="42">
      <c r="A42" s="6" t="n"/>
      <c r="B42" s="6" t="n"/>
      <c r="C42" s="6" t="n"/>
      <c r="D42" s="6" t="n"/>
      <c r="E42" s="6" t="n"/>
      <c r="F42" s="6" t="n"/>
      <c r="G42" s="6" t="n"/>
      <c r="H42" s="2">
        <f>Setup!$B$10</f>
        <v/>
      </c>
      <c r="I42" s="2" t="inlineStr">
        <is>
          <t>Yes</t>
        </is>
      </c>
      <c r="J42" s="2" t="n">
        <v>0</v>
      </c>
      <c r="K42" s="6" t="n"/>
    </row>
    <row r="43">
      <c r="A43" s="2" t="n"/>
      <c r="B43" s="2" t="n"/>
      <c r="C43" s="2" t="n"/>
      <c r="D43" s="2" t="n"/>
      <c r="E43" s="2" t="n"/>
      <c r="F43" s="2" t="n"/>
      <c r="G43" s="2" t="n"/>
      <c r="H43" s="2">
        <f>Setup!$B$10</f>
        <v/>
      </c>
      <c r="I43" s="2" t="inlineStr">
        <is>
          <t>Yes</t>
        </is>
      </c>
      <c r="J43" s="2" t="n">
        <v>0</v>
      </c>
      <c r="K43" s="2" t="n"/>
    </row>
    <row r="44">
      <c r="A44" s="6" t="n"/>
      <c r="B44" s="6" t="n"/>
      <c r="C44" s="6" t="n"/>
      <c r="D44" s="6" t="n"/>
      <c r="E44" s="6" t="n"/>
      <c r="F44" s="6" t="n"/>
      <c r="G44" s="6" t="n"/>
      <c r="H44" s="2">
        <f>Setup!$B$10</f>
        <v/>
      </c>
      <c r="I44" s="2" t="inlineStr">
        <is>
          <t>Yes</t>
        </is>
      </c>
      <c r="J44" s="2" t="n">
        <v>0</v>
      </c>
      <c r="K44" s="6" t="n"/>
    </row>
    <row r="45">
      <c r="A45" s="2" t="n"/>
      <c r="B45" s="2" t="n"/>
      <c r="C45" s="2" t="n"/>
      <c r="D45" s="2" t="n"/>
      <c r="E45" s="2" t="n"/>
      <c r="F45" s="2" t="n"/>
      <c r="G45" s="2" t="n"/>
      <c r="H45" s="2">
        <f>Setup!$B$10</f>
        <v/>
      </c>
      <c r="I45" s="2" t="inlineStr">
        <is>
          <t>Yes</t>
        </is>
      </c>
      <c r="J45" s="2" t="n">
        <v>0</v>
      </c>
      <c r="K45" s="2" t="n"/>
    </row>
    <row r="46">
      <c r="A46" s="6" t="n"/>
      <c r="B46" s="6" t="n"/>
      <c r="C46" s="6" t="n"/>
      <c r="D46" s="6" t="n"/>
      <c r="E46" s="6" t="n"/>
      <c r="F46" s="6" t="n"/>
      <c r="G46" s="6" t="n"/>
      <c r="H46" s="2">
        <f>Setup!$B$10</f>
        <v/>
      </c>
      <c r="I46" s="2" t="inlineStr">
        <is>
          <t>Yes</t>
        </is>
      </c>
      <c r="J46" s="2" t="n">
        <v>0</v>
      </c>
      <c r="K46" s="6" t="n"/>
    </row>
    <row r="47">
      <c r="A47" s="2" t="n"/>
      <c r="B47" s="2" t="n"/>
      <c r="C47" s="2" t="n"/>
      <c r="D47" s="2" t="n"/>
      <c r="E47" s="2" t="n"/>
      <c r="F47" s="2" t="n"/>
      <c r="G47" s="2" t="n"/>
      <c r="H47" s="2">
        <f>Setup!$B$10</f>
        <v/>
      </c>
      <c r="I47" s="2" t="inlineStr">
        <is>
          <t>Yes</t>
        </is>
      </c>
      <c r="J47" s="2" t="n">
        <v>0</v>
      </c>
      <c r="K47" s="2" t="n"/>
    </row>
    <row r="48">
      <c r="A48" s="6" t="n"/>
      <c r="B48" s="6" t="n"/>
      <c r="C48" s="6" t="n"/>
      <c r="D48" s="6" t="n"/>
      <c r="E48" s="6" t="n"/>
      <c r="F48" s="6" t="n"/>
      <c r="G48" s="6" t="n"/>
      <c r="H48" s="2">
        <f>Setup!$B$10</f>
        <v/>
      </c>
      <c r="I48" s="2" t="inlineStr">
        <is>
          <t>Yes</t>
        </is>
      </c>
      <c r="J48" s="2" t="n">
        <v>0</v>
      </c>
      <c r="K48" s="6" t="n"/>
    </row>
    <row r="49">
      <c r="A49" s="2" t="n"/>
      <c r="B49" s="2" t="n"/>
      <c r="C49" s="2" t="n"/>
      <c r="D49" s="2" t="n"/>
      <c r="E49" s="2" t="n"/>
      <c r="F49" s="2" t="n"/>
      <c r="G49" s="2" t="n"/>
      <c r="H49" s="2">
        <f>Setup!$B$10</f>
        <v/>
      </c>
      <c r="I49" s="2" t="inlineStr">
        <is>
          <t>Yes</t>
        </is>
      </c>
      <c r="J49" s="2" t="n">
        <v>0</v>
      </c>
      <c r="K49" s="2" t="n"/>
    </row>
    <row r="50">
      <c r="A50" s="6" t="n"/>
      <c r="B50" s="6" t="n"/>
      <c r="C50" s="6" t="n"/>
      <c r="D50" s="6" t="n"/>
      <c r="E50" s="6" t="n"/>
      <c r="F50" s="6" t="n"/>
      <c r="G50" s="6" t="n"/>
      <c r="H50" s="2">
        <f>Setup!$B$10</f>
        <v/>
      </c>
      <c r="I50" s="2" t="inlineStr">
        <is>
          <t>Yes</t>
        </is>
      </c>
      <c r="J50" s="2" t="n">
        <v>0</v>
      </c>
      <c r="K50" s="6" t="n"/>
    </row>
    <row r="51">
      <c r="A51" s="2" t="n"/>
      <c r="B51" s="2" t="n"/>
      <c r="C51" s="2" t="n"/>
      <c r="D51" s="2" t="n"/>
      <c r="E51" s="2" t="n"/>
      <c r="F51" s="2" t="n"/>
      <c r="G51" s="2" t="n"/>
      <c r="H51" s="2">
        <f>Setup!$B$10</f>
        <v/>
      </c>
      <c r="I51" s="2" t="inlineStr">
        <is>
          <t>Yes</t>
        </is>
      </c>
      <c r="J51" s="2" t="n">
        <v>0</v>
      </c>
      <c r="K51" s="2" t="n"/>
    </row>
    <row r="52">
      <c r="A52" s="6" t="n"/>
      <c r="B52" s="6" t="n"/>
      <c r="C52" s="6" t="n"/>
      <c r="D52" s="6" t="n"/>
      <c r="E52" s="6" t="n"/>
      <c r="F52" s="6" t="n"/>
      <c r="G52" s="6" t="n"/>
      <c r="H52" s="2">
        <f>Setup!$B$10</f>
        <v/>
      </c>
      <c r="I52" s="2" t="inlineStr">
        <is>
          <t>Yes</t>
        </is>
      </c>
      <c r="J52" s="2" t="n">
        <v>0</v>
      </c>
      <c r="K52" s="6" t="n"/>
    </row>
    <row r="53">
      <c r="A53" s="2" t="n"/>
      <c r="B53" s="2" t="n"/>
      <c r="C53" s="2" t="n"/>
      <c r="D53" s="2" t="n"/>
      <c r="E53" s="2" t="n"/>
      <c r="F53" s="2" t="n"/>
      <c r="G53" s="2" t="n"/>
      <c r="H53" s="2">
        <f>Setup!$B$10</f>
        <v/>
      </c>
      <c r="I53" s="2" t="inlineStr">
        <is>
          <t>Yes</t>
        </is>
      </c>
      <c r="J53" s="2" t="n">
        <v>0</v>
      </c>
      <c r="K53" s="2" t="n"/>
    </row>
    <row r="54">
      <c r="A54" s="6" t="n"/>
      <c r="B54" s="6" t="n"/>
      <c r="C54" s="6" t="n"/>
      <c r="D54" s="6" t="n"/>
      <c r="E54" s="6" t="n"/>
      <c r="F54" s="6" t="n"/>
      <c r="G54" s="6" t="n"/>
      <c r="H54" s="2">
        <f>Setup!$B$10</f>
        <v/>
      </c>
      <c r="I54" s="2" t="inlineStr">
        <is>
          <t>Yes</t>
        </is>
      </c>
      <c r="J54" s="2" t="n">
        <v>0</v>
      </c>
      <c r="K54" s="6" t="n"/>
    </row>
    <row r="55">
      <c r="A55" s="2" t="n"/>
      <c r="B55" s="2" t="n"/>
      <c r="C55" s="2" t="n"/>
      <c r="D55" s="2" t="n"/>
      <c r="E55" s="2" t="n"/>
      <c r="F55" s="2" t="n"/>
      <c r="G55" s="2" t="n"/>
      <c r="H55" s="2">
        <f>Setup!$B$10</f>
        <v/>
      </c>
      <c r="I55" s="2" t="inlineStr">
        <is>
          <t>Yes</t>
        </is>
      </c>
      <c r="J55" s="2" t="n">
        <v>0</v>
      </c>
      <c r="K55" s="2" t="n"/>
    </row>
    <row r="56">
      <c r="A56" s="6" t="n"/>
      <c r="B56" s="6" t="n"/>
      <c r="C56" s="6" t="n"/>
      <c r="D56" s="6" t="n"/>
      <c r="E56" s="6" t="n"/>
      <c r="F56" s="6" t="n"/>
      <c r="G56" s="6" t="n"/>
      <c r="H56" s="2">
        <f>Setup!$B$10</f>
        <v/>
      </c>
      <c r="I56" s="2" t="inlineStr">
        <is>
          <t>Yes</t>
        </is>
      </c>
      <c r="J56" s="2" t="n">
        <v>0</v>
      </c>
      <c r="K56" s="6" t="n"/>
    </row>
    <row r="57">
      <c r="A57" s="2" t="n"/>
      <c r="B57" s="2" t="n"/>
      <c r="C57" s="2" t="n"/>
      <c r="D57" s="2" t="n"/>
      <c r="E57" s="2" t="n"/>
      <c r="F57" s="2" t="n"/>
      <c r="G57" s="2" t="n"/>
      <c r="H57" s="2">
        <f>Setup!$B$10</f>
        <v/>
      </c>
      <c r="I57" s="2" t="inlineStr">
        <is>
          <t>Yes</t>
        </is>
      </c>
      <c r="J57" s="2" t="n">
        <v>0</v>
      </c>
      <c r="K57" s="2" t="n"/>
    </row>
    <row r="58">
      <c r="A58" s="6" t="n"/>
      <c r="B58" s="6" t="n"/>
      <c r="C58" s="6" t="n"/>
      <c r="D58" s="6" t="n"/>
      <c r="E58" s="6" t="n"/>
      <c r="F58" s="6" t="n"/>
      <c r="G58" s="6" t="n"/>
      <c r="H58" s="2">
        <f>Setup!$B$10</f>
        <v/>
      </c>
      <c r="I58" s="2" t="inlineStr">
        <is>
          <t>Yes</t>
        </is>
      </c>
      <c r="J58" s="2" t="n">
        <v>0</v>
      </c>
      <c r="K58" s="6" t="n"/>
    </row>
    <row r="59">
      <c r="A59" s="2" t="n"/>
      <c r="B59" s="2" t="n"/>
      <c r="C59" s="2" t="n"/>
      <c r="D59" s="2" t="n"/>
      <c r="E59" s="2" t="n"/>
      <c r="F59" s="2" t="n"/>
      <c r="G59" s="2" t="n"/>
      <c r="H59" s="2">
        <f>Setup!$B$10</f>
        <v/>
      </c>
      <c r="I59" s="2" t="inlineStr">
        <is>
          <t>Yes</t>
        </is>
      </c>
      <c r="J59" s="2" t="n">
        <v>0</v>
      </c>
      <c r="K59" s="2" t="n"/>
    </row>
    <row r="60">
      <c r="A60" s="6" t="n"/>
      <c r="B60" s="6" t="n"/>
      <c r="C60" s="6" t="n"/>
      <c r="D60" s="6" t="n"/>
      <c r="E60" s="6" t="n"/>
      <c r="F60" s="6" t="n"/>
      <c r="G60" s="6" t="n"/>
      <c r="H60" s="2">
        <f>Setup!$B$10</f>
        <v/>
      </c>
      <c r="I60" s="2" t="inlineStr">
        <is>
          <t>Yes</t>
        </is>
      </c>
      <c r="J60" s="2" t="n">
        <v>0</v>
      </c>
      <c r="K60" s="6" t="n"/>
    </row>
    <row r="61">
      <c r="A61" s="2" t="n"/>
      <c r="B61" s="2" t="n"/>
      <c r="C61" s="2" t="n"/>
      <c r="D61" s="2" t="n"/>
      <c r="E61" s="2" t="n"/>
      <c r="F61" s="2" t="n"/>
      <c r="G61" s="2" t="n"/>
      <c r="H61" s="2">
        <f>Setup!$B$10</f>
        <v/>
      </c>
      <c r="I61" s="2" t="inlineStr">
        <is>
          <t>Yes</t>
        </is>
      </c>
      <c r="J61" s="2" t="n">
        <v>0</v>
      </c>
      <c r="K61" s="2" t="n"/>
    </row>
    <row r="62">
      <c r="A62" s="6" t="n"/>
      <c r="B62" s="6" t="n"/>
      <c r="C62" s="6" t="n"/>
      <c r="D62" s="6" t="n"/>
      <c r="E62" s="6" t="n"/>
      <c r="F62" s="6" t="n"/>
      <c r="G62" s="6" t="n"/>
      <c r="H62" s="2">
        <f>Setup!$B$10</f>
        <v/>
      </c>
      <c r="I62" s="2" t="inlineStr">
        <is>
          <t>Yes</t>
        </is>
      </c>
      <c r="J62" s="2" t="n">
        <v>0</v>
      </c>
      <c r="K62" s="6" t="n"/>
    </row>
    <row r="63">
      <c r="A63" s="2" t="n"/>
      <c r="B63" s="2" t="n"/>
      <c r="C63" s="2" t="n"/>
      <c r="D63" s="2" t="n"/>
      <c r="E63" s="2" t="n"/>
      <c r="F63" s="2" t="n"/>
      <c r="G63" s="2" t="n"/>
      <c r="H63" s="2">
        <f>Setup!$B$10</f>
        <v/>
      </c>
      <c r="I63" s="2" t="inlineStr">
        <is>
          <t>Yes</t>
        </is>
      </c>
      <c r="J63" s="2" t="n">
        <v>0</v>
      </c>
      <c r="K63" s="2" t="n"/>
    </row>
    <row r="64">
      <c r="A64" s="6" t="n"/>
      <c r="B64" s="6" t="n"/>
      <c r="C64" s="6" t="n"/>
      <c r="D64" s="6" t="n"/>
      <c r="E64" s="6" t="n"/>
      <c r="F64" s="6" t="n"/>
      <c r="G64" s="6" t="n"/>
      <c r="H64" s="2">
        <f>Setup!$B$10</f>
        <v/>
      </c>
      <c r="I64" s="2" t="inlineStr">
        <is>
          <t>Yes</t>
        </is>
      </c>
      <c r="J64" s="2" t="n">
        <v>0</v>
      </c>
      <c r="K64" s="6" t="n"/>
    </row>
    <row r="65">
      <c r="A65" s="2" t="n"/>
      <c r="B65" s="2" t="n"/>
      <c r="C65" s="2" t="n"/>
      <c r="D65" s="2" t="n"/>
      <c r="E65" s="2" t="n"/>
      <c r="F65" s="2" t="n"/>
      <c r="G65" s="2" t="n"/>
      <c r="H65" s="2">
        <f>Setup!$B$10</f>
        <v/>
      </c>
      <c r="I65" s="2" t="inlineStr">
        <is>
          <t>Yes</t>
        </is>
      </c>
      <c r="J65" s="2" t="n">
        <v>0</v>
      </c>
      <c r="K65" s="2" t="n"/>
    </row>
    <row r="66">
      <c r="A66" s="6" t="n"/>
      <c r="B66" s="6" t="n"/>
      <c r="C66" s="6" t="n"/>
      <c r="D66" s="6" t="n"/>
      <c r="E66" s="6" t="n"/>
      <c r="F66" s="6" t="n"/>
      <c r="G66" s="6" t="n"/>
      <c r="H66" s="2">
        <f>Setup!$B$10</f>
        <v/>
      </c>
      <c r="I66" s="2" t="inlineStr">
        <is>
          <t>Yes</t>
        </is>
      </c>
      <c r="J66" s="2" t="n">
        <v>0</v>
      </c>
      <c r="K66" s="6" t="n"/>
    </row>
    <row r="67">
      <c r="A67" s="2" t="n"/>
      <c r="B67" s="2" t="n"/>
      <c r="C67" s="2" t="n"/>
      <c r="D67" s="2" t="n"/>
      <c r="E67" s="2" t="n"/>
      <c r="F67" s="2" t="n"/>
      <c r="G67" s="2" t="n"/>
      <c r="H67" s="2">
        <f>Setup!$B$10</f>
        <v/>
      </c>
      <c r="I67" s="2" t="inlineStr">
        <is>
          <t>Yes</t>
        </is>
      </c>
      <c r="J67" s="2" t="n">
        <v>0</v>
      </c>
      <c r="K67" s="2" t="n"/>
    </row>
    <row r="68">
      <c r="A68" s="6" t="n"/>
      <c r="B68" s="6" t="n"/>
      <c r="C68" s="6" t="n"/>
      <c r="D68" s="6" t="n"/>
      <c r="E68" s="6" t="n"/>
      <c r="F68" s="6" t="n"/>
      <c r="G68" s="6" t="n"/>
      <c r="H68" s="2">
        <f>Setup!$B$10</f>
        <v/>
      </c>
      <c r="I68" s="2" t="inlineStr">
        <is>
          <t>Yes</t>
        </is>
      </c>
      <c r="J68" s="2" t="n">
        <v>0</v>
      </c>
      <c r="K68" s="6" t="n"/>
    </row>
    <row r="69">
      <c r="A69" s="2" t="n"/>
      <c r="B69" s="2" t="n"/>
      <c r="C69" s="2" t="n"/>
      <c r="D69" s="2" t="n"/>
      <c r="E69" s="2" t="n"/>
      <c r="F69" s="2" t="n"/>
      <c r="G69" s="2" t="n"/>
      <c r="H69" s="2">
        <f>Setup!$B$10</f>
        <v/>
      </c>
      <c r="I69" s="2" t="inlineStr">
        <is>
          <t>Yes</t>
        </is>
      </c>
      <c r="J69" s="2" t="n">
        <v>0</v>
      </c>
      <c r="K69" s="2" t="n"/>
    </row>
    <row r="70">
      <c r="A70" s="6" t="n"/>
      <c r="B70" s="6" t="n"/>
      <c r="C70" s="6" t="n"/>
      <c r="D70" s="6" t="n"/>
      <c r="E70" s="6" t="n"/>
      <c r="F70" s="6" t="n"/>
      <c r="G70" s="6" t="n"/>
      <c r="H70" s="2">
        <f>Setup!$B$10</f>
        <v/>
      </c>
      <c r="I70" s="2" t="inlineStr">
        <is>
          <t>Yes</t>
        </is>
      </c>
      <c r="J70" s="2" t="n">
        <v>0</v>
      </c>
      <c r="K70" s="6" t="n"/>
    </row>
    <row r="71">
      <c r="A71" s="2" t="n"/>
      <c r="B71" s="2" t="n"/>
      <c r="C71" s="2" t="n"/>
      <c r="D71" s="2" t="n"/>
      <c r="E71" s="2" t="n"/>
      <c r="F71" s="2" t="n"/>
      <c r="G71" s="2" t="n"/>
      <c r="H71" s="2">
        <f>Setup!$B$10</f>
        <v/>
      </c>
      <c r="I71" s="2" t="inlineStr">
        <is>
          <t>Yes</t>
        </is>
      </c>
      <c r="J71" s="2" t="n">
        <v>0</v>
      </c>
      <c r="K71" s="2" t="n"/>
    </row>
    <row r="72">
      <c r="A72" s="6" t="n"/>
      <c r="B72" s="6" t="n"/>
      <c r="C72" s="6" t="n"/>
      <c r="D72" s="6" t="n"/>
      <c r="E72" s="6" t="n"/>
      <c r="F72" s="6" t="n"/>
      <c r="G72" s="6" t="n"/>
      <c r="H72" s="2">
        <f>Setup!$B$10</f>
        <v/>
      </c>
      <c r="I72" s="2" t="inlineStr">
        <is>
          <t>Yes</t>
        </is>
      </c>
      <c r="J72" s="2" t="n">
        <v>0</v>
      </c>
      <c r="K72" s="6" t="n"/>
    </row>
    <row r="73">
      <c r="A73" s="2" t="n"/>
      <c r="B73" s="2" t="n"/>
      <c r="C73" s="2" t="n"/>
      <c r="D73" s="2" t="n"/>
      <c r="E73" s="2" t="n"/>
      <c r="F73" s="2" t="n"/>
      <c r="G73" s="2" t="n"/>
      <c r="H73" s="2">
        <f>Setup!$B$10</f>
        <v/>
      </c>
      <c r="I73" s="2" t="inlineStr">
        <is>
          <t>Yes</t>
        </is>
      </c>
      <c r="J73" s="2" t="n">
        <v>0</v>
      </c>
      <c r="K73" s="2" t="n"/>
    </row>
    <row r="74">
      <c r="A74" s="6" t="n"/>
      <c r="B74" s="6" t="n"/>
      <c r="C74" s="6" t="n"/>
      <c r="D74" s="6" t="n"/>
      <c r="E74" s="6" t="n"/>
      <c r="F74" s="6" t="n"/>
      <c r="G74" s="6" t="n"/>
      <c r="H74" s="2">
        <f>Setup!$B$10</f>
        <v/>
      </c>
      <c r="I74" s="2" t="inlineStr">
        <is>
          <t>Yes</t>
        </is>
      </c>
      <c r="J74" s="2" t="n">
        <v>0</v>
      </c>
      <c r="K74" s="6" t="n"/>
    </row>
    <row r="75">
      <c r="A75" s="2" t="n"/>
      <c r="B75" s="2" t="n"/>
      <c r="C75" s="2" t="n"/>
      <c r="D75" s="2" t="n"/>
      <c r="E75" s="2" t="n"/>
      <c r="F75" s="2" t="n"/>
      <c r="G75" s="2" t="n"/>
      <c r="H75" s="2">
        <f>Setup!$B$10</f>
        <v/>
      </c>
      <c r="I75" s="2" t="inlineStr">
        <is>
          <t>Yes</t>
        </is>
      </c>
      <c r="J75" s="2" t="n">
        <v>0</v>
      </c>
      <c r="K75" s="2" t="n"/>
    </row>
    <row r="76">
      <c r="A76" s="6" t="n"/>
      <c r="B76" s="6" t="n"/>
      <c r="C76" s="6" t="n"/>
      <c r="D76" s="6" t="n"/>
      <c r="E76" s="6" t="n"/>
      <c r="F76" s="6" t="n"/>
      <c r="G76" s="6" t="n"/>
      <c r="H76" s="2">
        <f>Setup!$B$10</f>
        <v/>
      </c>
      <c r="I76" s="2" t="inlineStr">
        <is>
          <t>Yes</t>
        </is>
      </c>
      <c r="J76" s="2" t="n">
        <v>0</v>
      </c>
      <c r="K76" s="6" t="n"/>
    </row>
    <row r="77">
      <c r="A77" s="2" t="n"/>
      <c r="B77" s="2" t="n"/>
      <c r="C77" s="2" t="n"/>
      <c r="D77" s="2" t="n"/>
      <c r="E77" s="2" t="n"/>
      <c r="F77" s="2" t="n"/>
      <c r="G77" s="2" t="n"/>
      <c r="H77" s="2">
        <f>Setup!$B$10</f>
        <v/>
      </c>
      <c r="I77" s="2" t="inlineStr">
        <is>
          <t>Yes</t>
        </is>
      </c>
      <c r="J77" s="2" t="n">
        <v>0</v>
      </c>
      <c r="K77" s="2" t="n"/>
    </row>
    <row r="78">
      <c r="A78" s="6" t="n"/>
      <c r="B78" s="6" t="n"/>
      <c r="C78" s="6" t="n"/>
      <c r="D78" s="6" t="n"/>
      <c r="E78" s="6" t="n"/>
      <c r="F78" s="6" t="n"/>
      <c r="G78" s="6" t="n"/>
      <c r="H78" s="2">
        <f>Setup!$B$10</f>
        <v/>
      </c>
      <c r="I78" s="2" t="inlineStr">
        <is>
          <t>Yes</t>
        </is>
      </c>
      <c r="J78" s="2" t="n">
        <v>0</v>
      </c>
      <c r="K78" s="6" t="n"/>
    </row>
    <row r="79">
      <c r="A79" s="2" t="n"/>
      <c r="B79" s="2" t="n"/>
      <c r="C79" s="2" t="n"/>
      <c r="D79" s="2" t="n"/>
      <c r="E79" s="2" t="n"/>
      <c r="F79" s="2" t="n"/>
      <c r="G79" s="2" t="n"/>
      <c r="H79" s="2">
        <f>Setup!$B$10</f>
        <v/>
      </c>
      <c r="I79" s="2" t="inlineStr">
        <is>
          <t>Yes</t>
        </is>
      </c>
      <c r="J79" s="2" t="n">
        <v>0</v>
      </c>
      <c r="K79" s="2" t="n"/>
    </row>
    <row r="80">
      <c r="A80" s="6" t="n"/>
      <c r="B80" s="6" t="n"/>
      <c r="C80" s="6" t="n"/>
      <c r="D80" s="6" t="n"/>
      <c r="E80" s="6" t="n"/>
      <c r="F80" s="6" t="n"/>
      <c r="G80" s="6" t="n"/>
      <c r="H80" s="2">
        <f>Setup!$B$10</f>
        <v/>
      </c>
      <c r="I80" s="2" t="inlineStr">
        <is>
          <t>Yes</t>
        </is>
      </c>
      <c r="J80" s="2" t="n">
        <v>0</v>
      </c>
      <c r="K80" s="6" t="n"/>
    </row>
    <row r="81">
      <c r="A81" s="2" t="n"/>
      <c r="B81" s="2" t="n"/>
      <c r="C81" s="2" t="n"/>
      <c r="D81" s="2" t="n"/>
      <c r="E81" s="2" t="n"/>
      <c r="F81" s="2" t="n"/>
      <c r="G81" s="2" t="n"/>
      <c r="H81" s="2">
        <f>Setup!$B$10</f>
        <v/>
      </c>
      <c r="I81" s="2" t="inlineStr">
        <is>
          <t>Yes</t>
        </is>
      </c>
      <c r="J81" s="2" t="n">
        <v>0</v>
      </c>
      <c r="K81" s="2" t="n"/>
    </row>
    <row r="82">
      <c r="A82" s="6" t="n"/>
      <c r="B82" s="6" t="n"/>
      <c r="C82" s="6" t="n"/>
      <c r="D82" s="6" t="n"/>
      <c r="E82" s="6" t="n"/>
      <c r="F82" s="6" t="n"/>
      <c r="G82" s="6" t="n"/>
      <c r="H82" s="2">
        <f>Setup!$B$10</f>
        <v/>
      </c>
      <c r="I82" s="2" t="inlineStr">
        <is>
          <t>Yes</t>
        </is>
      </c>
      <c r="J82" s="2" t="n">
        <v>0</v>
      </c>
      <c r="K82" s="6" t="n"/>
    </row>
    <row r="83">
      <c r="A83" s="2" t="n"/>
      <c r="B83" s="2" t="n"/>
      <c r="C83" s="2" t="n"/>
      <c r="D83" s="2" t="n"/>
      <c r="E83" s="2" t="n"/>
      <c r="F83" s="2" t="n"/>
      <c r="G83" s="2" t="n"/>
      <c r="H83" s="2">
        <f>Setup!$B$10</f>
        <v/>
      </c>
      <c r="I83" s="2" t="inlineStr">
        <is>
          <t>Yes</t>
        </is>
      </c>
      <c r="J83" s="2" t="n">
        <v>0</v>
      </c>
      <c r="K83" s="2" t="n"/>
    </row>
    <row r="84">
      <c r="A84" s="6" t="n"/>
      <c r="B84" s="6" t="n"/>
      <c r="C84" s="6" t="n"/>
      <c r="D84" s="6" t="n"/>
      <c r="E84" s="6" t="n"/>
      <c r="F84" s="6" t="n"/>
      <c r="G84" s="6" t="n"/>
      <c r="H84" s="2">
        <f>Setup!$B$10</f>
        <v/>
      </c>
      <c r="I84" s="2" t="inlineStr">
        <is>
          <t>Yes</t>
        </is>
      </c>
      <c r="J84" s="2" t="n">
        <v>0</v>
      </c>
      <c r="K84" s="6" t="n"/>
    </row>
    <row r="85">
      <c r="A85" s="2" t="n"/>
      <c r="B85" s="2" t="n"/>
      <c r="C85" s="2" t="n"/>
      <c r="D85" s="2" t="n"/>
      <c r="E85" s="2" t="n"/>
      <c r="F85" s="2" t="n"/>
      <c r="G85" s="2" t="n"/>
      <c r="H85" s="2">
        <f>Setup!$B$10</f>
        <v/>
      </c>
      <c r="I85" s="2" t="inlineStr">
        <is>
          <t>Yes</t>
        </is>
      </c>
      <c r="J85" s="2" t="n">
        <v>0</v>
      </c>
      <c r="K85" s="2" t="n"/>
    </row>
    <row r="86">
      <c r="A86" s="6" t="n"/>
      <c r="B86" s="6" t="n"/>
      <c r="C86" s="6" t="n"/>
      <c r="D86" s="6" t="n"/>
      <c r="E86" s="6" t="n"/>
      <c r="F86" s="6" t="n"/>
      <c r="G86" s="6" t="n"/>
      <c r="H86" s="2">
        <f>Setup!$B$10</f>
        <v/>
      </c>
      <c r="I86" s="2" t="inlineStr">
        <is>
          <t>Yes</t>
        </is>
      </c>
      <c r="J86" s="2" t="n">
        <v>0</v>
      </c>
      <c r="K86" s="6" t="n"/>
    </row>
    <row r="87">
      <c r="A87" s="2" t="n"/>
      <c r="B87" s="2" t="n"/>
      <c r="C87" s="2" t="n"/>
      <c r="D87" s="2" t="n"/>
      <c r="E87" s="2" t="n"/>
      <c r="F87" s="2" t="n"/>
      <c r="G87" s="2" t="n"/>
      <c r="H87" s="2">
        <f>Setup!$B$10</f>
        <v/>
      </c>
      <c r="I87" s="2" t="inlineStr">
        <is>
          <t>Yes</t>
        </is>
      </c>
      <c r="J87" s="2" t="n">
        <v>0</v>
      </c>
      <c r="K87" s="2" t="n"/>
    </row>
    <row r="88">
      <c r="A88" s="6" t="n"/>
      <c r="B88" s="6" t="n"/>
      <c r="C88" s="6" t="n"/>
      <c r="D88" s="6" t="n"/>
      <c r="E88" s="6" t="n"/>
      <c r="F88" s="6" t="n"/>
      <c r="G88" s="6" t="n"/>
      <c r="H88" s="2">
        <f>Setup!$B$10</f>
        <v/>
      </c>
      <c r="I88" s="2" t="inlineStr">
        <is>
          <t>Yes</t>
        </is>
      </c>
      <c r="J88" s="2" t="n">
        <v>0</v>
      </c>
      <c r="K88" s="6" t="n"/>
    </row>
    <row r="89">
      <c r="A89" s="2" t="n"/>
      <c r="B89" s="2" t="n"/>
      <c r="C89" s="2" t="n"/>
      <c r="D89" s="2" t="n"/>
      <c r="E89" s="2" t="n"/>
      <c r="F89" s="2" t="n"/>
      <c r="G89" s="2" t="n"/>
      <c r="H89" s="2">
        <f>Setup!$B$10</f>
        <v/>
      </c>
      <c r="I89" s="2" t="inlineStr">
        <is>
          <t>Yes</t>
        </is>
      </c>
      <c r="J89" s="2" t="n">
        <v>0</v>
      </c>
      <c r="K89" s="2" t="n"/>
    </row>
    <row r="90">
      <c r="A90" s="6" t="n"/>
      <c r="B90" s="6" t="n"/>
      <c r="C90" s="6" t="n"/>
      <c r="D90" s="6" t="n"/>
      <c r="E90" s="6" t="n"/>
      <c r="F90" s="6" t="n"/>
      <c r="G90" s="6" t="n"/>
      <c r="H90" s="2">
        <f>Setup!$B$10</f>
        <v/>
      </c>
      <c r="I90" s="2" t="inlineStr">
        <is>
          <t>Yes</t>
        </is>
      </c>
      <c r="J90" s="2" t="n">
        <v>0</v>
      </c>
      <c r="K90" s="6" t="n"/>
    </row>
    <row r="91">
      <c r="A91" s="2" t="n"/>
      <c r="B91" s="2" t="n"/>
      <c r="C91" s="2" t="n"/>
      <c r="D91" s="2" t="n"/>
      <c r="E91" s="2" t="n"/>
      <c r="F91" s="2" t="n"/>
      <c r="G91" s="2" t="n"/>
      <c r="H91" s="2">
        <f>Setup!$B$10</f>
        <v/>
      </c>
      <c r="I91" s="2" t="inlineStr">
        <is>
          <t>Yes</t>
        </is>
      </c>
      <c r="J91" s="2" t="n">
        <v>0</v>
      </c>
      <c r="K91" s="2" t="n"/>
    </row>
    <row r="92">
      <c r="A92" s="6" t="n"/>
      <c r="B92" s="6" t="n"/>
      <c r="C92" s="6" t="n"/>
      <c r="D92" s="6" t="n"/>
      <c r="E92" s="6" t="n"/>
      <c r="F92" s="6" t="n"/>
      <c r="G92" s="6" t="n"/>
      <c r="H92" s="2">
        <f>Setup!$B$10</f>
        <v/>
      </c>
      <c r="I92" s="2" t="inlineStr">
        <is>
          <t>Yes</t>
        </is>
      </c>
      <c r="J92" s="2" t="n">
        <v>0</v>
      </c>
      <c r="K92" s="6" t="n"/>
    </row>
    <row r="93">
      <c r="A93" s="2" t="n"/>
      <c r="B93" s="2" t="n"/>
      <c r="C93" s="2" t="n"/>
      <c r="D93" s="2" t="n"/>
      <c r="E93" s="2" t="n"/>
      <c r="F93" s="2" t="n"/>
      <c r="G93" s="2" t="n"/>
      <c r="H93" s="2">
        <f>Setup!$B$10</f>
        <v/>
      </c>
      <c r="I93" s="2" t="inlineStr">
        <is>
          <t>Yes</t>
        </is>
      </c>
      <c r="J93" s="2" t="n">
        <v>0</v>
      </c>
      <c r="K93" s="2" t="n"/>
    </row>
    <row r="94">
      <c r="A94" s="6" t="n"/>
      <c r="B94" s="6" t="n"/>
      <c r="C94" s="6" t="n"/>
      <c r="D94" s="6" t="n"/>
      <c r="E94" s="6" t="n"/>
      <c r="F94" s="6" t="n"/>
      <c r="G94" s="6" t="n"/>
      <c r="H94" s="2">
        <f>Setup!$B$10</f>
        <v/>
      </c>
      <c r="I94" s="2" t="inlineStr">
        <is>
          <t>Yes</t>
        </is>
      </c>
      <c r="J94" s="2" t="n">
        <v>0</v>
      </c>
      <c r="K94" s="6" t="n"/>
    </row>
    <row r="95">
      <c r="A95" s="2" t="n"/>
      <c r="B95" s="2" t="n"/>
      <c r="C95" s="2" t="n"/>
      <c r="D95" s="2" t="n"/>
      <c r="E95" s="2" t="n"/>
      <c r="F95" s="2" t="n"/>
      <c r="G95" s="2" t="n"/>
      <c r="H95" s="2">
        <f>Setup!$B$10</f>
        <v/>
      </c>
      <c r="I95" s="2" t="inlineStr">
        <is>
          <t>Yes</t>
        </is>
      </c>
      <c r="J95" s="2" t="n">
        <v>0</v>
      </c>
      <c r="K95" s="2" t="n"/>
    </row>
    <row r="96">
      <c r="A96" s="6" t="n"/>
      <c r="B96" s="6" t="n"/>
      <c r="C96" s="6" t="n"/>
      <c r="D96" s="6" t="n"/>
      <c r="E96" s="6" t="n"/>
      <c r="F96" s="6" t="n"/>
      <c r="G96" s="6" t="n"/>
      <c r="H96" s="2">
        <f>Setup!$B$10</f>
        <v/>
      </c>
      <c r="I96" s="2" t="inlineStr">
        <is>
          <t>Yes</t>
        </is>
      </c>
      <c r="J96" s="2" t="n">
        <v>0</v>
      </c>
      <c r="K96" s="6" t="n"/>
    </row>
    <row r="97">
      <c r="A97" s="2" t="n"/>
      <c r="B97" s="2" t="n"/>
      <c r="C97" s="2" t="n"/>
      <c r="D97" s="2" t="n"/>
      <c r="E97" s="2" t="n"/>
      <c r="F97" s="2" t="n"/>
      <c r="G97" s="2" t="n"/>
      <c r="H97" s="2">
        <f>Setup!$B$10</f>
        <v/>
      </c>
      <c r="I97" s="2" t="inlineStr">
        <is>
          <t>Yes</t>
        </is>
      </c>
      <c r="J97" s="2" t="n">
        <v>0</v>
      </c>
      <c r="K97" s="2" t="n"/>
    </row>
    <row r="98">
      <c r="A98" s="6" t="n"/>
      <c r="B98" s="6" t="n"/>
      <c r="C98" s="6" t="n"/>
      <c r="D98" s="6" t="n"/>
      <c r="E98" s="6" t="n"/>
      <c r="F98" s="6" t="n"/>
      <c r="G98" s="6" t="n"/>
      <c r="H98" s="2">
        <f>Setup!$B$10</f>
        <v/>
      </c>
      <c r="I98" s="2" t="inlineStr">
        <is>
          <t>Yes</t>
        </is>
      </c>
      <c r="J98" s="2" t="n">
        <v>0</v>
      </c>
      <c r="K98" s="6" t="n"/>
    </row>
    <row r="99">
      <c r="A99" s="2" t="n"/>
      <c r="B99" s="2" t="n"/>
      <c r="C99" s="2" t="n"/>
      <c r="D99" s="2" t="n"/>
      <c r="E99" s="2" t="n"/>
      <c r="F99" s="2" t="n"/>
      <c r="G99" s="2" t="n"/>
      <c r="H99" s="2">
        <f>Setup!$B$10</f>
        <v/>
      </c>
      <c r="I99" s="2" t="inlineStr">
        <is>
          <t>Yes</t>
        </is>
      </c>
      <c r="J99" s="2" t="n">
        <v>0</v>
      </c>
      <c r="K99" s="2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2">
        <f>Setup!$B$10</f>
        <v/>
      </c>
      <c r="I100" s="2" t="inlineStr">
        <is>
          <t>Yes</t>
        </is>
      </c>
      <c r="J100" s="2" t="n">
        <v>0</v>
      </c>
      <c r="K100" s="6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>
        <f>Setup!$B$10</f>
        <v/>
      </c>
      <c r="I101" s="2" t="inlineStr">
        <is>
          <t>Yes</t>
        </is>
      </c>
      <c r="J101" s="2" t="n">
        <v>0</v>
      </c>
      <c r="K101" s="2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2">
        <f>Setup!$B$10</f>
        <v/>
      </c>
      <c r="I102" s="2" t="inlineStr">
        <is>
          <t>Yes</t>
        </is>
      </c>
      <c r="J102" s="2" t="n">
        <v>0</v>
      </c>
      <c r="K102" s="6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>
        <f>Setup!$B$10</f>
        <v/>
      </c>
      <c r="I103" s="2" t="inlineStr">
        <is>
          <t>Yes</t>
        </is>
      </c>
      <c r="J103" s="2" t="n">
        <v>0</v>
      </c>
      <c r="K103" s="2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2">
        <f>Setup!$B$10</f>
        <v/>
      </c>
      <c r="I104" s="2" t="inlineStr">
        <is>
          <t>Yes</t>
        </is>
      </c>
      <c r="J104" s="2" t="n">
        <v>0</v>
      </c>
      <c r="K104" s="6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>
        <f>Setup!$B$10</f>
        <v/>
      </c>
      <c r="I105" s="2" t="inlineStr">
        <is>
          <t>Yes</t>
        </is>
      </c>
      <c r="J105" s="2" t="n">
        <v>0</v>
      </c>
      <c r="K105" s="2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2">
        <f>Setup!$B$10</f>
        <v/>
      </c>
      <c r="I106" s="2" t="inlineStr">
        <is>
          <t>Yes</t>
        </is>
      </c>
      <c r="J106" s="2" t="n">
        <v>0</v>
      </c>
      <c r="K106" s="6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>
        <f>Setup!$B$10</f>
        <v/>
      </c>
      <c r="I107" s="2" t="inlineStr">
        <is>
          <t>Yes</t>
        </is>
      </c>
      <c r="J107" s="2" t="n">
        <v>0</v>
      </c>
      <c r="K107" s="2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2">
        <f>Setup!$B$10</f>
        <v/>
      </c>
      <c r="I108" s="2" t="inlineStr">
        <is>
          <t>Yes</t>
        </is>
      </c>
      <c r="J108" s="2" t="n">
        <v>0</v>
      </c>
      <c r="K108" s="6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>
        <f>Setup!$B$10</f>
        <v/>
      </c>
      <c r="I109" s="2" t="inlineStr">
        <is>
          <t>Yes</t>
        </is>
      </c>
      <c r="J109" s="2" t="n">
        <v>0</v>
      </c>
      <c r="K109" s="2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2">
        <f>Setup!$B$10</f>
        <v/>
      </c>
      <c r="I110" s="2" t="inlineStr">
        <is>
          <t>Yes</t>
        </is>
      </c>
      <c r="J110" s="2" t="n">
        <v>0</v>
      </c>
      <c r="K110" s="6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>
        <f>Setup!$B$10</f>
        <v/>
      </c>
      <c r="I111" s="2" t="inlineStr">
        <is>
          <t>Yes</t>
        </is>
      </c>
      <c r="J111" s="2" t="n">
        <v>0</v>
      </c>
      <c r="K111" s="2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2">
        <f>Setup!$B$10</f>
        <v/>
      </c>
      <c r="I112" s="2" t="inlineStr">
        <is>
          <t>Yes</t>
        </is>
      </c>
      <c r="J112" s="2" t="n">
        <v>0</v>
      </c>
      <c r="K112" s="6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>
        <f>Setup!$B$10</f>
        <v/>
      </c>
      <c r="I113" s="2" t="inlineStr">
        <is>
          <t>Yes</t>
        </is>
      </c>
      <c r="J113" s="2" t="n">
        <v>0</v>
      </c>
      <c r="K113" s="2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2">
        <f>Setup!$B$10</f>
        <v/>
      </c>
      <c r="I114" s="2" t="inlineStr">
        <is>
          <t>Yes</t>
        </is>
      </c>
      <c r="J114" s="2" t="n">
        <v>0</v>
      </c>
      <c r="K114" s="6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>
        <f>Setup!$B$10</f>
        <v/>
      </c>
      <c r="I115" s="2" t="inlineStr">
        <is>
          <t>Yes</t>
        </is>
      </c>
      <c r="J115" s="2" t="n">
        <v>0</v>
      </c>
      <c r="K115" s="2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2">
        <f>Setup!$B$10</f>
        <v/>
      </c>
      <c r="I116" s="2" t="inlineStr">
        <is>
          <t>Yes</t>
        </is>
      </c>
      <c r="J116" s="2" t="n">
        <v>0</v>
      </c>
      <c r="K116" s="6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>
        <f>Setup!$B$10</f>
        <v/>
      </c>
      <c r="I117" s="2" t="inlineStr">
        <is>
          <t>Yes</t>
        </is>
      </c>
      <c r="J117" s="2" t="n">
        <v>0</v>
      </c>
      <c r="K117" s="2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2">
        <f>Setup!$B$10</f>
        <v/>
      </c>
      <c r="I118" s="2" t="inlineStr">
        <is>
          <t>Yes</t>
        </is>
      </c>
      <c r="J118" s="2" t="n">
        <v>0</v>
      </c>
      <c r="K118" s="6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>
        <f>Setup!$B$10</f>
        <v/>
      </c>
      <c r="I119" s="2" t="inlineStr">
        <is>
          <t>Yes</t>
        </is>
      </c>
      <c r="J119" s="2" t="n">
        <v>0</v>
      </c>
      <c r="K119" s="2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2">
        <f>Setup!$B$10</f>
        <v/>
      </c>
      <c r="I120" s="2" t="inlineStr">
        <is>
          <t>Yes</t>
        </is>
      </c>
      <c r="J120" s="2" t="n">
        <v>0</v>
      </c>
      <c r="K120" s="6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>
        <f>Setup!$B$10</f>
        <v/>
      </c>
      <c r="I121" s="2" t="inlineStr">
        <is>
          <t>Yes</t>
        </is>
      </c>
      <c r="J121" s="2" t="n">
        <v>0</v>
      </c>
      <c r="K121" s="2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2">
        <f>Setup!$B$10</f>
        <v/>
      </c>
      <c r="I122" s="2" t="inlineStr">
        <is>
          <t>Yes</t>
        </is>
      </c>
      <c r="J122" s="2" t="n">
        <v>0</v>
      </c>
      <c r="K122" s="6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>
        <f>Setup!$B$10</f>
        <v/>
      </c>
      <c r="I123" s="2" t="inlineStr">
        <is>
          <t>Yes</t>
        </is>
      </c>
      <c r="J123" s="2" t="n">
        <v>0</v>
      </c>
      <c r="K123" s="2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2">
        <f>Setup!$B$10</f>
        <v/>
      </c>
      <c r="I124" s="2" t="inlineStr">
        <is>
          <t>Yes</t>
        </is>
      </c>
      <c r="J124" s="2" t="n">
        <v>0</v>
      </c>
      <c r="K124" s="6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>
        <f>Setup!$B$10</f>
        <v/>
      </c>
      <c r="I125" s="2" t="inlineStr">
        <is>
          <t>Yes</t>
        </is>
      </c>
      <c r="J125" s="2" t="n">
        <v>0</v>
      </c>
      <c r="K125" s="2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2">
        <f>Setup!$B$10</f>
        <v/>
      </c>
      <c r="I126" s="2" t="inlineStr">
        <is>
          <t>Yes</t>
        </is>
      </c>
      <c r="J126" s="2" t="n">
        <v>0</v>
      </c>
      <c r="K126" s="6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>
        <f>Setup!$B$10</f>
        <v/>
      </c>
      <c r="I127" s="2" t="inlineStr">
        <is>
          <t>Yes</t>
        </is>
      </c>
      <c r="J127" s="2" t="n">
        <v>0</v>
      </c>
      <c r="K127" s="2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2">
        <f>Setup!$B$10</f>
        <v/>
      </c>
      <c r="I128" s="2" t="inlineStr">
        <is>
          <t>Yes</t>
        </is>
      </c>
      <c r="J128" s="2" t="n">
        <v>0</v>
      </c>
      <c r="K128" s="6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>
        <f>Setup!$B$10</f>
        <v/>
      </c>
      <c r="I129" s="2" t="inlineStr">
        <is>
          <t>Yes</t>
        </is>
      </c>
      <c r="J129" s="2" t="n">
        <v>0</v>
      </c>
      <c r="K129" s="2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2">
        <f>Setup!$B$10</f>
        <v/>
      </c>
      <c r="I130" s="2" t="inlineStr">
        <is>
          <t>Yes</t>
        </is>
      </c>
      <c r="J130" s="2" t="n">
        <v>0</v>
      </c>
      <c r="K130" s="6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>
        <f>Setup!$B$10</f>
        <v/>
      </c>
      <c r="I131" s="2" t="inlineStr">
        <is>
          <t>Yes</t>
        </is>
      </c>
      <c r="J131" s="2" t="n">
        <v>0</v>
      </c>
      <c r="K131" s="2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2">
        <f>Setup!$B$10</f>
        <v/>
      </c>
      <c r="I132" s="2" t="inlineStr">
        <is>
          <t>Yes</t>
        </is>
      </c>
      <c r="J132" s="2" t="n">
        <v>0</v>
      </c>
      <c r="K132" s="6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>
        <f>Setup!$B$10</f>
        <v/>
      </c>
      <c r="I133" s="2" t="inlineStr">
        <is>
          <t>Yes</t>
        </is>
      </c>
      <c r="J133" s="2" t="n">
        <v>0</v>
      </c>
      <c r="K133" s="2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2">
        <f>Setup!$B$10</f>
        <v/>
      </c>
      <c r="I134" s="2" t="inlineStr">
        <is>
          <t>Yes</t>
        </is>
      </c>
      <c r="J134" s="2" t="n">
        <v>0</v>
      </c>
      <c r="K134" s="6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>
        <f>Setup!$B$10</f>
        <v/>
      </c>
      <c r="I135" s="2" t="inlineStr">
        <is>
          <t>Yes</t>
        </is>
      </c>
      <c r="J135" s="2" t="n">
        <v>0</v>
      </c>
      <c r="K135" s="2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2">
        <f>Setup!$B$10</f>
        <v/>
      </c>
      <c r="I136" s="2" t="inlineStr">
        <is>
          <t>Yes</t>
        </is>
      </c>
      <c r="J136" s="2" t="n">
        <v>0</v>
      </c>
      <c r="K136" s="6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>
        <f>Setup!$B$10</f>
        <v/>
      </c>
      <c r="I137" s="2" t="inlineStr">
        <is>
          <t>Yes</t>
        </is>
      </c>
      <c r="J137" s="2" t="n">
        <v>0</v>
      </c>
      <c r="K137" s="2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2">
        <f>Setup!$B$10</f>
        <v/>
      </c>
      <c r="I138" s="2" t="inlineStr">
        <is>
          <t>Yes</t>
        </is>
      </c>
      <c r="J138" s="2" t="n">
        <v>0</v>
      </c>
      <c r="K138" s="6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>
        <f>Setup!$B$10</f>
        <v/>
      </c>
      <c r="I139" s="2" t="inlineStr">
        <is>
          <t>Yes</t>
        </is>
      </c>
      <c r="J139" s="2" t="n">
        <v>0</v>
      </c>
      <c r="K139" s="2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2">
        <f>Setup!$B$10</f>
        <v/>
      </c>
      <c r="I140" s="2" t="inlineStr">
        <is>
          <t>Yes</t>
        </is>
      </c>
      <c r="J140" s="2" t="n">
        <v>0</v>
      </c>
      <c r="K140" s="6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>
        <f>Setup!$B$10</f>
        <v/>
      </c>
      <c r="I141" s="2" t="inlineStr">
        <is>
          <t>Yes</t>
        </is>
      </c>
      <c r="J141" s="2" t="n">
        <v>0</v>
      </c>
      <c r="K141" s="2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2">
        <f>Setup!$B$10</f>
        <v/>
      </c>
      <c r="I142" s="2" t="inlineStr">
        <is>
          <t>Yes</t>
        </is>
      </c>
      <c r="J142" s="2" t="n">
        <v>0</v>
      </c>
      <c r="K142" s="6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>
        <f>Setup!$B$10</f>
        <v/>
      </c>
      <c r="I143" s="2" t="inlineStr">
        <is>
          <t>Yes</t>
        </is>
      </c>
      <c r="J143" s="2" t="n">
        <v>0</v>
      </c>
      <c r="K143" s="2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2">
        <f>Setup!$B$10</f>
        <v/>
      </c>
      <c r="I144" s="2" t="inlineStr">
        <is>
          <t>Yes</t>
        </is>
      </c>
      <c r="J144" s="2" t="n">
        <v>0</v>
      </c>
      <c r="K144" s="6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>
        <f>Setup!$B$10</f>
        <v/>
      </c>
      <c r="I145" s="2" t="inlineStr">
        <is>
          <t>Yes</t>
        </is>
      </c>
      <c r="J145" s="2" t="n">
        <v>0</v>
      </c>
      <c r="K145" s="2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2">
        <f>Setup!$B$10</f>
        <v/>
      </c>
      <c r="I146" s="2" t="inlineStr">
        <is>
          <t>Yes</t>
        </is>
      </c>
      <c r="J146" s="2" t="n">
        <v>0</v>
      </c>
      <c r="K146" s="6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>
        <f>Setup!$B$10</f>
        <v/>
      </c>
      <c r="I147" s="2" t="inlineStr">
        <is>
          <t>Yes</t>
        </is>
      </c>
      <c r="J147" s="2" t="n">
        <v>0</v>
      </c>
      <c r="K147" s="2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2">
        <f>Setup!$B$10</f>
        <v/>
      </c>
      <c r="I148" s="2" t="inlineStr">
        <is>
          <t>Yes</t>
        </is>
      </c>
      <c r="J148" s="2" t="n">
        <v>0</v>
      </c>
      <c r="K148" s="6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>
        <f>Setup!$B$10</f>
        <v/>
      </c>
      <c r="I149" s="2" t="inlineStr">
        <is>
          <t>Yes</t>
        </is>
      </c>
      <c r="J149" s="2" t="n">
        <v>0</v>
      </c>
      <c r="K149" s="2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2">
        <f>Setup!$B$10</f>
        <v/>
      </c>
      <c r="I150" s="2" t="inlineStr">
        <is>
          <t>Yes</t>
        </is>
      </c>
      <c r="J150" s="2" t="n">
        <v>0</v>
      </c>
      <c r="K150" s="6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>
        <f>Setup!$B$10</f>
        <v/>
      </c>
      <c r="I151" s="2" t="inlineStr">
        <is>
          <t>Yes</t>
        </is>
      </c>
      <c r="J151" s="2" t="n">
        <v>0</v>
      </c>
      <c r="K151" s="2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2">
        <f>Setup!$B$10</f>
        <v/>
      </c>
      <c r="I152" s="2" t="inlineStr">
        <is>
          <t>Yes</t>
        </is>
      </c>
      <c r="J152" s="2" t="n">
        <v>0</v>
      </c>
      <c r="K152" s="6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>
        <f>Setup!$B$10</f>
        <v/>
      </c>
      <c r="I153" s="2" t="inlineStr">
        <is>
          <t>Yes</t>
        </is>
      </c>
      <c r="J153" s="2" t="n">
        <v>0</v>
      </c>
      <c r="K153" s="2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2">
        <f>Setup!$B$10</f>
        <v/>
      </c>
      <c r="I154" s="2" t="inlineStr">
        <is>
          <t>Yes</t>
        </is>
      </c>
      <c r="J154" s="2" t="n">
        <v>0</v>
      </c>
      <c r="K154" s="6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>
        <f>Setup!$B$10</f>
        <v/>
      </c>
      <c r="I155" s="2" t="inlineStr">
        <is>
          <t>Yes</t>
        </is>
      </c>
      <c r="J155" s="2" t="n">
        <v>0</v>
      </c>
      <c r="K155" s="2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2">
        <f>Setup!$B$10</f>
        <v/>
      </c>
      <c r="I156" s="2" t="inlineStr">
        <is>
          <t>Yes</t>
        </is>
      </c>
      <c r="J156" s="2" t="n">
        <v>0</v>
      </c>
      <c r="K156" s="6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>
        <f>Setup!$B$10</f>
        <v/>
      </c>
      <c r="I157" s="2" t="inlineStr">
        <is>
          <t>Yes</t>
        </is>
      </c>
      <c r="J157" s="2" t="n">
        <v>0</v>
      </c>
      <c r="K157" s="2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2">
        <f>Setup!$B$10</f>
        <v/>
      </c>
      <c r="I158" s="2" t="inlineStr">
        <is>
          <t>Yes</t>
        </is>
      </c>
      <c r="J158" s="2" t="n">
        <v>0</v>
      </c>
      <c r="K158" s="6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>
        <f>Setup!$B$10</f>
        <v/>
      </c>
      <c r="I159" s="2" t="inlineStr">
        <is>
          <t>Yes</t>
        </is>
      </c>
      <c r="J159" s="2" t="n">
        <v>0</v>
      </c>
      <c r="K159" s="2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2">
        <f>Setup!$B$10</f>
        <v/>
      </c>
      <c r="I160" s="2" t="inlineStr">
        <is>
          <t>Yes</t>
        </is>
      </c>
      <c r="J160" s="2" t="n">
        <v>0</v>
      </c>
      <c r="K160" s="6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>
        <f>Setup!$B$10</f>
        <v/>
      </c>
      <c r="I161" s="2" t="inlineStr">
        <is>
          <t>Yes</t>
        </is>
      </c>
      <c r="J161" s="2" t="n">
        <v>0</v>
      </c>
      <c r="K161" s="2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2">
        <f>Setup!$B$10</f>
        <v/>
      </c>
      <c r="I162" s="2" t="inlineStr">
        <is>
          <t>Yes</t>
        </is>
      </c>
      <c r="J162" s="2" t="n">
        <v>0</v>
      </c>
      <c r="K162" s="6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>
        <f>Setup!$B$10</f>
        <v/>
      </c>
      <c r="I163" s="2" t="inlineStr">
        <is>
          <t>Yes</t>
        </is>
      </c>
      <c r="J163" s="2" t="n">
        <v>0</v>
      </c>
      <c r="K163" s="2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2">
        <f>Setup!$B$10</f>
        <v/>
      </c>
      <c r="I164" s="2" t="inlineStr">
        <is>
          <t>Yes</t>
        </is>
      </c>
      <c r="J164" s="2" t="n">
        <v>0</v>
      </c>
      <c r="K164" s="6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>
        <f>Setup!$B$10</f>
        <v/>
      </c>
      <c r="I165" s="2" t="inlineStr">
        <is>
          <t>Yes</t>
        </is>
      </c>
      <c r="J165" s="2" t="n">
        <v>0</v>
      </c>
      <c r="K165" s="2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2">
        <f>Setup!$B$10</f>
        <v/>
      </c>
      <c r="I166" s="2" t="inlineStr">
        <is>
          <t>Yes</t>
        </is>
      </c>
      <c r="J166" s="2" t="n">
        <v>0</v>
      </c>
      <c r="K166" s="6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>
        <f>Setup!$B$10</f>
        <v/>
      </c>
      <c r="I167" s="2" t="inlineStr">
        <is>
          <t>Yes</t>
        </is>
      </c>
      <c r="J167" s="2" t="n">
        <v>0</v>
      </c>
      <c r="K167" s="2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2">
        <f>Setup!$B$10</f>
        <v/>
      </c>
      <c r="I168" s="2" t="inlineStr">
        <is>
          <t>Yes</t>
        </is>
      </c>
      <c r="J168" s="2" t="n">
        <v>0</v>
      </c>
      <c r="K168" s="6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>
        <f>Setup!$B$10</f>
        <v/>
      </c>
      <c r="I169" s="2" t="inlineStr">
        <is>
          <t>Yes</t>
        </is>
      </c>
      <c r="J169" s="2" t="n">
        <v>0</v>
      </c>
      <c r="K169" s="2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2">
        <f>Setup!$B$10</f>
        <v/>
      </c>
      <c r="I170" s="2" t="inlineStr">
        <is>
          <t>Yes</t>
        </is>
      </c>
      <c r="J170" s="2" t="n">
        <v>0</v>
      </c>
      <c r="K170" s="6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>
        <f>Setup!$B$10</f>
        <v/>
      </c>
      <c r="I171" s="2" t="inlineStr">
        <is>
          <t>Yes</t>
        </is>
      </c>
      <c r="J171" s="2" t="n">
        <v>0</v>
      </c>
      <c r="K171" s="2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2">
        <f>Setup!$B$10</f>
        <v/>
      </c>
      <c r="I172" s="2" t="inlineStr">
        <is>
          <t>Yes</t>
        </is>
      </c>
      <c r="J172" s="2" t="n">
        <v>0</v>
      </c>
      <c r="K172" s="6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>
        <f>Setup!$B$10</f>
        <v/>
      </c>
      <c r="I173" s="2" t="inlineStr">
        <is>
          <t>Yes</t>
        </is>
      </c>
      <c r="J173" s="2" t="n">
        <v>0</v>
      </c>
      <c r="K173" s="2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2">
        <f>Setup!$B$10</f>
        <v/>
      </c>
      <c r="I174" s="2" t="inlineStr">
        <is>
          <t>Yes</t>
        </is>
      </c>
      <c r="J174" s="2" t="n">
        <v>0</v>
      </c>
      <c r="K174" s="6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>
        <f>Setup!$B$10</f>
        <v/>
      </c>
      <c r="I175" s="2" t="inlineStr">
        <is>
          <t>Yes</t>
        </is>
      </c>
      <c r="J175" s="2" t="n">
        <v>0</v>
      </c>
      <c r="K175" s="2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2">
        <f>Setup!$B$10</f>
        <v/>
      </c>
      <c r="I176" s="2" t="inlineStr">
        <is>
          <t>Yes</t>
        </is>
      </c>
      <c r="J176" s="2" t="n">
        <v>0</v>
      </c>
      <c r="K176" s="6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>
        <f>Setup!$B$10</f>
        <v/>
      </c>
      <c r="I177" s="2" t="inlineStr">
        <is>
          <t>Yes</t>
        </is>
      </c>
      <c r="J177" s="2" t="n">
        <v>0</v>
      </c>
      <c r="K177" s="2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2">
        <f>Setup!$B$10</f>
        <v/>
      </c>
      <c r="I178" s="2" t="inlineStr">
        <is>
          <t>Yes</t>
        </is>
      </c>
      <c r="J178" s="2" t="n">
        <v>0</v>
      </c>
      <c r="K178" s="6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>
        <f>Setup!$B$10</f>
        <v/>
      </c>
      <c r="I179" s="2" t="inlineStr">
        <is>
          <t>Yes</t>
        </is>
      </c>
      <c r="J179" s="2" t="n">
        <v>0</v>
      </c>
      <c r="K179" s="2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2">
        <f>Setup!$B$10</f>
        <v/>
      </c>
      <c r="I180" s="2" t="inlineStr">
        <is>
          <t>Yes</t>
        </is>
      </c>
      <c r="J180" s="2" t="n">
        <v>0</v>
      </c>
      <c r="K180" s="6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>
        <f>Setup!$B$10</f>
        <v/>
      </c>
      <c r="I181" s="2" t="inlineStr">
        <is>
          <t>Yes</t>
        </is>
      </c>
      <c r="J181" s="2" t="n">
        <v>0</v>
      </c>
      <c r="K181" s="2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2">
        <f>Setup!$B$10</f>
        <v/>
      </c>
      <c r="I182" s="2" t="inlineStr">
        <is>
          <t>Yes</t>
        </is>
      </c>
      <c r="J182" s="2" t="n">
        <v>0</v>
      </c>
      <c r="K182" s="6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>
        <f>Setup!$B$10</f>
        <v/>
      </c>
      <c r="I183" s="2" t="inlineStr">
        <is>
          <t>Yes</t>
        </is>
      </c>
      <c r="J183" s="2" t="n">
        <v>0</v>
      </c>
      <c r="K183" s="2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2">
        <f>Setup!$B$10</f>
        <v/>
      </c>
      <c r="I184" s="2" t="inlineStr">
        <is>
          <t>Yes</t>
        </is>
      </c>
      <c r="J184" s="2" t="n">
        <v>0</v>
      </c>
      <c r="K184" s="6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>
        <f>Setup!$B$10</f>
        <v/>
      </c>
      <c r="I185" s="2" t="inlineStr">
        <is>
          <t>Yes</t>
        </is>
      </c>
      <c r="J185" s="2" t="n">
        <v>0</v>
      </c>
      <c r="K185" s="2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2">
        <f>Setup!$B$10</f>
        <v/>
      </c>
      <c r="I186" s="2" t="inlineStr">
        <is>
          <t>Yes</t>
        </is>
      </c>
      <c r="J186" s="2" t="n">
        <v>0</v>
      </c>
      <c r="K186" s="6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>
        <f>Setup!$B$10</f>
        <v/>
      </c>
      <c r="I187" s="2" t="inlineStr">
        <is>
          <t>Yes</t>
        </is>
      </c>
      <c r="J187" s="2" t="n">
        <v>0</v>
      </c>
      <c r="K187" s="2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2">
        <f>Setup!$B$10</f>
        <v/>
      </c>
      <c r="I188" s="2" t="inlineStr">
        <is>
          <t>Yes</t>
        </is>
      </c>
      <c r="J188" s="2" t="n">
        <v>0</v>
      </c>
      <c r="K188" s="6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>
        <f>Setup!$B$10</f>
        <v/>
      </c>
      <c r="I189" s="2" t="inlineStr">
        <is>
          <t>Yes</t>
        </is>
      </c>
      <c r="J189" s="2" t="n">
        <v>0</v>
      </c>
      <c r="K189" s="2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2">
        <f>Setup!$B$10</f>
        <v/>
      </c>
      <c r="I190" s="2" t="inlineStr">
        <is>
          <t>Yes</t>
        </is>
      </c>
      <c r="J190" s="2" t="n">
        <v>0</v>
      </c>
      <c r="K190" s="6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>
        <f>Setup!$B$10</f>
        <v/>
      </c>
      <c r="I191" s="2" t="inlineStr">
        <is>
          <t>Yes</t>
        </is>
      </c>
      <c r="J191" s="2" t="n">
        <v>0</v>
      </c>
      <c r="K191" s="2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2">
        <f>Setup!$B$10</f>
        <v/>
      </c>
      <c r="I192" s="2" t="inlineStr">
        <is>
          <t>Yes</t>
        </is>
      </c>
      <c r="J192" s="2" t="n">
        <v>0</v>
      </c>
      <c r="K192" s="6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>
        <f>Setup!$B$10</f>
        <v/>
      </c>
      <c r="I193" s="2" t="inlineStr">
        <is>
          <t>Yes</t>
        </is>
      </c>
      <c r="J193" s="2" t="n">
        <v>0</v>
      </c>
      <c r="K193" s="2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2">
        <f>Setup!$B$10</f>
        <v/>
      </c>
      <c r="I194" s="2" t="inlineStr">
        <is>
          <t>Yes</t>
        </is>
      </c>
      <c r="J194" s="2" t="n">
        <v>0</v>
      </c>
      <c r="K194" s="6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>
        <f>Setup!$B$10</f>
        <v/>
      </c>
      <c r="I195" s="2" t="inlineStr">
        <is>
          <t>Yes</t>
        </is>
      </c>
      <c r="J195" s="2" t="n">
        <v>0</v>
      </c>
      <c r="K195" s="2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2">
        <f>Setup!$B$10</f>
        <v/>
      </c>
      <c r="I196" s="2" t="inlineStr">
        <is>
          <t>Yes</t>
        </is>
      </c>
      <c r="J196" s="2" t="n">
        <v>0</v>
      </c>
      <c r="K196" s="6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>
        <f>Setup!$B$10</f>
        <v/>
      </c>
      <c r="I197" s="2" t="inlineStr">
        <is>
          <t>Yes</t>
        </is>
      </c>
      <c r="J197" s="2" t="n">
        <v>0</v>
      </c>
      <c r="K197" s="2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2">
        <f>Setup!$B$10</f>
        <v/>
      </c>
      <c r="I198" s="2" t="inlineStr">
        <is>
          <t>Yes</t>
        </is>
      </c>
      <c r="J198" s="2" t="n">
        <v>0</v>
      </c>
      <c r="K198" s="6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>
        <f>Setup!$B$10</f>
        <v/>
      </c>
      <c r="I199" s="2" t="inlineStr">
        <is>
          <t>Yes</t>
        </is>
      </c>
      <c r="J199" s="2" t="n">
        <v>0</v>
      </c>
      <c r="K199" s="2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2">
        <f>Setup!$B$10</f>
        <v/>
      </c>
      <c r="I200" s="2" t="inlineStr">
        <is>
          <t>Yes</t>
        </is>
      </c>
      <c r="J200" s="2" t="n">
        <v>0</v>
      </c>
      <c r="K200" s="6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>
        <f>Setup!$B$10</f>
        <v/>
      </c>
      <c r="I201" s="2" t="inlineStr">
        <is>
          <t>Yes</t>
        </is>
      </c>
      <c r="J201" s="2" t="n">
        <v>0</v>
      </c>
      <c r="K201" s="2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2">
        <f>Setup!$B$10</f>
        <v/>
      </c>
      <c r="I202" s="2" t="inlineStr">
        <is>
          <t>Yes</t>
        </is>
      </c>
      <c r="J202" s="2" t="n">
        <v>0</v>
      </c>
      <c r="K202" s="6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>
        <f>Setup!$B$10</f>
        <v/>
      </c>
      <c r="I203" s="2" t="inlineStr">
        <is>
          <t>Yes</t>
        </is>
      </c>
      <c r="J203" s="2" t="n">
        <v>0</v>
      </c>
      <c r="K203" s="2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2">
        <f>Setup!$B$10</f>
        <v/>
      </c>
      <c r="I204" s="2" t="inlineStr">
        <is>
          <t>Yes</t>
        </is>
      </c>
      <c r="J204" s="2" t="n">
        <v>0</v>
      </c>
      <c r="K204" s="6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>
        <f>Setup!$B$10</f>
        <v/>
      </c>
      <c r="I205" s="2" t="inlineStr">
        <is>
          <t>Yes</t>
        </is>
      </c>
      <c r="J205" s="2" t="n">
        <v>0</v>
      </c>
      <c r="K205" s="2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2">
        <f>Setup!$B$10</f>
        <v/>
      </c>
      <c r="I206" s="2" t="inlineStr">
        <is>
          <t>Yes</t>
        </is>
      </c>
      <c r="J206" s="2" t="n">
        <v>0</v>
      </c>
      <c r="K206" s="6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>
        <f>Setup!$B$10</f>
        <v/>
      </c>
      <c r="I207" s="2" t="inlineStr">
        <is>
          <t>Yes</t>
        </is>
      </c>
      <c r="J207" s="2" t="n">
        <v>0</v>
      </c>
      <c r="K207" s="2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2">
        <f>Setup!$B$10</f>
        <v/>
      </c>
      <c r="I208" s="2" t="inlineStr">
        <is>
          <t>Yes</t>
        </is>
      </c>
      <c r="J208" s="2" t="n">
        <v>0</v>
      </c>
      <c r="K208" s="6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>
        <f>Setup!$B$10</f>
        <v/>
      </c>
      <c r="I209" s="2" t="inlineStr">
        <is>
          <t>Yes</t>
        </is>
      </c>
      <c r="J209" s="2" t="n">
        <v>0</v>
      </c>
      <c r="K209" s="2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2">
        <f>Setup!$B$10</f>
        <v/>
      </c>
      <c r="I210" s="2" t="inlineStr">
        <is>
          <t>Yes</t>
        </is>
      </c>
      <c r="J210" s="2" t="n">
        <v>0</v>
      </c>
      <c r="K210" s="6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>
        <f>Setup!$B$10</f>
        <v/>
      </c>
      <c r="I211" s="2" t="inlineStr">
        <is>
          <t>Yes</t>
        </is>
      </c>
      <c r="J211" s="2" t="n">
        <v>0</v>
      </c>
      <c r="K211" s="2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2">
        <f>Setup!$B$10</f>
        <v/>
      </c>
      <c r="I212" s="2" t="inlineStr">
        <is>
          <t>Yes</t>
        </is>
      </c>
      <c r="J212" s="2" t="n">
        <v>0</v>
      </c>
      <c r="K212" s="6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>
        <f>Setup!$B$10</f>
        <v/>
      </c>
      <c r="I213" s="2" t="inlineStr">
        <is>
          <t>Yes</t>
        </is>
      </c>
      <c r="J213" s="2" t="n">
        <v>0</v>
      </c>
      <c r="K213" s="2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2">
        <f>Setup!$B$10</f>
        <v/>
      </c>
      <c r="I214" s="2" t="inlineStr">
        <is>
          <t>Yes</t>
        </is>
      </c>
      <c r="J214" s="2" t="n">
        <v>0</v>
      </c>
      <c r="K214" s="6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>
        <f>Setup!$B$10</f>
        <v/>
      </c>
      <c r="I215" s="2" t="inlineStr">
        <is>
          <t>Yes</t>
        </is>
      </c>
      <c r="J215" s="2" t="n">
        <v>0</v>
      </c>
      <c r="K215" s="2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2">
        <f>Setup!$B$10</f>
        <v/>
      </c>
      <c r="I216" s="2" t="inlineStr">
        <is>
          <t>Yes</t>
        </is>
      </c>
      <c r="J216" s="2" t="n">
        <v>0</v>
      </c>
      <c r="K216" s="6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>
        <f>Setup!$B$10</f>
        <v/>
      </c>
      <c r="I217" s="2" t="inlineStr">
        <is>
          <t>Yes</t>
        </is>
      </c>
      <c r="J217" s="2" t="n">
        <v>0</v>
      </c>
      <c r="K217" s="2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2">
        <f>Setup!$B$10</f>
        <v/>
      </c>
      <c r="I218" s="2" t="inlineStr">
        <is>
          <t>Yes</t>
        </is>
      </c>
      <c r="J218" s="2" t="n">
        <v>0</v>
      </c>
      <c r="K218" s="6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>
        <f>Setup!$B$10</f>
        <v/>
      </c>
      <c r="I219" s="2" t="inlineStr">
        <is>
          <t>Yes</t>
        </is>
      </c>
      <c r="J219" s="2" t="n">
        <v>0</v>
      </c>
      <c r="K219" s="2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2">
        <f>Setup!$B$10</f>
        <v/>
      </c>
      <c r="I220" s="2" t="inlineStr">
        <is>
          <t>Yes</t>
        </is>
      </c>
      <c r="J220" s="2" t="n">
        <v>0</v>
      </c>
      <c r="K220" s="6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>
        <f>Setup!$B$10</f>
        <v/>
      </c>
      <c r="I221" s="2" t="inlineStr">
        <is>
          <t>Yes</t>
        </is>
      </c>
      <c r="J221" s="2" t="n">
        <v>0</v>
      </c>
      <c r="K221" s="2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2">
        <f>Setup!$B$10</f>
        <v/>
      </c>
      <c r="I222" s="2" t="inlineStr">
        <is>
          <t>Yes</t>
        </is>
      </c>
      <c r="J222" s="2" t="n">
        <v>0</v>
      </c>
      <c r="K222" s="6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>
        <f>Setup!$B$10</f>
        <v/>
      </c>
      <c r="I223" s="2" t="inlineStr">
        <is>
          <t>Yes</t>
        </is>
      </c>
      <c r="J223" s="2" t="n">
        <v>0</v>
      </c>
      <c r="K223" s="2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2">
        <f>Setup!$B$10</f>
        <v/>
      </c>
      <c r="I224" s="2" t="inlineStr">
        <is>
          <t>Yes</t>
        </is>
      </c>
      <c r="J224" s="2" t="n">
        <v>0</v>
      </c>
      <c r="K224" s="6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>
        <f>Setup!$B$10</f>
        <v/>
      </c>
      <c r="I225" s="2" t="inlineStr">
        <is>
          <t>Yes</t>
        </is>
      </c>
      <c r="J225" s="2" t="n">
        <v>0</v>
      </c>
      <c r="K225" s="2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2">
        <f>Setup!$B$10</f>
        <v/>
      </c>
      <c r="I226" s="2" t="inlineStr">
        <is>
          <t>Yes</t>
        </is>
      </c>
      <c r="J226" s="2" t="n">
        <v>0</v>
      </c>
      <c r="K226" s="6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>
        <f>Setup!$B$10</f>
        <v/>
      </c>
      <c r="I227" s="2" t="inlineStr">
        <is>
          <t>Yes</t>
        </is>
      </c>
      <c r="J227" s="2" t="n">
        <v>0</v>
      </c>
      <c r="K227" s="2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2">
        <f>Setup!$B$10</f>
        <v/>
      </c>
      <c r="I228" s="2" t="inlineStr">
        <is>
          <t>Yes</t>
        </is>
      </c>
      <c r="J228" s="2" t="n">
        <v>0</v>
      </c>
      <c r="K228" s="6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>
        <f>Setup!$B$10</f>
        <v/>
      </c>
      <c r="I229" s="2" t="inlineStr">
        <is>
          <t>Yes</t>
        </is>
      </c>
      <c r="J229" s="2" t="n">
        <v>0</v>
      </c>
      <c r="K229" s="2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2">
        <f>Setup!$B$10</f>
        <v/>
      </c>
      <c r="I230" s="2" t="inlineStr">
        <is>
          <t>Yes</t>
        </is>
      </c>
      <c r="J230" s="2" t="n">
        <v>0</v>
      </c>
      <c r="K230" s="6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>
        <f>Setup!$B$10</f>
        <v/>
      </c>
      <c r="I231" s="2" t="inlineStr">
        <is>
          <t>Yes</t>
        </is>
      </c>
      <c r="J231" s="2" t="n">
        <v>0</v>
      </c>
      <c r="K231" s="2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2">
        <f>Setup!$B$10</f>
        <v/>
      </c>
      <c r="I232" s="2" t="inlineStr">
        <is>
          <t>Yes</t>
        </is>
      </c>
      <c r="J232" s="2" t="n">
        <v>0</v>
      </c>
      <c r="K232" s="6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>
        <f>Setup!$B$10</f>
        <v/>
      </c>
      <c r="I233" s="2" t="inlineStr">
        <is>
          <t>Yes</t>
        </is>
      </c>
      <c r="J233" s="2" t="n">
        <v>0</v>
      </c>
      <c r="K233" s="2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2">
        <f>Setup!$B$10</f>
        <v/>
      </c>
      <c r="I234" s="2" t="inlineStr">
        <is>
          <t>Yes</t>
        </is>
      </c>
      <c r="J234" s="2" t="n">
        <v>0</v>
      </c>
      <c r="K234" s="6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>
        <f>Setup!$B$10</f>
        <v/>
      </c>
      <c r="I235" s="2" t="inlineStr">
        <is>
          <t>Yes</t>
        </is>
      </c>
      <c r="J235" s="2" t="n">
        <v>0</v>
      </c>
      <c r="K235" s="2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2">
        <f>Setup!$B$10</f>
        <v/>
      </c>
      <c r="I236" s="2" t="inlineStr">
        <is>
          <t>Yes</t>
        </is>
      </c>
      <c r="J236" s="2" t="n">
        <v>0</v>
      </c>
      <c r="K236" s="6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>
        <f>Setup!$B$10</f>
        <v/>
      </c>
      <c r="I237" s="2" t="inlineStr">
        <is>
          <t>Yes</t>
        </is>
      </c>
      <c r="J237" s="2" t="n">
        <v>0</v>
      </c>
      <c r="K237" s="2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2">
        <f>Setup!$B$10</f>
        <v/>
      </c>
      <c r="I238" s="2" t="inlineStr">
        <is>
          <t>Yes</t>
        </is>
      </c>
      <c r="J238" s="2" t="n">
        <v>0</v>
      </c>
      <c r="K238" s="6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>
        <f>Setup!$B$10</f>
        <v/>
      </c>
      <c r="I239" s="2" t="inlineStr">
        <is>
          <t>Yes</t>
        </is>
      </c>
      <c r="J239" s="2" t="n">
        <v>0</v>
      </c>
      <c r="K239" s="2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2">
        <f>Setup!$B$10</f>
        <v/>
      </c>
      <c r="I240" s="2" t="inlineStr">
        <is>
          <t>Yes</t>
        </is>
      </c>
      <c r="J240" s="2" t="n">
        <v>0</v>
      </c>
      <c r="K240" s="6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>
        <f>Setup!$B$10</f>
        <v/>
      </c>
      <c r="I241" s="2" t="inlineStr">
        <is>
          <t>Yes</t>
        </is>
      </c>
      <c r="J241" s="2" t="n">
        <v>0</v>
      </c>
      <c r="K241" s="2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2">
        <f>Setup!$B$10</f>
        <v/>
      </c>
      <c r="I242" s="2" t="inlineStr">
        <is>
          <t>Yes</t>
        </is>
      </c>
      <c r="J242" s="2" t="n">
        <v>0</v>
      </c>
      <c r="K242" s="6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>
        <f>Setup!$B$10</f>
        <v/>
      </c>
      <c r="I243" s="2" t="inlineStr">
        <is>
          <t>Yes</t>
        </is>
      </c>
      <c r="J243" s="2" t="n">
        <v>0</v>
      </c>
      <c r="K243" s="2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2">
        <f>Setup!$B$10</f>
        <v/>
      </c>
      <c r="I244" s="2" t="inlineStr">
        <is>
          <t>Yes</t>
        </is>
      </c>
      <c r="J244" s="2" t="n">
        <v>0</v>
      </c>
      <c r="K244" s="6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>
        <f>Setup!$B$10</f>
        <v/>
      </c>
      <c r="I245" s="2" t="inlineStr">
        <is>
          <t>Yes</t>
        </is>
      </c>
      <c r="J245" s="2" t="n">
        <v>0</v>
      </c>
      <c r="K245" s="2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2">
        <f>Setup!$B$10</f>
        <v/>
      </c>
      <c r="I246" s="2" t="inlineStr">
        <is>
          <t>Yes</t>
        </is>
      </c>
      <c r="J246" s="2" t="n">
        <v>0</v>
      </c>
      <c r="K246" s="6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>
        <f>Setup!$B$10</f>
        <v/>
      </c>
      <c r="I247" s="2" t="inlineStr">
        <is>
          <t>Yes</t>
        </is>
      </c>
      <c r="J247" s="2" t="n">
        <v>0</v>
      </c>
      <c r="K247" s="2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2">
        <f>Setup!$B$10</f>
        <v/>
      </c>
      <c r="I248" s="2" t="inlineStr">
        <is>
          <t>Yes</t>
        </is>
      </c>
      <c r="J248" s="2" t="n">
        <v>0</v>
      </c>
      <c r="K248" s="6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>
        <f>Setup!$B$10</f>
        <v/>
      </c>
      <c r="I249" s="2" t="inlineStr">
        <is>
          <t>Yes</t>
        </is>
      </c>
      <c r="J249" s="2" t="n">
        <v>0</v>
      </c>
      <c r="K249" s="2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2">
        <f>Setup!$B$10</f>
        <v/>
      </c>
      <c r="I250" s="2" t="inlineStr">
        <is>
          <t>Yes</t>
        </is>
      </c>
      <c r="J250" s="2" t="n">
        <v>0</v>
      </c>
      <c r="K250" s="6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>
        <f>Setup!$B$10</f>
        <v/>
      </c>
      <c r="I251" s="2" t="inlineStr">
        <is>
          <t>Yes</t>
        </is>
      </c>
      <c r="J251" s="2" t="n">
        <v>0</v>
      </c>
      <c r="K251" s="2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2">
        <f>Setup!$B$10</f>
        <v/>
      </c>
      <c r="I252" s="2" t="inlineStr">
        <is>
          <t>Yes</t>
        </is>
      </c>
      <c r="J252" s="2" t="n">
        <v>0</v>
      </c>
      <c r="K252" s="6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>
        <f>Setup!$B$10</f>
        <v/>
      </c>
      <c r="I253" s="2" t="inlineStr">
        <is>
          <t>Yes</t>
        </is>
      </c>
      <c r="J253" s="2" t="n">
        <v>0</v>
      </c>
      <c r="K253" s="2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2">
        <f>Setup!$B$10</f>
        <v/>
      </c>
      <c r="I254" s="2" t="inlineStr">
        <is>
          <t>Yes</t>
        </is>
      </c>
      <c r="J254" s="2" t="n">
        <v>0</v>
      </c>
      <c r="K254" s="6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>
        <f>Setup!$B$10</f>
        <v/>
      </c>
      <c r="I255" s="2" t="inlineStr">
        <is>
          <t>Yes</t>
        </is>
      </c>
      <c r="J255" s="2" t="n">
        <v>0</v>
      </c>
      <c r="K255" s="2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2">
        <f>Setup!$B$10</f>
        <v/>
      </c>
      <c r="I256" s="2" t="inlineStr">
        <is>
          <t>Yes</t>
        </is>
      </c>
      <c r="J256" s="2" t="n">
        <v>0</v>
      </c>
      <c r="K256" s="6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>
        <f>Setup!$B$10</f>
        <v/>
      </c>
      <c r="I257" s="2" t="inlineStr">
        <is>
          <t>Yes</t>
        </is>
      </c>
      <c r="J257" s="2" t="n">
        <v>0</v>
      </c>
      <c r="K257" s="2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2">
        <f>Setup!$B$10</f>
        <v/>
      </c>
      <c r="I258" s="2" t="inlineStr">
        <is>
          <t>Yes</t>
        </is>
      </c>
      <c r="J258" s="2" t="n">
        <v>0</v>
      </c>
      <c r="K258" s="6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>
        <f>Setup!$B$10</f>
        <v/>
      </c>
      <c r="I259" s="2" t="inlineStr">
        <is>
          <t>Yes</t>
        </is>
      </c>
      <c r="J259" s="2" t="n">
        <v>0</v>
      </c>
      <c r="K259" s="2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2">
        <f>Setup!$B$10</f>
        <v/>
      </c>
      <c r="I260" s="2" t="inlineStr">
        <is>
          <t>Yes</t>
        </is>
      </c>
      <c r="J260" s="2" t="n">
        <v>0</v>
      </c>
      <c r="K260" s="6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>
        <f>Setup!$B$10</f>
        <v/>
      </c>
      <c r="I261" s="2" t="inlineStr">
        <is>
          <t>Yes</t>
        </is>
      </c>
      <c r="J261" s="2" t="n">
        <v>0</v>
      </c>
      <c r="K261" s="2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2">
        <f>Setup!$B$10</f>
        <v/>
      </c>
      <c r="I262" s="2" t="inlineStr">
        <is>
          <t>Yes</t>
        </is>
      </c>
      <c r="J262" s="2" t="n">
        <v>0</v>
      </c>
      <c r="K262" s="6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>
        <f>Setup!$B$10</f>
        <v/>
      </c>
      <c r="I263" s="2" t="inlineStr">
        <is>
          <t>Yes</t>
        </is>
      </c>
      <c r="J263" s="2" t="n">
        <v>0</v>
      </c>
      <c r="K263" s="2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2">
        <f>Setup!$B$10</f>
        <v/>
      </c>
      <c r="I264" s="2" t="inlineStr">
        <is>
          <t>Yes</t>
        </is>
      </c>
      <c r="J264" s="2" t="n">
        <v>0</v>
      </c>
      <c r="K264" s="6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>
        <f>Setup!$B$10</f>
        <v/>
      </c>
      <c r="I265" s="2" t="inlineStr">
        <is>
          <t>Yes</t>
        </is>
      </c>
      <c r="J265" s="2" t="n">
        <v>0</v>
      </c>
      <c r="K265" s="2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2">
        <f>Setup!$B$10</f>
        <v/>
      </c>
      <c r="I266" s="2" t="inlineStr">
        <is>
          <t>Yes</t>
        </is>
      </c>
      <c r="J266" s="2" t="n">
        <v>0</v>
      </c>
      <c r="K266" s="6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>
        <f>Setup!$B$10</f>
        <v/>
      </c>
      <c r="I267" s="2" t="inlineStr">
        <is>
          <t>Yes</t>
        </is>
      </c>
      <c r="J267" s="2" t="n">
        <v>0</v>
      </c>
      <c r="K267" s="2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2">
        <f>Setup!$B$10</f>
        <v/>
      </c>
      <c r="I268" s="2" t="inlineStr">
        <is>
          <t>Yes</t>
        </is>
      </c>
      <c r="J268" s="2" t="n">
        <v>0</v>
      </c>
      <c r="K268" s="6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>
        <f>Setup!$B$10</f>
        <v/>
      </c>
      <c r="I269" s="2" t="inlineStr">
        <is>
          <t>Yes</t>
        </is>
      </c>
      <c r="J269" s="2" t="n">
        <v>0</v>
      </c>
      <c r="K269" s="2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2">
        <f>Setup!$B$10</f>
        <v/>
      </c>
      <c r="I270" s="2" t="inlineStr">
        <is>
          <t>Yes</t>
        </is>
      </c>
      <c r="J270" s="2" t="n">
        <v>0</v>
      </c>
      <c r="K270" s="6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>
        <f>Setup!$B$10</f>
        <v/>
      </c>
      <c r="I271" s="2" t="inlineStr">
        <is>
          <t>Yes</t>
        </is>
      </c>
      <c r="J271" s="2" t="n">
        <v>0</v>
      </c>
      <c r="K271" s="2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2">
        <f>Setup!$B$10</f>
        <v/>
      </c>
      <c r="I272" s="2" t="inlineStr">
        <is>
          <t>Yes</t>
        </is>
      </c>
      <c r="J272" s="2" t="n">
        <v>0</v>
      </c>
      <c r="K272" s="6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>
        <f>Setup!$B$10</f>
        <v/>
      </c>
      <c r="I273" s="2" t="inlineStr">
        <is>
          <t>Yes</t>
        </is>
      </c>
      <c r="J273" s="2" t="n">
        <v>0</v>
      </c>
      <c r="K273" s="2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2">
        <f>Setup!$B$10</f>
        <v/>
      </c>
      <c r="I274" s="2" t="inlineStr">
        <is>
          <t>Yes</t>
        </is>
      </c>
      <c r="J274" s="2" t="n">
        <v>0</v>
      </c>
      <c r="K274" s="6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>
        <f>Setup!$B$10</f>
        <v/>
      </c>
      <c r="I275" s="2" t="inlineStr">
        <is>
          <t>Yes</t>
        </is>
      </c>
      <c r="J275" s="2" t="n">
        <v>0</v>
      </c>
      <c r="K275" s="2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2">
        <f>Setup!$B$10</f>
        <v/>
      </c>
      <c r="I276" s="2" t="inlineStr">
        <is>
          <t>Yes</t>
        </is>
      </c>
      <c r="J276" s="2" t="n">
        <v>0</v>
      </c>
      <c r="K276" s="6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>
        <f>Setup!$B$10</f>
        <v/>
      </c>
      <c r="I277" s="2" t="inlineStr">
        <is>
          <t>Yes</t>
        </is>
      </c>
      <c r="J277" s="2" t="n">
        <v>0</v>
      </c>
      <c r="K277" s="2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2">
        <f>Setup!$B$10</f>
        <v/>
      </c>
      <c r="I278" s="2" t="inlineStr">
        <is>
          <t>Yes</t>
        </is>
      </c>
      <c r="J278" s="2" t="n">
        <v>0</v>
      </c>
      <c r="K278" s="6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>
        <f>Setup!$B$10</f>
        <v/>
      </c>
      <c r="I279" s="2" t="inlineStr">
        <is>
          <t>Yes</t>
        </is>
      </c>
      <c r="J279" s="2" t="n">
        <v>0</v>
      </c>
      <c r="K279" s="2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2">
        <f>Setup!$B$10</f>
        <v/>
      </c>
      <c r="I280" s="2" t="inlineStr">
        <is>
          <t>Yes</t>
        </is>
      </c>
      <c r="J280" s="2" t="n">
        <v>0</v>
      </c>
      <c r="K280" s="6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>
        <f>Setup!$B$10</f>
        <v/>
      </c>
      <c r="I281" s="2" t="inlineStr">
        <is>
          <t>Yes</t>
        </is>
      </c>
      <c r="J281" s="2" t="n">
        <v>0</v>
      </c>
      <c r="K281" s="2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2">
        <f>Setup!$B$10</f>
        <v/>
      </c>
      <c r="I282" s="2" t="inlineStr">
        <is>
          <t>Yes</t>
        </is>
      </c>
      <c r="J282" s="2" t="n">
        <v>0</v>
      </c>
      <c r="K282" s="6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>
        <f>Setup!$B$10</f>
        <v/>
      </c>
      <c r="I283" s="2" t="inlineStr">
        <is>
          <t>Yes</t>
        </is>
      </c>
      <c r="J283" s="2" t="n">
        <v>0</v>
      </c>
      <c r="K283" s="2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2">
        <f>Setup!$B$10</f>
        <v/>
      </c>
      <c r="I284" s="2" t="inlineStr">
        <is>
          <t>Yes</t>
        </is>
      </c>
      <c r="J284" s="2" t="n">
        <v>0</v>
      </c>
      <c r="K284" s="6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>
        <f>Setup!$B$10</f>
        <v/>
      </c>
      <c r="I285" s="2" t="inlineStr">
        <is>
          <t>Yes</t>
        </is>
      </c>
      <c r="J285" s="2" t="n">
        <v>0</v>
      </c>
      <c r="K285" s="2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2">
        <f>Setup!$B$10</f>
        <v/>
      </c>
      <c r="I286" s="2" t="inlineStr">
        <is>
          <t>Yes</t>
        </is>
      </c>
      <c r="J286" s="2" t="n">
        <v>0</v>
      </c>
      <c r="K286" s="6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>
        <f>Setup!$B$10</f>
        <v/>
      </c>
      <c r="I287" s="2" t="inlineStr">
        <is>
          <t>Yes</t>
        </is>
      </c>
      <c r="J287" s="2" t="n">
        <v>0</v>
      </c>
      <c r="K287" s="2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2">
        <f>Setup!$B$10</f>
        <v/>
      </c>
      <c r="I288" s="2" t="inlineStr">
        <is>
          <t>Yes</t>
        </is>
      </c>
      <c r="J288" s="2" t="n">
        <v>0</v>
      </c>
      <c r="K288" s="6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>
        <f>Setup!$B$10</f>
        <v/>
      </c>
      <c r="I289" s="2" t="inlineStr">
        <is>
          <t>Yes</t>
        </is>
      </c>
      <c r="J289" s="2" t="n">
        <v>0</v>
      </c>
      <c r="K289" s="2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2">
        <f>Setup!$B$10</f>
        <v/>
      </c>
      <c r="I290" s="2" t="inlineStr">
        <is>
          <t>Yes</t>
        </is>
      </c>
      <c r="J290" s="2" t="n">
        <v>0</v>
      </c>
      <c r="K290" s="6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>
        <f>Setup!$B$10</f>
        <v/>
      </c>
      <c r="I291" s="2" t="inlineStr">
        <is>
          <t>Yes</t>
        </is>
      </c>
      <c r="J291" s="2" t="n">
        <v>0</v>
      </c>
      <c r="K291" s="2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2">
        <f>Setup!$B$10</f>
        <v/>
      </c>
      <c r="I292" s="2" t="inlineStr">
        <is>
          <t>Yes</t>
        </is>
      </c>
      <c r="J292" s="2" t="n">
        <v>0</v>
      </c>
      <c r="K292" s="6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>
        <f>Setup!$B$10</f>
        <v/>
      </c>
      <c r="I293" s="2" t="inlineStr">
        <is>
          <t>Yes</t>
        </is>
      </c>
      <c r="J293" s="2" t="n">
        <v>0</v>
      </c>
      <c r="K293" s="2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2">
        <f>Setup!$B$10</f>
        <v/>
      </c>
      <c r="I294" s="2" t="inlineStr">
        <is>
          <t>Yes</t>
        </is>
      </c>
      <c r="J294" s="2" t="n">
        <v>0</v>
      </c>
      <c r="K294" s="6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>
        <f>Setup!$B$10</f>
        <v/>
      </c>
      <c r="I295" s="2" t="inlineStr">
        <is>
          <t>Yes</t>
        </is>
      </c>
      <c r="J295" s="2" t="n">
        <v>0</v>
      </c>
      <c r="K295" s="2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2">
        <f>Setup!$B$10</f>
        <v/>
      </c>
      <c r="I296" s="2" t="inlineStr">
        <is>
          <t>Yes</t>
        </is>
      </c>
      <c r="J296" s="2" t="n">
        <v>0</v>
      </c>
      <c r="K296" s="6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>
        <f>Setup!$B$10</f>
        <v/>
      </c>
      <c r="I297" s="2" t="inlineStr">
        <is>
          <t>Yes</t>
        </is>
      </c>
      <c r="J297" s="2" t="n">
        <v>0</v>
      </c>
      <c r="K297" s="2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2">
        <f>Setup!$B$10</f>
        <v/>
      </c>
      <c r="I298" s="2" t="inlineStr">
        <is>
          <t>Yes</t>
        </is>
      </c>
      <c r="J298" s="2" t="n">
        <v>0</v>
      </c>
      <c r="K298" s="6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>
        <f>Setup!$B$10</f>
        <v/>
      </c>
      <c r="I299" s="2" t="inlineStr">
        <is>
          <t>Yes</t>
        </is>
      </c>
      <c r="J299" s="2" t="n">
        <v>0</v>
      </c>
      <c r="K299" s="2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2">
        <f>Setup!$B$10</f>
        <v/>
      </c>
      <c r="I300" s="2" t="inlineStr">
        <is>
          <t>Yes</t>
        </is>
      </c>
      <c r="J300" s="2" t="n">
        <v>0</v>
      </c>
      <c r="K300" s="6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>
        <f>Setup!$B$10</f>
        <v/>
      </c>
      <c r="I301" s="2" t="inlineStr">
        <is>
          <t>Yes</t>
        </is>
      </c>
      <c r="J301" s="2" t="n">
        <v>0</v>
      </c>
      <c r="K301" s="2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2">
        <f>Setup!$B$10</f>
        <v/>
      </c>
      <c r="I302" s="2" t="inlineStr">
        <is>
          <t>Yes</t>
        </is>
      </c>
      <c r="J302" s="2" t="n">
        <v>0</v>
      </c>
      <c r="K302" s="6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>
        <f>Setup!$B$10</f>
        <v/>
      </c>
      <c r="I303" s="2" t="inlineStr">
        <is>
          <t>Yes</t>
        </is>
      </c>
      <c r="J303" s="2" t="n">
        <v>0</v>
      </c>
      <c r="K303" s="2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2">
        <f>Setup!$B$10</f>
        <v/>
      </c>
      <c r="I304" s="2" t="inlineStr">
        <is>
          <t>Yes</t>
        </is>
      </c>
      <c r="J304" s="2" t="n">
        <v>0</v>
      </c>
      <c r="K304" s="6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>
        <f>Setup!$B$10</f>
        <v/>
      </c>
      <c r="I305" s="2" t="inlineStr">
        <is>
          <t>Yes</t>
        </is>
      </c>
      <c r="J305" s="2" t="n">
        <v>0</v>
      </c>
      <c r="K305" s="2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2">
        <f>Setup!$B$10</f>
        <v/>
      </c>
      <c r="I306" s="2" t="inlineStr">
        <is>
          <t>Yes</t>
        </is>
      </c>
      <c r="J306" s="2" t="n">
        <v>0</v>
      </c>
      <c r="K306" s="6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>
        <f>Setup!$B$10</f>
        <v/>
      </c>
      <c r="I307" s="2" t="inlineStr">
        <is>
          <t>Yes</t>
        </is>
      </c>
      <c r="J307" s="2" t="n">
        <v>0</v>
      </c>
      <c r="K307" s="2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2">
        <f>Setup!$B$10</f>
        <v/>
      </c>
      <c r="I308" s="2" t="inlineStr">
        <is>
          <t>Yes</t>
        </is>
      </c>
      <c r="J308" s="2" t="n">
        <v>0</v>
      </c>
      <c r="K308" s="6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>
        <f>Setup!$B$10</f>
        <v/>
      </c>
      <c r="I309" s="2" t="inlineStr">
        <is>
          <t>Yes</t>
        </is>
      </c>
      <c r="J309" s="2" t="n">
        <v>0</v>
      </c>
      <c r="K309" s="2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2">
        <f>Setup!$B$10</f>
        <v/>
      </c>
      <c r="I310" s="2" t="inlineStr">
        <is>
          <t>Yes</t>
        </is>
      </c>
      <c r="J310" s="2" t="n">
        <v>0</v>
      </c>
      <c r="K310" s="6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>
        <f>Setup!$B$10</f>
        <v/>
      </c>
      <c r="I311" s="2" t="inlineStr">
        <is>
          <t>Yes</t>
        </is>
      </c>
      <c r="J311" s="2" t="n">
        <v>0</v>
      </c>
      <c r="K311" s="2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2">
        <f>Setup!$B$10</f>
        <v/>
      </c>
      <c r="I312" s="2" t="inlineStr">
        <is>
          <t>Yes</t>
        </is>
      </c>
      <c r="J312" s="2" t="n">
        <v>0</v>
      </c>
      <c r="K312" s="6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>
        <f>Setup!$B$10</f>
        <v/>
      </c>
      <c r="I313" s="2" t="inlineStr">
        <is>
          <t>Yes</t>
        </is>
      </c>
      <c r="J313" s="2" t="n">
        <v>0</v>
      </c>
      <c r="K313" s="2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2">
        <f>Setup!$B$10</f>
        <v/>
      </c>
      <c r="I314" s="2" t="inlineStr">
        <is>
          <t>Yes</t>
        </is>
      </c>
      <c r="J314" s="2" t="n">
        <v>0</v>
      </c>
      <c r="K314" s="6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>
        <f>Setup!$B$10</f>
        <v/>
      </c>
      <c r="I315" s="2" t="inlineStr">
        <is>
          <t>Yes</t>
        </is>
      </c>
      <c r="J315" s="2" t="n">
        <v>0</v>
      </c>
      <c r="K315" s="2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2">
        <f>Setup!$B$10</f>
        <v/>
      </c>
      <c r="I316" s="2" t="inlineStr">
        <is>
          <t>Yes</t>
        </is>
      </c>
      <c r="J316" s="2" t="n">
        <v>0</v>
      </c>
      <c r="K316" s="6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>
        <f>Setup!$B$10</f>
        <v/>
      </c>
      <c r="I317" s="2" t="inlineStr">
        <is>
          <t>Yes</t>
        </is>
      </c>
      <c r="J317" s="2" t="n">
        <v>0</v>
      </c>
      <c r="K317" s="2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2">
        <f>Setup!$B$10</f>
        <v/>
      </c>
      <c r="I318" s="2" t="inlineStr">
        <is>
          <t>Yes</t>
        </is>
      </c>
      <c r="J318" s="2" t="n">
        <v>0</v>
      </c>
      <c r="K318" s="6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>
        <f>Setup!$B$10</f>
        <v/>
      </c>
      <c r="I319" s="2" t="inlineStr">
        <is>
          <t>Yes</t>
        </is>
      </c>
      <c r="J319" s="2" t="n">
        <v>0</v>
      </c>
      <c r="K319" s="2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2">
        <f>Setup!$B$10</f>
        <v/>
      </c>
      <c r="I320" s="2" t="inlineStr">
        <is>
          <t>Yes</t>
        </is>
      </c>
      <c r="J320" s="2" t="n">
        <v>0</v>
      </c>
      <c r="K320" s="6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>
        <f>Setup!$B$10</f>
        <v/>
      </c>
      <c r="I321" s="2" t="inlineStr">
        <is>
          <t>Yes</t>
        </is>
      </c>
      <c r="J321" s="2" t="n">
        <v>0</v>
      </c>
      <c r="K321" s="2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2">
        <f>Setup!$B$10</f>
        <v/>
      </c>
      <c r="I322" s="2" t="inlineStr">
        <is>
          <t>Yes</t>
        </is>
      </c>
      <c r="J322" s="2" t="n">
        <v>0</v>
      </c>
      <c r="K322" s="6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>
        <f>Setup!$B$10</f>
        <v/>
      </c>
      <c r="I323" s="2" t="inlineStr">
        <is>
          <t>Yes</t>
        </is>
      </c>
      <c r="J323" s="2" t="n">
        <v>0</v>
      </c>
      <c r="K323" s="2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2">
        <f>Setup!$B$10</f>
        <v/>
      </c>
      <c r="I324" s="2" t="inlineStr">
        <is>
          <t>Yes</t>
        </is>
      </c>
      <c r="J324" s="2" t="n">
        <v>0</v>
      </c>
      <c r="K324" s="6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>
        <f>Setup!$B$10</f>
        <v/>
      </c>
      <c r="I325" s="2" t="inlineStr">
        <is>
          <t>Yes</t>
        </is>
      </c>
      <c r="J325" s="2" t="n">
        <v>0</v>
      </c>
      <c r="K325" s="2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2">
        <f>Setup!$B$10</f>
        <v/>
      </c>
      <c r="I326" s="2" t="inlineStr">
        <is>
          <t>Yes</t>
        </is>
      </c>
      <c r="J326" s="2" t="n">
        <v>0</v>
      </c>
      <c r="K326" s="6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>
        <f>Setup!$B$10</f>
        <v/>
      </c>
      <c r="I327" s="2" t="inlineStr">
        <is>
          <t>Yes</t>
        </is>
      </c>
      <c r="J327" s="2" t="n">
        <v>0</v>
      </c>
      <c r="K327" s="2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2">
        <f>Setup!$B$10</f>
        <v/>
      </c>
      <c r="I328" s="2" t="inlineStr">
        <is>
          <t>Yes</t>
        </is>
      </c>
      <c r="J328" s="2" t="n">
        <v>0</v>
      </c>
      <c r="K328" s="6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>
        <f>Setup!$B$10</f>
        <v/>
      </c>
      <c r="I329" s="2" t="inlineStr">
        <is>
          <t>Yes</t>
        </is>
      </c>
      <c r="J329" s="2" t="n">
        <v>0</v>
      </c>
      <c r="K329" s="2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2">
        <f>Setup!$B$10</f>
        <v/>
      </c>
      <c r="I330" s="2" t="inlineStr">
        <is>
          <t>Yes</t>
        </is>
      </c>
      <c r="J330" s="2" t="n">
        <v>0</v>
      </c>
      <c r="K330" s="6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>
        <f>Setup!$B$10</f>
        <v/>
      </c>
      <c r="I331" s="2" t="inlineStr">
        <is>
          <t>Yes</t>
        </is>
      </c>
      <c r="J331" s="2" t="n">
        <v>0</v>
      </c>
      <c r="K331" s="2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2">
        <f>Setup!$B$10</f>
        <v/>
      </c>
      <c r="I332" s="2" t="inlineStr">
        <is>
          <t>Yes</t>
        </is>
      </c>
      <c r="J332" s="2" t="n">
        <v>0</v>
      </c>
      <c r="K332" s="6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>
        <f>Setup!$B$10</f>
        <v/>
      </c>
      <c r="I333" s="2" t="inlineStr">
        <is>
          <t>Yes</t>
        </is>
      </c>
      <c r="J333" s="2" t="n">
        <v>0</v>
      </c>
      <c r="K333" s="2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2">
        <f>Setup!$B$10</f>
        <v/>
      </c>
      <c r="I334" s="2" t="inlineStr">
        <is>
          <t>Yes</t>
        </is>
      </c>
      <c r="J334" s="2" t="n">
        <v>0</v>
      </c>
      <c r="K334" s="6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>
        <f>Setup!$B$10</f>
        <v/>
      </c>
      <c r="I335" s="2" t="inlineStr">
        <is>
          <t>Yes</t>
        </is>
      </c>
      <c r="J335" s="2" t="n">
        <v>0</v>
      </c>
      <c r="K335" s="2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2">
        <f>Setup!$B$10</f>
        <v/>
      </c>
      <c r="I336" s="2" t="inlineStr">
        <is>
          <t>Yes</t>
        </is>
      </c>
      <c r="J336" s="2" t="n">
        <v>0</v>
      </c>
      <c r="K336" s="6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>
        <f>Setup!$B$10</f>
        <v/>
      </c>
      <c r="I337" s="2" t="inlineStr">
        <is>
          <t>Yes</t>
        </is>
      </c>
      <c r="J337" s="2" t="n">
        <v>0</v>
      </c>
      <c r="K337" s="2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2">
        <f>Setup!$B$10</f>
        <v/>
      </c>
      <c r="I338" s="2" t="inlineStr">
        <is>
          <t>Yes</t>
        </is>
      </c>
      <c r="J338" s="2" t="n">
        <v>0</v>
      </c>
      <c r="K338" s="6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>
        <f>Setup!$B$10</f>
        <v/>
      </c>
      <c r="I339" s="2" t="inlineStr">
        <is>
          <t>Yes</t>
        </is>
      </c>
      <c r="J339" s="2" t="n">
        <v>0</v>
      </c>
      <c r="K339" s="2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2">
        <f>Setup!$B$10</f>
        <v/>
      </c>
      <c r="I340" s="2" t="inlineStr">
        <is>
          <t>Yes</t>
        </is>
      </c>
      <c r="J340" s="2" t="n">
        <v>0</v>
      </c>
      <c r="K340" s="6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>
        <f>Setup!$B$10</f>
        <v/>
      </c>
      <c r="I341" s="2" t="inlineStr">
        <is>
          <t>Yes</t>
        </is>
      </c>
      <c r="J341" s="2" t="n">
        <v>0</v>
      </c>
      <c r="K341" s="2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2">
        <f>Setup!$B$10</f>
        <v/>
      </c>
      <c r="I342" s="2" t="inlineStr">
        <is>
          <t>Yes</t>
        </is>
      </c>
      <c r="J342" s="2" t="n">
        <v>0</v>
      </c>
      <c r="K342" s="6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>
        <f>Setup!$B$10</f>
        <v/>
      </c>
      <c r="I343" s="2" t="inlineStr">
        <is>
          <t>Yes</t>
        </is>
      </c>
      <c r="J343" s="2" t="n">
        <v>0</v>
      </c>
      <c r="K343" s="2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2">
        <f>Setup!$B$10</f>
        <v/>
      </c>
      <c r="I344" s="2" t="inlineStr">
        <is>
          <t>Yes</t>
        </is>
      </c>
      <c r="J344" s="2" t="n">
        <v>0</v>
      </c>
      <c r="K344" s="6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>
        <f>Setup!$B$10</f>
        <v/>
      </c>
      <c r="I345" s="2" t="inlineStr">
        <is>
          <t>Yes</t>
        </is>
      </c>
      <c r="J345" s="2" t="n">
        <v>0</v>
      </c>
      <c r="K345" s="2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2">
        <f>Setup!$B$10</f>
        <v/>
      </c>
      <c r="I346" s="2" t="inlineStr">
        <is>
          <t>Yes</t>
        </is>
      </c>
      <c r="J346" s="2" t="n">
        <v>0</v>
      </c>
      <c r="K346" s="6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>
        <f>Setup!$B$10</f>
        <v/>
      </c>
      <c r="I347" s="2" t="inlineStr">
        <is>
          <t>Yes</t>
        </is>
      </c>
      <c r="J347" s="2" t="n">
        <v>0</v>
      </c>
      <c r="K347" s="2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2">
        <f>Setup!$B$10</f>
        <v/>
      </c>
      <c r="I348" s="2" t="inlineStr">
        <is>
          <t>Yes</t>
        </is>
      </c>
      <c r="J348" s="2" t="n">
        <v>0</v>
      </c>
      <c r="K348" s="6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>
        <f>Setup!$B$10</f>
        <v/>
      </c>
      <c r="I349" s="2" t="inlineStr">
        <is>
          <t>Yes</t>
        </is>
      </c>
      <c r="J349" s="2" t="n">
        <v>0</v>
      </c>
      <c r="K349" s="2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2">
        <f>Setup!$B$10</f>
        <v/>
      </c>
      <c r="I350" s="2" t="inlineStr">
        <is>
          <t>Yes</t>
        </is>
      </c>
      <c r="J350" s="2" t="n">
        <v>0</v>
      </c>
      <c r="K350" s="6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>
        <f>Setup!$B$10</f>
        <v/>
      </c>
      <c r="I351" s="2" t="inlineStr">
        <is>
          <t>Yes</t>
        </is>
      </c>
      <c r="J351" s="2" t="n">
        <v>0</v>
      </c>
      <c r="K351" s="2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2">
        <f>Setup!$B$10</f>
        <v/>
      </c>
      <c r="I352" s="2" t="inlineStr">
        <is>
          <t>Yes</t>
        </is>
      </c>
      <c r="J352" s="2" t="n">
        <v>0</v>
      </c>
      <c r="K352" s="6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>
        <f>Setup!$B$10</f>
        <v/>
      </c>
      <c r="I353" s="2" t="inlineStr">
        <is>
          <t>Yes</t>
        </is>
      </c>
      <c r="J353" s="2" t="n">
        <v>0</v>
      </c>
      <c r="K353" s="2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2">
        <f>Setup!$B$10</f>
        <v/>
      </c>
      <c r="I354" s="2" t="inlineStr">
        <is>
          <t>Yes</t>
        </is>
      </c>
      <c r="J354" s="2" t="n">
        <v>0</v>
      </c>
      <c r="K354" s="6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>
        <f>Setup!$B$10</f>
        <v/>
      </c>
      <c r="I355" s="2" t="inlineStr">
        <is>
          <t>Yes</t>
        </is>
      </c>
      <c r="J355" s="2" t="n">
        <v>0</v>
      </c>
      <c r="K355" s="2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2">
        <f>Setup!$B$10</f>
        <v/>
      </c>
      <c r="I356" s="2" t="inlineStr">
        <is>
          <t>Yes</t>
        </is>
      </c>
      <c r="J356" s="2" t="n">
        <v>0</v>
      </c>
      <c r="K356" s="6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>
        <f>Setup!$B$10</f>
        <v/>
      </c>
      <c r="I357" s="2" t="inlineStr">
        <is>
          <t>Yes</t>
        </is>
      </c>
      <c r="J357" s="2" t="n">
        <v>0</v>
      </c>
      <c r="K357" s="2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2">
        <f>Setup!$B$10</f>
        <v/>
      </c>
      <c r="I358" s="2" t="inlineStr">
        <is>
          <t>Yes</t>
        </is>
      </c>
      <c r="J358" s="2" t="n">
        <v>0</v>
      </c>
      <c r="K358" s="6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>
        <f>Setup!$B$10</f>
        <v/>
      </c>
      <c r="I359" s="2" t="inlineStr">
        <is>
          <t>Yes</t>
        </is>
      </c>
      <c r="J359" s="2" t="n">
        <v>0</v>
      </c>
      <c r="K359" s="2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2">
        <f>Setup!$B$10</f>
        <v/>
      </c>
      <c r="I360" s="2" t="inlineStr">
        <is>
          <t>Yes</t>
        </is>
      </c>
      <c r="J360" s="2" t="n">
        <v>0</v>
      </c>
      <c r="K360" s="6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>
        <f>Setup!$B$10</f>
        <v/>
      </c>
      <c r="I361" s="2" t="inlineStr">
        <is>
          <t>Yes</t>
        </is>
      </c>
      <c r="J361" s="2" t="n">
        <v>0</v>
      </c>
      <c r="K361" s="2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2">
        <f>Setup!$B$10</f>
        <v/>
      </c>
      <c r="I362" s="2" t="inlineStr">
        <is>
          <t>Yes</t>
        </is>
      </c>
      <c r="J362" s="2" t="n">
        <v>0</v>
      </c>
      <c r="K362" s="6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>
        <f>Setup!$B$10</f>
        <v/>
      </c>
      <c r="I363" s="2" t="inlineStr">
        <is>
          <t>Yes</t>
        </is>
      </c>
      <c r="J363" s="2" t="n">
        <v>0</v>
      </c>
      <c r="K363" s="2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2">
        <f>Setup!$B$10</f>
        <v/>
      </c>
      <c r="I364" s="2" t="inlineStr">
        <is>
          <t>Yes</t>
        </is>
      </c>
      <c r="J364" s="2" t="n">
        <v>0</v>
      </c>
      <c r="K364" s="6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>
        <f>Setup!$B$10</f>
        <v/>
      </c>
      <c r="I365" s="2" t="inlineStr">
        <is>
          <t>Yes</t>
        </is>
      </c>
      <c r="J365" s="2" t="n">
        <v>0</v>
      </c>
      <c r="K365" s="2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2">
        <f>Setup!$B$10</f>
        <v/>
      </c>
      <c r="I366" s="2" t="inlineStr">
        <is>
          <t>Yes</t>
        </is>
      </c>
      <c r="J366" s="2" t="n">
        <v>0</v>
      </c>
      <c r="K366" s="6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>
        <f>Setup!$B$10</f>
        <v/>
      </c>
      <c r="I367" s="2" t="inlineStr">
        <is>
          <t>Yes</t>
        </is>
      </c>
      <c r="J367" s="2" t="n">
        <v>0</v>
      </c>
      <c r="K367" s="2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2">
        <f>Setup!$B$10</f>
        <v/>
      </c>
      <c r="I368" s="2" t="inlineStr">
        <is>
          <t>Yes</t>
        </is>
      </c>
      <c r="J368" s="2" t="n">
        <v>0</v>
      </c>
      <c r="K368" s="6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>
        <f>Setup!$B$10</f>
        <v/>
      </c>
      <c r="I369" s="2" t="inlineStr">
        <is>
          <t>Yes</t>
        </is>
      </c>
      <c r="J369" s="2" t="n">
        <v>0</v>
      </c>
      <c r="K369" s="2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2">
        <f>Setup!$B$10</f>
        <v/>
      </c>
      <c r="I370" s="2" t="inlineStr">
        <is>
          <t>Yes</t>
        </is>
      </c>
      <c r="J370" s="2" t="n">
        <v>0</v>
      </c>
      <c r="K370" s="6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>
        <f>Setup!$B$10</f>
        <v/>
      </c>
      <c r="I371" s="2" t="inlineStr">
        <is>
          <t>Yes</t>
        </is>
      </c>
      <c r="J371" s="2" t="n">
        <v>0</v>
      </c>
      <c r="K371" s="2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2">
        <f>Setup!$B$10</f>
        <v/>
      </c>
      <c r="I372" s="2" t="inlineStr">
        <is>
          <t>Yes</t>
        </is>
      </c>
      <c r="J372" s="2" t="n">
        <v>0</v>
      </c>
      <c r="K372" s="6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>
        <f>Setup!$B$10</f>
        <v/>
      </c>
      <c r="I373" s="2" t="inlineStr">
        <is>
          <t>Yes</t>
        </is>
      </c>
      <c r="J373" s="2" t="n">
        <v>0</v>
      </c>
      <c r="K373" s="2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2">
        <f>Setup!$B$10</f>
        <v/>
      </c>
      <c r="I374" s="2" t="inlineStr">
        <is>
          <t>Yes</t>
        </is>
      </c>
      <c r="J374" s="2" t="n">
        <v>0</v>
      </c>
      <c r="K374" s="6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>
        <f>Setup!$B$10</f>
        <v/>
      </c>
      <c r="I375" s="2" t="inlineStr">
        <is>
          <t>Yes</t>
        </is>
      </c>
      <c r="J375" s="2" t="n">
        <v>0</v>
      </c>
      <c r="K375" s="2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2">
        <f>Setup!$B$10</f>
        <v/>
      </c>
      <c r="I376" s="2" t="inlineStr">
        <is>
          <t>Yes</t>
        </is>
      </c>
      <c r="J376" s="2" t="n">
        <v>0</v>
      </c>
      <c r="K376" s="6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>
        <f>Setup!$B$10</f>
        <v/>
      </c>
      <c r="I377" s="2" t="inlineStr">
        <is>
          <t>Yes</t>
        </is>
      </c>
      <c r="J377" s="2" t="n">
        <v>0</v>
      </c>
      <c r="K377" s="2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2">
        <f>Setup!$B$10</f>
        <v/>
      </c>
      <c r="I378" s="2" t="inlineStr">
        <is>
          <t>Yes</t>
        </is>
      </c>
      <c r="J378" s="2" t="n">
        <v>0</v>
      </c>
      <c r="K378" s="6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>
        <f>Setup!$B$10</f>
        <v/>
      </c>
      <c r="I379" s="2" t="inlineStr">
        <is>
          <t>Yes</t>
        </is>
      </c>
      <c r="J379" s="2" t="n">
        <v>0</v>
      </c>
      <c r="K379" s="2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2">
        <f>Setup!$B$10</f>
        <v/>
      </c>
      <c r="I380" s="2" t="inlineStr">
        <is>
          <t>Yes</t>
        </is>
      </c>
      <c r="J380" s="2" t="n">
        <v>0</v>
      </c>
      <c r="K380" s="6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>
        <f>Setup!$B$10</f>
        <v/>
      </c>
      <c r="I381" s="2" t="inlineStr">
        <is>
          <t>Yes</t>
        </is>
      </c>
      <c r="J381" s="2" t="n">
        <v>0</v>
      </c>
      <c r="K381" s="2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2">
        <f>Setup!$B$10</f>
        <v/>
      </c>
      <c r="I382" s="2" t="inlineStr">
        <is>
          <t>Yes</t>
        </is>
      </c>
      <c r="J382" s="2" t="n">
        <v>0</v>
      </c>
      <c r="K382" s="6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>
        <f>Setup!$B$10</f>
        <v/>
      </c>
      <c r="I383" s="2" t="inlineStr">
        <is>
          <t>Yes</t>
        </is>
      </c>
      <c r="J383" s="2" t="n">
        <v>0</v>
      </c>
      <c r="K383" s="2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2">
        <f>Setup!$B$10</f>
        <v/>
      </c>
      <c r="I384" s="2" t="inlineStr">
        <is>
          <t>Yes</t>
        </is>
      </c>
      <c r="J384" s="2" t="n">
        <v>0</v>
      </c>
      <c r="K384" s="6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>
        <f>Setup!$B$10</f>
        <v/>
      </c>
      <c r="I385" s="2" t="inlineStr">
        <is>
          <t>Yes</t>
        </is>
      </c>
      <c r="J385" s="2" t="n">
        <v>0</v>
      </c>
      <c r="K385" s="2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2">
        <f>Setup!$B$10</f>
        <v/>
      </c>
      <c r="I386" s="2" t="inlineStr">
        <is>
          <t>Yes</t>
        </is>
      </c>
      <c r="J386" s="2" t="n">
        <v>0</v>
      </c>
      <c r="K386" s="6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>
        <f>Setup!$B$10</f>
        <v/>
      </c>
      <c r="I387" s="2" t="inlineStr">
        <is>
          <t>Yes</t>
        </is>
      </c>
      <c r="J387" s="2" t="n">
        <v>0</v>
      </c>
      <c r="K387" s="2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2">
        <f>Setup!$B$10</f>
        <v/>
      </c>
      <c r="I388" s="2" t="inlineStr">
        <is>
          <t>Yes</t>
        </is>
      </c>
      <c r="J388" s="2" t="n">
        <v>0</v>
      </c>
      <c r="K388" s="6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>
        <f>Setup!$B$10</f>
        <v/>
      </c>
      <c r="I389" s="2" t="inlineStr">
        <is>
          <t>Yes</t>
        </is>
      </c>
      <c r="J389" s="2" t="n">
        <v>0</v>
      </c>
      <c r="K389" s="2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2">
        <f>Setup!$B$10</f>
        <v/>
      </c>
      <c r="I390" s="2" t="inlineStr">
        <is>
          <t>Yes</t>
        </is>
      </c>
      <c r="J390" s="2" t="n">
        <v>0</v>
      </c>
      <c r="K390" s="6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>
        <f>Setup!$B$10</f>
        <v/>
      </c>
      <c r="I391" s="2" t="inlineStr">
        <is>
          <t>Yes</t>
        </is>
      </c>
      <c r="J391" s="2" t="n">
        <v>0</v>
      </c>
      <c r="K391" s="2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2">
        <f>Setup!$B$10</f>
        <v/>
      </c>
      <c r="I392" s="2" t="inlineStr">
        <is>
          <t>Yes</t>
        </is>
      </c>
      <c r="J392" s="2" t="n">
        <v>0</v>
      </c>
      <c r="K392" s="6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>
        <f>Setup!$B$10</f>
        <v/>
      </c>
      <c r="I393" s="2" t="inlineStr">
        <is>
          <t>Yes</t>
        </is>
      </c>
      <c r="J393" s="2" t="n">
        <v>0</v>
      </c>
      <c r="K393" s="2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2">
        <f>Setup!$B$10</f>
        <v/>
      </c>
      <c r="I394" s="2" t="inlineStr">
        <is>
          <t>Yes</t>
        </is>
      </c>
      <c r="J394" s="2" t="n">
        <v>0</v>
      </c>
      <c r="K394" s="6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>
        <f>Setup!$B$10</f>
        <v/>
      </c>
      <c r="I395" s="2" t="inlineStr">
        <is>
          <t>Yes</t>
        </is>
      </c>
      <c r="J395" s="2" t="n">
        <v>0</v>
      </c>
      <c r="K395" s="2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2">
        <f>Setup!$B$10</f>
        <v/>
      </c>
      <c r="I396" s="2" t="inlineStr">
        <is>
          <t>Yes</t>
        </is>
      </c>
      <c r="J396" s="2" t="n">
        <v>0</v>
      </c>
      <c r="K396" s="6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>
        <f>Setup!$B$10</f>
        <v/>
      </c>
      <c r="I397" s="2" t="inlineStr">
        <is>
          <t>Yes</t>
        </is>
      </c>
      <c r="J397" s="2" t="n">
        <v>0</v>
      </c>
      <c r="K397" s="2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2">
        <f>Setup!$B$10</f>
        <v/>
      </c>
      <c r="I398" s="2" t="inlineStr">
        <is>
          <t>Yes</t>
        </is>
      </c>
      <c r="J398" s="2" t="n">
        <v>0</v>
      </c>
      <c r="K398" s="6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>
        <f>Setup!$B$10</f>
        <v/>
      </c>
      <c r="I399" s="2" t="inlineStr">
        <is>
          <t>Yes</t>
        </is>
      </c>
      <c r="J399" s="2" t="n">
        <v>0</v>
      </c>
      <c r="K399" s="2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2">
        <f>Setup!$B$10</f>
        <v/>
      </c>
      <c r="I400" s="2" t="inlineStr">
        <is>
          <t>Yes</t>
        </is>
      </c>
      <c r="J400" s="2" t="n">
        <v>0</v>
      </c>
      <c r="K400" s="6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>
        <f>Setup!$B$10</f>
        <v/>
      </c>
      <c r="I401" s="2" t="inlineStr">
        <is>
          <t>Yes</t>
        </is>
      </c>
      <c r="J401" s="2" t="n">
        <v>0</v>
      </c>
      <c r="K401" s="2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2">
        <f>Setup!$B$10</f>
        <v/>
      </c>
      <c r="I402" s="2" t="inlineStr">
        <is>
          <t>Yes</t>
        </is>
      </c>
      <c r="J402" s="2" t="n">
        <v>0</v>
      </c>
      <c r="K402" s="6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>
        <f>Setup!$B$10</f>
        <v/>
      </c>
      <c r="I403" s="2" t="inlineStr">
        <is>
          <t>Yes</t>
        </is>
      </c>
      <c r="J403" s="2" t="n">
        <v>0</v>
      </c>
      <c r="K403" s="2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2">
        <f>Setup!$B$10</f>
        <v/>
      </c>
      <c r="I404" s="2" t="inlineStr">
        <is>
          <t>Yes</t>
        </is>
      </c>
      <c r="J404" s="2" t="n">
        <v>0</v>
      </c>
      <c r="K404" s="6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>
        <f>Setup!$B$10</f>
        <v/>
      </c>
      <c r="I405" s="2" t="inlineStr">
        <is>
          <t>Yes</t>
        </is>
      </c>
      <c r="J405" s="2" t="n">
        <v>0</v>
      </c>
      <c r="K405" s="2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2">
        <f>Setup!$B$10</f>
        <v/>
      </c>
      <c r="I406" s="2" t="inlineStr">
        <is>
          <t>Yes</t>
        </is>
      </c>
      <c r="J406" s="2" t="n">
        <v>0</v>
      </c>
      <c r="K406" s="6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>
        <f>Setup!$B$10</f>
        <v/>
      </c>
      <c r="I407" s="2" t="inlineStr">
        <is>
          <t>Yes</t>
        </is>
      </c>
      <c r="J407" s="2" t="n">
        <v>0</v>
      </c>
      <c r="K407" s="2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2">
        <f>Setup!$B$10</f>
        <v/>
      </c>
      <c r="I408" s="2" t="inlineStr">
        <is>
          <t>Yes</t>
        </is>
      </c>
      <c r="J408" s="2" t="n">
        <v>0</v>
      </c>
      <c r="K408" s="6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>
        <f>Setup!$B$10</f>
        <v/>
      </c>
      <c r="I409" s="2" t="inlineStr">
        <is>
          <t>Yes</t>
        </is>
      </c>
      <c r="J409" s="2" t="n">
        <v>0</v>
      </c>
      <c r="K409" s="2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2">
        <f>Setup!$B$10</f>
        <v/>
      </c>
      <c r="I410" s="2" t="inlineStr">
        <is>
          <t>Yes</t>
        </is>
      </c>
      <c r="J410" s="2" t="n">
        <v>0</v>
      </c>
      <c r="K410" s="6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>
        <f>Setup!$B$10</f>
        <v/>
      </c>
      <c r="I411" s="2" t="inlineStr">
        <is>
          <t>Yes</t>
        </is>
      </c>
      <c r="J411" s="2" t="n">
        <v>0</v>
      </c>
      <c r="K411" s="2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2">
        <f>Setup!$B$10</f>
        <v/>
      </c>
      <c r="I412" s="2" t="inlineStr">
        <is>
          <t>Yes</t>
        </is>
      </c>
      <c r="J412" s="2" t="n">
        <v>0</v>
      </c>
      <c r="K412" s="6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>
        <f>Setup!$B$10</f>
        <v/>
      </c>
      <c r="I413" s="2" t="inlineStr">
        <is>
          <t>Yes</t>
        </is>
      </c>
      <c r="J413" s="2" t="n">
        <v>0</v>
      </c>
      <c r="K413" s="2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2">
        <f>Setup!$B$10</f>
        <v/>
      </c>
      <c r="I414" s="2" t="inlineStr">
        <is>
          <t>Yes</t>
        </is>
      </c>
      <c r="J414" s="2" t="n">
        <v>0</v>
      </c>
      <c r="K414" s="6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>
        <f>Setup!$B$10</f>
        <v/>
      </c>
      <c r="I415" s="2" t="inlineStr">
        <is>
          <t>Yes</t>
        </is>
      </c>
      <c r="J415" s="2" t="n">
        <v>0</v>
      </c>
      <c r="K415" s="2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2">
        <f>Setup!$B$10</f>
        <v/>
      </c>
      <c r="I416" s="2" t="inlineStr">
        <is>
          <t>Yes</t>
        </is>
      </c>
      <c r="J416" s="2" t="n">
        <v>0</v>
      </c>
      <c r="K416" s="6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>
        <f>Setup!$B$10</f>
        <v/>
      </c>
      <c r="I417" s="2" t="inlineStr">
        <is>
          <t>Yes</t>
        </is>
      </c>
      <c r="J417" s="2" t="n">
        <v>0</v>
      </c>
      <c r="K417" s="2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2">
        <f>Setup!$B$10</f>
        <v/>
      </c>
      <c r="I418" s="2" t="inlineStr">
        <is>
          <t>Yes</t>
        </is>
      </c>
      <c r="J418" s="2" t="n">
        <v>0</v>
      </c>
      <c r="K418" s="6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>
        <f>Setup!$B$10</f>
        <v/>
      </c>
      <c r="I419" s="2" t="inlineStr">
        <is>
          <t>Yes</t>
        </is>
      </c>
      <c r="J419" s="2" t="n">
        <v>0</v>
      </c>
      <c r="K419" s="2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2">
        <f>Setup!$B$10</f>
        <v/>
      </c>
      <c r="I420" s="2" t="inlineStr">
        <is>
          <t>Yes</t>
        </is>
      </c>
      <c r="J420" s="2" t="n">
        <v>0</v>
      </c>
      <c r="K420" s="6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>
        <f>Setup!$B$10</f>
        <v/>
      </c>
      <c r="I421" s="2" t="inlineStr">
        <is>
          <t>Yes</t>
        </is>
      </c>
      <c r="J421" s="2" t="n">
        <v>0</v>
      </c>
      <c r="K421" s="2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2">
        <f>Setup!$B$10</f>
        <v/>
      </c>
      <c r="I422" s="2" t="inlineStr">
        <is>
          <t>Yes</t>
        </is>
      </c>
      <c r="J422" s="2" t="n">
        <v>0</v>
      </c>
      <c r="K422" s="6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>
        <f>Setup!$B$10</f>
        <v/>
      </c>
      <c r="I423" s="2" t="inlineStr">
        <is>
          <t>Yes</t>
        </is>
      </c>
      <c r="J423" s="2" t="n">
        <v>0</v>
      </c>
      <c r="K423" s="2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2">
        <f>Setup!$B$10</f>
        <v/>
      </c>
      <c r="I424" s="2" t="inlineStr">
        <is>
          <t>Yes</t>
        </is>
      </c>
      <c r="J424" s="2" t="n">
        <v>0</v>
      </c>
      <c r="K424" s="6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>
        <f>Setup!$B$10</f>
        <v/>
      </c>
      <c r="I425" s="2" t="inlineStr">
        <is>
          <t>Yes</t>
        </is>
      </c>
      <c r="J425" s="2" t="n">
        <v>0</v>
      </c>
      <c r="K425" s="2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2">
        <f>Setup!$B$10</f>
        <v/>
      </c>
      <c r="I426" s="2" t="inlineStr">
        <is>
          <t>Yes</t>
        </is>
      </c>
      <c r="J426" s="2" t="n">
        <v>0</v>
      </c>
      <c r="K426" s="6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>
        <f>Setup!$B$10</f>
        <v/>
      </c>
      <c r="I427" s="2" t="inlineStr">
        <is>
          <t>Yes</t>
        </is>
      </c>
      <c r="J427" s="2" t="n">
        <v>0</v>
      </c>
      <c r="K427" s="2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2">
        <f>Setup!$B$10</f>
        <v/>
      </c>
      <c r="I428" s="2" t="inlineStr">
        <is>
          <t>Yes</t>
        </is>
      </c>
      <c r="J428" s="2" t="n">
        <v>0</v>
      </c>
      <c r="K428" s="6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>
        <f>Setup!$B$10</f>
        <v/>
      </c>
      <c r="I429" s="2" t="inlineStr">
        <is>
          <t>Yes</t>
        </is>
      </c>
      <c r="J429" s="2" t="n">
        <v>0</v>
      </c>
      <c r="K429" s="2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2">
        <f>Setup!$B$10</f>
        <v/>
      </c>
      <c r="I430" s="2" t="inlineStr">
        <is>
          <t>Yes</t>
        </is>
      </c>
      <c r="J430" s="2" t="n">
        <v>0</v>
      </c>
      <c r="K430" s="6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>
        <f>Setup!$B$10</f>
        <v/>
      </c>
      <c r="I431" s="2" t="inlineStr">
        <is>
          <t>Yes</t>
        </is>
      </c>
      <c r="J431" s="2" t="n">
        <v>0</v>
      </c>
      <c r="K431" s="2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2">
        <f>Setup!$B$10</f>
        <v/>
      </c>
      <c r="I432" s="2" t="inlineStr">
        <is>
          <t>Yes</t>
        </is>
      </c>
      <c r="J432" s="2" t="n">
        <v>0</v>
      </c>
      <c r="K432" s="6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>
        <f>Setup!$B$10</f>
        <v/>
      </c>
      <c r="I433" s="2" t="inlineStr">
        <is>
          <t>Yes</t>
        </is>
      </c>
      <c r="J433" s="2" t="n">
        <v>0</v>
      </c>
      <c r="K433" s="2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2">
        <f>Setup!$B$10</f>
        <v/>
      </c>
      <c r="I434" s="2" t="inlineStr">
        <is>
          <t>Yes</t>
        </is>
      </c>
      <c r="J434" s="2" t="n">
        <v>0</v>
      </c>
      <c r="K434" s="6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>
        <f>Setup!$B$10</f>
        <v/>
      </c>
      <c r="I435" s="2" t="inlineStr">
        <is>
          <t>Yes</t>
        </is>
      </c>
      <c r="J435" s="2" t="n">
        <v>0</v>
      </c>
      <c r="K435" s="2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2">
        <f>Setup!$B$10</f>
        <v/>
      </c>
      <c r="I436" s="2" t="inlineStr">
        <is>
          <t>Yes</t>
        </is>
      </c>
      <c r="J436" s="2" t="n">
        <v>0</v>
      </c>
      <c r="K436" s="6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>
        <f>Setup!$B$10</f>
        <v/>
      </c>
      <c r="I437" s="2" t="inlineStr">
        <is>
          <t>Yes</t>
        </is>
      </c>
      <c r="J437" s="2" t="n">
        <v>0</v>
      </c>
      <c r="K437" s="2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2">
        <f>Setup!$B$10</f>
        <v/>
      </c>
      <c r="I438" s="2" t="inlineStr">
        <is>
          <t>Yes</t>
        </is>
      </c>
      <c r="J438" s="2" t="n">
        <v>0</v>
      </c>
      <c r="K438" s="6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>
        <f>Setup!$B$10</f>
        <v/>
      </c>
      <c r="I439" s="2" t="inlineStr">
        <is>
          <t>Yes</t>
        </is>
      </c>
      <c r="J439" s="2" t="n">
        <v>0</v>
      </c>
      <c r="K439" s="2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2">
        <f>Setup!$B$10</f>
        <v/>
      </c>
      <c r="I440" s="2" t="inlineStr">
        <is>
          <t>Yes</t>
        </is>
      </c>
      <c r="J440" s="2" t="n">
        <v>0</v>
      </c>
      <c r="K440" s="6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>
        <f>Setup!$B$10</f>
        <v/>
      </c>
      <c r="I441" s="2" t="inlineStr">
        <is>
          <t>Yes</t>
        </is>
      </c>
      <c r="J441" s="2" t="n">
        <v>0</v>
      </c>
      <c r="K441" s="2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2">
        <f>Setup!$B$10</f>
        <v/>
      </c>
      <c r="I442" s="2" t="inlineStr">
        <is>
          <t>Yes</t>
        </is>
      </c>
      <c r="J442" s="2" t="n">
        <v>0</v>
      </c>
      <c r="K442" s="6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>
        <f>Setup!$B$10</f>
        <v/>
      </c>
      <c r="I443" s="2" t="inlineStr">
        <is>
          <t>Yes</t>
        </is>
      </c>
      <c r="J443" s="2" t="n">
        <v>0</v>
      </c>
      <c r="K443" s="2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2">
        <f>Setup!$B$10</f>
        <v/>
      </c>
      <c r="I444" s="2" t="inlineStr">
        <is>
          <t>Yes</t>
        </is>
      </c>
      <c r="J444" s="2" t="n">
        <v>0</v>
      </c>
      <c r="K444" s="6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>
        <f>Setup!$B$10</f>
        <v/>
      </c>
      <c r="I445" s="2" t="inlineStr">
        <is>
          <t>Yes</t>
        </is>
      </c>
      <c r="J445" s="2" t="n">
        <v>0</v>
      </c>
      <c r="K445" s="2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2">
        <f>Setup!$B$10</f>
        <v/>
      </c>
      <c r="I446" s="2" t="inlineStr">
        <is>
          <t>Yes</t>
        </is>
      </c>
      <c r="J446" s="2" t="n">
        <v>0</v>
      </c>
      <c r="K446" s="6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>
        <f>Setup!$B$10</f>
        <v/>
      </c>
      <c r="I447" s="2" t="inlineStr">
        <is>
          <t>Yes</t>
        </is>
      </c>
      <c r="J447" s="2" t="n">
        <v>0</v>
      </c>
      <c r="K447" s="2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2">
        <f>Setup!$B$10</f>
        <v/>
      </c>
      <c r="I448" s="2" t="inlineStr">
        <is>
          <t>Yes</t>
        </is>
      </c>
      <c r="J448" s="2" t="n">
        <v>0</v>
      </c>
      <c r="K448" s="6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>
        <f>Setup!$B$10</f>
        <v/>
      </c>
      <c r="I449" s="2" t="inlineStr">
        <is>
          <t>Yes</t>
        </is>
      </c>
      <c r="J449" s="2" t="n">
        <v>0</v>
      </c>
      <c r="K449" s="2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2">
        <f>Setup!$B$10</f>
        <v/>
      </c>
      <c r="I450" s="2" t="inlineStr">
        <is>
          <t>Yes</t>
        </is>
      </c>
      <c r="J450" s="2" t="n">
        <v>0</v>
      </c>
      <c r="K450" s="6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>
        <f>Setup!$B$10</f>
        <v/>
      </c>
      <c r="I451" s="2" t="inlineStr">
        <is>
          <t>Yes</t>
        </is>
      </c>
      <c r="J451" s="2" t="n">
        <v>0</v>
      </c>
      <c r="K451" s="2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2">
        <f>Setup!$B$10</f>
        <v/>
      </c>
      <c r="I452" s="2" t="inlineStr">
        <is>
          <t>Yes</t>
        </is>
      </c>
      <c r="J452" s="2" t="n">
        <v>0</v>
      </c>
      <c r="K452" s="6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>
        <f>Setup!$B$10</f>
        <v/>
      </c>
      <c r="I453" s="2" t="inlineStr">
        <is>
          <t>Yes</t>
        </is>
      </c>
      <c r="J453" s="2" t="n">
        <v>0</v>
      </c>
      <c r="K453" s="2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2">
        <f>Setup!$B$10</f>
        <v/>
      </c>
      <c r="I454" s="2" t="inlineStr">
        <is>
          <t>Yes</t>
        </is>
      </c>
      <c r="J454" s="2" t="n">
        <v>0</v>
      </c>
      <c r="K454" s="6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>
        <f>Setup!$B$10</f>
        <v/>
      </c>
      <c r="I455" s="2" t="inlineStr">
        <is>
          <t>Yes</t>
        </is>
      </c>
      <c r="J455" s="2" t="n">
        <v>0</v>
      </c>
      <c r="K455" s="2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2">
        <f>Setup!$B$10</f>
        <v/>
      </c>
      <c r="I456" s="2" t="inlineStr">
        <is>
          <t>Yes</t>
        </is>
      </c>
      <c r="J456" s="2" t="n">
        <v>0</v>
      </c>
      <c r="K456" s="6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>
        <f>Setup!$B$10</f>
        <v/>
      </c>
      <c r="I457" s="2" t="inlineStr">
        <is>
          <t>Yes</t>
        </is>
      </c>
      <c r="J457" s="2" t="n">
        <v>0</v>
      </c>
      <c r="K457" s="2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2">
        <f>Setup!$B$10</f>
        <v/>
      </c>
      <c r="I458" s="2" t="inlineStr">
        <is>
          <t>Yes</t>
        </is>
      </c>
      <c r="J458" s="2" t="n">
        <v>0</v>
      </c>
      <c r="K458" s="6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>
        <f>Setup!$B$10</f>
        <v/>
      </c>
      <c r="I459" s="2" t="inlineStr">
        <is>
          <t>Yes</t>
        </is>
      </c>
      <c r="J459" s="2" t="n">
        <v>0</v>
      </c>
      <c r="K459" s="2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2">
        <f>Setup!$B$10</f>
        <v/>
      </c>
      <c r="I460" s="2" t="inlineStr">
        <is>
          <t>Yes</t>
        </is>
      </c>
      <c r="J460" s="2" t="n">
        <v>0</v>
      </c>
      <c r="K460" s="6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>
        <f>Setup!$B$10</f>
        <v/>
      </c>
      <c r="I461" s="2" t="inlineStr">
        <is>
          <t>Yes</t>
        </is>
      </c>
      <c r="J461" s="2" t="n">
        <v>0</v>
      </c>
      <c r="K461" s="2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2">
        <f>Setup!$B$10</f>
        <v/>
      </c>
      <c r="I462" s="2" t="inlineStr">
        <is>
          <t>Yes</t>
        </is>
      </c>
      <c r="J462" s="2" t="n">
        <v>0</v>
      </c>
      <c r="K462" s="6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>
        <f>Setup!$B$10</f>
        <v/>
      </c>
      <c r="I463" s="2" t="inlineStr">
        <is>
          <t>Yes</t>
        </is>
      </c>
      <c r="J463" s="2" t="n">
        <v>0</v>
      </c>
      <c r="K463" s="2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2">
        <f>Setup!$B$10</f>
        <v/>
      </c>
      <c r="I464" s="2" t="inlineStr">
        <is>
          <t>Yes</t>
        </is>
      </c>
      <c r="J464" s="2" t="n">
        <v>0</v>
      </c>
      <c r="K464" s="6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>
        <f>Setup!$B$10</f>
        <v/>
      </c>
      <c r="I465" s="2" t="inlineStr">
        <is>
          <t>Yes</t>
        </is>
      </c>
      <c r="J465" s="2" t="n">
        <v>0</v>
      </c>
      <c r="K465" s="2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2">
        <f>Setup!$B$10</f>
        <v/>
      </c>
      <c r="I466" s="2" t="inlineStr">
        <is>
          <t>Yes</t>
        </is>
      </c>
      <c r="J466" s="2" t="n">
        <v>0</v>
      </c>
      <c r="K466" s="6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>
        <f>Setup!$B$10</f>
        <v/>
      </c>
      <c r="I467" s="2" t="inlineStr">
        <is>
          <t>Yes</t>
        </is>
      </c>
      <c r="J467" s="2" t="n">
        <v>0</v>
      </c>
      <c r="K467" s="2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2">
        <f>Setup!$B$10</f>
        <v/>
      </c>
      <c r="I468" s="2" t="inlineStr">
        <is>
          <t>Yes</t>
        </is>
      </c>
      <c r="J468" s="2" t="n">
        <v>0</v>
      </c>
      <c r="K468" s="6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>
        <f>Setup!$B$10</f>
        <v/>
      </c>
      <c r="I469" s="2" t="inlineStr">
        <is>
          <t>Yes</t>
        </is>
      </c>
      <c r="J469" s="2" t="n">
        <v>0</v>
      </c>
      <c r="K469" s="2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2">
        <f>Setup!$B$10</f>
        <v/>
      </c>
      <c r="I470" s="2" t="inlineStr">
        <is>
          <t>Yes</t>
        </is>
      </c>
      <c r="J470" s="2" t="n">
        <v>0</v>
      </c>
      <c r="K470" s="6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>
        <f>Setup!$B$10</f>
        <v/>
      </c>
      <c r="I471" s="2" t="inlineStr">
        <is>
          <t>Yes</t>
        </is>
      </c>
      <c r="J471" s="2" t="n">
        <v>0</v>
      </c>
      <c r="K471" s="2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2">
        <f>Setup!$B$10</f>
        <v/>
      </c>
      <c r="I472" s="2" t="inlineStr">
        <is>
          <t>Yes</t>
        </is>
      </c>
      <c r="J472" s="2" t="n">
        <v>0</v>
      </c>
      <c r="K472" s="6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>
        <f>Setup!$B$10</f>
        <v/>
      </c>
      <c r="I473" s="2" t="inlineStr">
        <is>
          <t>Yes</t>
        </is>
      </c>
      <c r="J473" s="2" t="n">
        <v>0</v>
      </c>
      <c r="K473" s="2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2">
        <f>Setup!$B$10</f>
        <v/>
      </c>
      <c r="I474" s="2" t="inlineStr">
        <is>
          <t>Yes</t>
        </is>
      </c>
      <c r="J474" s="2" t="n">
        <v>0</v>
      </c>
      <c r="K474" s="6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>
        <f>Setup!$B$10</f>
        <v/>
      </c>
      <c r="I475" s="2" t="inlineStr">
        <is>
          <t>Yes</t>
        </is>
      </c>
      <c r="J475" s="2" t="n">
        <v>0</v>
      </c>
      <c r="K475" s="2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2">
        <f>Setup!$B$10</f>
        <v/>
      </c>
      <c r="I476" s="2" t="inlineStr">
        <is>
          <t>Yes</t>
        </is>
      </c>
      <c r="J476" s="2" t="n">
        <v>0</v>
      </c>
      <c r="K476" s="6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>
        <f>Setup!$B$10</f>
        <v/>
      </c>
      <c r="I477" s="2" t="inlineStr">
        <is>
          <t>Yes</t>
        </is>
      </c>
      <c r="J477" s="2" t="n">
        <v>0</v>
      </c>
      <c r="K477" s="2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2">
        <f>Setup!$B$10</f>
        <v/>
      </c>
      <c r="I478" s="2" t="inlineStr">
        <is>
          <t>Yes</t>
        </is>
      </c>
      <c r="J478" s="2" t="n">
        <v>0</v>
      </c>
      <c r="K478" s="6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>
        <f>Setup!$B$10</f>
        <v/>
      </c>
      <c r="I479" s="2" t="inlineStr">
        <is>
          <t>Yes</t>
        </is>
      </c>
      <c r="J479" s="2" t="n">
        <v>0</v>
      </c>
      <c r="K479" s="2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2">
        <f>Setup!$B$10</f>
        <v/>
      </c>
      <c r="I480" s="2" t="inlineStr">
        <is>
          <t>Yes</t>
        </is>
      </c>
      <c r="J480" s="2" t="n">
        <v>0</v>
      </c>
      <c r="K480" s="6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>
        <f>Setup!$B$10</f>
        <v/>
      </c>
      <c r="I481" s="2" t="inlineStr">
        <is>
          <t>Yes</t>
        </is>
      </c>
      <c r="J481" s="2" t="n">
        <v>0</v>
      </c>
      <c r="K481" s="2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2">
        <f>Setup!$B$10</f>
        <v/>
      </c>
      <c r="I482" s="2" t="inlineStr">
        <is>
          <t>Yes</t>
        </is>
      </c>
      <c r="J482" s="2" t="n">
        <v>0</v>
      </c>
      <c r="K482" s="6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>
        <f>Setup!$B$10</f>
        <v/>
      </c>
      <c r="I483" s="2" t="inlineStr">
        <is>
          <t>Yes</t>
        </is>
      </c>
      <c r="J483" s="2" t="n">
        <v>0</v>
      </c>
      <c r="K483" s="2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2">
        <f>Setup!$B$10</f>
        <v/>
      </c>
      <c r="I484" s="2" t="inlineStr">
        <is>
          <t>Yes</t>
        </is>
      </c>
      <c r="J484" s="2" t="n">
        <v>0</v>
      </c>
      <c r="K484" s="6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>
        <f>Setup!$B$10</f>
        <v/>
      </c>
      <c r="I485" s="2" t="inlineStr">
        <is>
          <t>Yes</t>
        </is>
      </c>
      <c r="J485" s="2" t="n">
        <v>0</v>
      </c>
      <c r="K485" s="2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2">
        <f>Setup!$B$10</f>
        <v/>
      </c>
      <c r="I486" s="2" t="inlineStr">
        <is>
          <t>Yes</t>
        </is>
      </c>
      <c r="J486" s="2" t="n">
        <v>0</v>
      </c>
      <c r="K486" s="6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>
        <f>Setup!$B$10</f>
        <v/>
      </c>
      <c r="I487" s="2" t="inlineStr">
        <is>
          <t>Yes</t>
        </is>
      </c>
      <c r="J487" s="2" t="n">
        <v>0</v>
      </c>
      <c r="K487" s="2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2">
        <f>Setup!$B$10</f>
        <v/>
      </c>
      <c r="I488" s="2" t="inlineStr">
        <is>
          <t>Yes</t>
        </is>
      </c>
      <c r="J488" s="2" t="n">
        <v>0</v>
      </c>
      <c r="K488" s="6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>
        <f>Setup!$B$10</f>
        <v/>
      </c>
      <c r="I489" s="2" t="inlineStr">
        <is>
          <t>Yes</t>
        </is>
      </c>
      <c r="J489" s="2" t="n">
        <v>0</v>
      </c>
      <c r="K489" s="2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2">
        <f>Setup!$B$10</f>
        <v/>
      </c>
      <c r="I490" s="2" t="inlineStr">
        <is>
          <t>Yes</t>
        </is>
      </c>
      <c r="J490" s="2" t="n">
        <v>0</v>
      </c>
      <c r="K490" s="6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>
        <f>Setup!$B$10</f>
        <v/>
      </c>
      <c r="I491" s="2" t="inlineStr">
        <is>
          <t>Yes</t>
        </is>
      </c>
      <c r="J491" s="2" t="n">
        <v>0</v>
      </c>
      <c r="K491" s="2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2">
        <f>Setup!$B$10</f>
        <v/>
      </c>
      <c r="I492" s="2" t="inlineStr">
        <is>
          <t>Yes</t>
        </is>
      </c>
      <c r="J492" s="2" t="n">
        <v>0</v>
      </c>
      <c r="K492" s="6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>
        <f>Setup!$B$10</f>
        <v/>
      </c>
      <c r="I493" s="2" t="inlineStr">
        <is>
          <t>Yes</t>
        </is>
      </c>
      <c r="J493" s="2" t="n">
        <v>0</v>
      </c>
      <c r="K493" s="2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2">
        <f>Setup!$B$10</f>
        <v/>
      </c>
      <c r="I494" s="2" t="inlineStr">
        <is>
          <t>Yes</t>
        </is>
      </c>
      <c r="J494" s="2" t="n">
        <v>0</v>
      </c>
      <c r="K494" s="6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>
        <f>Setup!$B$10</f>
        <v/>
      </c>
      <c r="I495" s="2" t="inlineStr">
        <is>
          <t>Yes</t>
        </is>
      </c>
      <c r="J495" s="2" t="n">
        <v>0</v>
      </c>
      <c r="K495" s="2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2">
        <f>Setup!$B$10</f>
        <v/>
      </c>
      <c r="I496" s="2" t="inlineStr">
        <is>
          <t>Yes</t>
        </is>
      </c>
      <c r="J496" s="2" t="n">
        <v>0</v>
      </c>
      <c r="K496" s="6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>
        <f>Setup!$B$10</f>
        <v/>
      </c>
      <c r="I497" s="2" t="inlineStr">
        <is>
          <t>Yes</t>
        </is>
      </c>
      <c r="J497" s="2" t="n">
        <v>0</v>
      </c>
      <c r="K497" s="2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2">
        <f>Setup!$B$10</f>
        <v/>
      </c>
      <c r="I498" s="2" t="inlineStr">
        <is>
          <t>Yes</t>
        </is>
      </c>
      <c r="J498" s="2" t="n">
        <v>0</v>
      </c>
      <c r="K498" s="6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>
        <f>Setup!$B$10</f>
        <v/>
      </c>
      <c r="I499" s="2" t="inlineStr">
        <is>
          <t>Yes</t>
        </is>
      </c>
      <c r="J499" s="2" t="n">
        <v>0</v>
      </c>
      <c r="K499" s="2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2">
        <f>Setup!$B$10</f>
        <v/>
      </c>
      <c r="I500" s="2" t="inlineStr">
        <is>
          <t>Yes</t>
        </is>
      </c>
      <c r="J500" s="2" t="n">
        <v>0</v>
      </c>
      <c r="K500" s="6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>
        <f>Setup!$B$10</f>
        <v/>
      </c>
      <c r="I501" s="2" t="inlineStr">
        <is>
          <t>Yes</t>
        </is>
      </c>
      <c r="J501" s="2" t="n">
        <v>0</v>
      </c>
      <c r="K501" s="2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2">
        <f>Setup!$B$10</f>
        <v/>
      </c>
      <c r="I502" s="2" t="inlineStr">
        <is>
          <t>Yes</t>
        </is>
      </c>
      <c r="J502" s="2" t="n">
        <v>0</v>
      </c>
      <c r="K502" s="6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>
        <f>Setup!$B$10</f>
        <v/>
      </c>
      <c r="I503" s="2" t="inlineStr">
        <is>
          <t>Yes</t>
        </is>
      </c>
      <c r="J503" s="2" t="n">
        <v>0</v>
      </c>
      <c r="K503" s="2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2">
        <f>Setup!$B$10</f>
        <v/>
      </c>
      <c r="I504" s="2" t="inlineStr">
        <is>
          <t>Yes</t>
        </is>
      </c>
      <c r="J504" s="2" t="n">
        <v>0</v>
      </c>
      <c r="K504" s="6" t="n"/>
    </row>
  </sheetData>
  <autoFilter ref="A4:K504"/>
  <dataValidations count="2">
    <dataValidation sqref="G5:G504" showDropDown="0" showInputMessage="0" showErrorMessage="0" allowBlank="1" type="list">
      <formula1>"Email,Mail,Both,Do Not Bill"</formula1>
    </dataValidation>
    <dataValidation sqref="I5:I504" showDropDown="0" showInputMessage="0" showErrorMessage="0" allowBlank="1" type="list">
      <formula1>"Yes,No"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6" customWidth="1" min="5" max="5"/>
    <col width="28" customWidth="1" min="6" max="6"/>
    <col width="30" customWidth="1" min="7" max="7"/>
    <col width="16" customWidth="1" min="8" max="8"/>
    <col width="16" customWidth="1" min="9" max="9"/>
    <col width="18" customWidth="1" min="10" max="10"/>
    <col width="18" customWidth="1" min="11" max="11"/>
    <col width="20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6" customWidth="1" min="18" max="18"/>
    <col width="34" customWidth="1" min="19" max="19"/>
  </cols>
  <sheetData>
    <row r="1">
      <c r="A1" s="1" t="inlineStr">
        <is>
          <t>Quarterly Billing Run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1" t="inlineStr">
        <is>
          <t>Invoice No.</t>
        </is>
      </c>
      <c r="B4" s="11" t="inlineStr">
        <is>
          <t>Billing Year</t>
        </is>
      </c>
      <c r="C4" s="11" t="inlineStr">
        <is>
          <t>Quarter</t>
        </is>
      </c>
      <c r="D4" s="11" t="inlineStr">
        <is>
          <t>Unit ID</t>
        </is>
      </c>
      <c r="E4" s="11" t="inlineStr">
        <is>
          <t>Condo/Unit No.</t>
        </is>
      </c>
      <c r="F4" s="11" t="inlineStr">
        <is>
          <t>Owner Name</t>
        </is>
      </c>
      <c r="G4" s="11" t="inlineStr">
        <is>
          <t>Billing Email</t>
        </is>
      </c>
      <c r="H4" s="11" t="inlineStr">
        <is>
          <t>Charge Date</t>
        </is>
      </c>
      <c r="I4" s="11" t="inlineStr">
        <is>
          <t>Due Date</t>
        </is>
      </c>
      <c r="J4" s="11" t="inlineStr">
        <is>
          <t>Prior Balance</t>
        </is>
      </c>
      <c r="K4" s="11" t="inlineStr">
        <is>
          <t>Quarterly Dues</t>
        </is>
      </c>
      <c r="L4" s="11" t="inlineStr">
        <is>
          <t>Special Assessment</t>
        </is>
      </c>
      <c r="M4" s="11" t="inlineStr">
        <is>
          <t>Late Fee</t>
        </is>
      </c>
      <c r="N4" s="11" t="inlineStr">
        <is>
          <t>Total Due</t>
        </is>
      </c>
      <c r="O4" s="11" t="inlineStr">
        <is>
          <t>Payments Applied</t>
        </is>
      </c>
      <c r="P4" s="11" t="inlineStr">
        <is>
          <t>Balance Due</t>
        </is>
      </c>
      <c r="Q4" s="11" t="inlineStr">
        <is>
          <t>Status</t>
        </is>
      </c>
      <c r="R4" s="11" t="inlineStr">
        <is>
          <t>Sent Date</t>
        </is>
      </c>
      <c r="S4" s="11" t="inlineStr">
        <is>
          <t>Notes</t>
        </is>
      </c>
    </row>
    <row r="5">
      <c r="A5" s="2">
        <f>IF($D5="","","INV-"&amp;$B5&amp;"-"&amp;$C5&amp;"-"&amp;TEXT(ROW(A1),"0000"))</f>
        <v/>
      </c>
      <c r="B5" s="2">
        <f>Setup!$B$5</f>
        <v/>
      </c>
      <c r="C5" s="2">
        <f>Setup!$B$6</f>
        <v/>
      </c>
      <c r="D5" s="2">
        <f>IFERROR(INDEX(Units_Owners!$A$5:$A$504,ROWS($A$5:A5)),"")</f>
        <v/>
      </c>
      <c r="E5" s="2">
        <f>IF($D5="","",IFERROR(INDEX(Units_Owners!$B$5:$B$504,MATCH($D5,Units_Owners!$A$5:$A$504,0)),""))</f>
        <v/>
      </c>
      <c r="F5" s="2">
        <f>IF($D5="","",IFERROR(INDEX(Units_Owners!$C$5:$C$504,MATCH($D5,Units_Owners!$A$5:$A$504,0)),""))</f>
        <v/>
      </c>
      <c r="G5" s="2">
        <f>IF($D5="","",IFERROR(INDEX(Units_Owners!$D$5:$D$504,MATCH($D5,Units_Owners!$A$5:$A$504,0)),""))</f>
        <v/>
      </c>
      <c r="H5" s="12">
        <f>Setup!$B$7</f>
        <v/>
      </c>
      <c r="I5" s="12">
        <f>Setup!$B$8</f>
        <v/>
      </c>
      <c r="J5" s="13">
        <f>IF($D5="","",IFERROR(INDEX(Units_Owners!$J$5:$J$504,MATCH($D5,Units_Owners!$A$5:$A$504,0)),0)+SUMIFS(Ledger!$F:$F,Ledger!$B:$B,$D5,Ledger!$D:$D,"&lt;"&amp;$H5)-SUMIFS(Ledger!$G:$G,Ledger!$B:$B,$D5,Ledger!$D:$D,"&lt;"&amp;$H5))</f>
        <v/>
      </c>
      <c r="K5" s="13">
        <f>IF($D5="","",IFERROR(INDEX(Units_Owners!$H$5:$H$504,MATCH($D5,Units_Owners!$A$5:$A$504,0)),Setup!$B$10))</f>
        <v/>
      </c>
      <c r="L5" s="13">
        <f>IF($D5="","",Setup!$B$11)</f>
        <v/>
      </c>
      <c r="M5" s="13">
        <f>IF($D5="","",IF(AND(TODAY()&gt;=Setup!$B$9,$P5&gt;0),Setup!$B$12,0))</f>
        <v/>
      </c>
      <c r="N5" s="13">
        <f>IF($D5="","",SUM($J5:$M5))</f>
        <v/>
      </c>
      <c r="O5" s="13">
        <f>IF($A5="","",SUMIFS(Payments!$F:$F,Payments!$D:$D,$A5))</f>
        <v/>
      </c>
      <c r="P5" s="13">
        <f>IF($D5="","",MAX(0,$N5-$O5))</f>
        <v/>
      </c>
      <c r="Q5" s="2">
        <f>IF($D5="","",IF(IFERROR(INDEX(Units_Owners!$I$5:$I$504,MATCH($D5,Units_Owners!$A$5:$A$504,0)),"No")&lt;&gt;"Yes","Skip - Inactive",IF($P5=0,"Paid",IF(TODAY()&gt;$I5,"Past Due","Open"))))</f>
        <v/>
      </c>
      <c r="R5" s="12" t="n"/>
      <c r="S5" s="2" t="n"/>
    </row>
    <row r="6">
      <c r="A6" s="2">
        <f>IF($D6="","","INV-"&amp;$B6&amp;"-"&amp;$C6&amp;"-"&amp;TEXT(ROW(A2),"0000"))</f>
        <v/>
      </c>
      <c r="B6" s="2">
        <f>Setup!$B$5</f>
        <v/>
      </c>
      <c r="C6" s="2">
        <f>Setup!$B$6</f>
        <v/>
      </c>
      <c r="D6" s="2">
        <f>IFERROR(INDEX(Units_Owners!$A$5:$A$504,ROWS($A$5:A6)),"")</f>
        <v/>
      </c>
      <c r="E6" s="2">
        <f>IF($D6="","",IFERROR(INDEX(Units_Owners!$B$5:$B$504,MATCH($D6,Units_Owners!$A$5:$A$504,0)),""))</f>
        <v/>
      </c>
      <c r="F6" s="2">
        <f>IF($D6="","",IFERROR(INDEX(Units_Owners!$C$5:$C$504,MATCH($D6,Units_Owners!$A$5:$A$504,0)),""))</f>
        <v/>
      </c>
      <c r="G6" s="2">
        <f>IF($D6="","",IFERROR(INDEX(Units_Owners!$D$5:$D$504,MATCH($D6,Units_Owners!$A$5:$A$504,0)),""))</f>
        <v/>
      </c>
      <c r="H6" s="12">
        <f>Setup!$B$7</f>
        <v/>
      </c>
      <c r="I6" s="12">
        <f>Setup!$B$8</f>
        <v/>
      </c>
      <c r="J6" s="13">
        <f>IF($D6="","",IFERROR(INDEX(Units_Owners!$J$5:$J$504,MATCH($D6,Units_Owners!$A$5:$A$504,0)),0)+SUMIFS(Ledger!$F:$F,Ledger!$B:$B,$D6,Ledger!$D:$D,"&lt;"&amp;$H6)-SUMIFS(Ledger!$G:$G,Ledger!$B:$B,$D6,Ledger!$D:$D,"&lt;"&amp;$H6))</f>
        <v/>
      </c>
      <c r="K6" s="13">
        <f>IF($D6="","",IFERROR(INDEX(Units_Owners!$H$5:$H$504,MATCH($D6,Units_Owners!$A$5:$A$504,0)),Setup!$B$10))</f>
        <v/>
      </c>
      <c r="L6" s="13">
        <f>IF($D6="","",Setup!$B$11)</f>
        <v/>
      </c>
      <c r="M6" s="13">
        <f>IF($D6="","",IF(AND(TODAY()&gt;=Setup!$B$9,$P6&gt;0),Setup!$B$12,0))</f>
        <v/>
      </c>
      <c r="N6" s="13">
        <f>IF($D6="","",SUM($J6:$M6))</f>
        <v/>
      </c>
      <c r="O6" s="13">
        <f>IF($A6="","",SUMIFS(Payments!$F:$F,Payments!$D:$D,$A6))</f>
        <v/>
      </c>
      <c r="P6" s="13">
        <f>IF($D6="","",MAX(0,$N6-$O6))</f>
        <v/>
      </c>
      <c r="Q6" s="2">
        <f>IF($D6="","",IF(IFERROR(INDEX(Units_Owners!$I$5:$I$504,MATCH($D6,Units_Owners!$A$5:$A$504,0)),"No")&lt;&gt;"Yes","Skip - Inactive",IF($P6=0,"Paid",IF(TODAY()&gt;$I6,"Past Due","Open"))))</f>
        <v/>
      </c>
      <c r="R6" s="14" t="n"/>
      <c r="S6" s="6" t="n"/>
    </row>
    <row r="7">
      <c r="A7" s="2">
        <f>IF($D7="","","INV-"&amp;$B7&amp;"-"&amp;$C7&amp;"-"&amp;TEXT(ROW(A3),"0000"))</f>
        <v/>
      </c>
      <c r="B7" s="2">
        <f>Setup!$B$5</f>
        <v/>
      </c>
      <c r="C7" s="2">
        <f>Setup!$B$6</f>
        <v/>
      </c>
      <c r="D7" s="2">
        <f>IFERROR(INDEX(Units_Owners!$A$5:$A$504,ROWS($A$5:A7)),"")</f>
        <v/>
      </c>
      <c r="E7" s="2">
        <f>IF($D7="","",IFERROR(INDEX(Units_Owners!$B$5:$B$504,MATCH($D7,Units_Owners!$A$5:$A$504,0)),""))</f>
        <v/>
      </c>
      <c r="F7" s="2">
        <f>IF($D7="","",IFERROR(INDEX(Units_Owners!$C$5:$C$504,MATCH($D7,Units_Owners!$A$5:$A$504,0)),""))</f>
        <v/>
      </c>
      <c r="G7" s="2">
        <f>IF($D7="","",IFERROR(INDEX(Units_Owners!$D$5:$D$504,MATCH($D7,Units_Owners!$A$5:$A$504,0)),""))</f>
        <v/>
      </c>
      <c r="H7" s="12">
        <f>Setup!$B$7</f>
        <v/>
      </c>
      <c r="I7" s="12">
        <f>Setup!$B$8</f>
        <v/>
      </c>
      <c r="J7" s="13">
        <f>IF($D7="","",IFERROR(INDEX(Units_Owners!$J$5:$J$504,MATCH($D7,Units_Owners!$A$5:$A$504,0)),0)+SUMIFS(Ledger!$F:$F,Ledger!$B:$B,$D7,Ledger!$D:$D,"&lt;"&amp;$H7)-SUMIFS(Ledger!$G:$G,Ledger!$B:$B,$D7,Ledger!$D:$D,"&lt;"&amp;$H7))</f>
        <v/>
      </c>
      <c r="K7" s="13">
        <f>IF($D7="","",IFERROR(INDEX(Units_Owners!$H$5:$H$504,MATCH($D7,Units_Owners!$A$5:$A$504,0)),Setup!$B$10))</f>
        <v/>
      </c>
      <c r="L7" s="13">
        <f>IF($D7="","",Setup!$B$11)</f>
        <v/>
      </c>
      <c r="M7" s="13">
        <f>IF($D7="","",IF(AND(TODAY()&gt;=Setup!$B$9,$P7&gt;0),Setup!$B$12,0))</f>
        <v/>
      </c>
      <c r="N7" s="13">
        <f>IF($D7="","",SUM($J7:$M7))</f>
        <v/>
      </c>
      <c r="O7" s="13">
        <f>IF($A7="","",SUMIFS(Payments!$F:$F,Payments!$D:$D,$A7))</f>
        <v/>
      </c>
      <c r="P7" s="13">
        <f>IF($D7="","",MAX(0,$N7-$O7))</f>
        <v/>
      </c>
      <c r="Q7" s="2">
        <f>IF($D7="","",IF(IFERROR(INDEX(Units_Owners!$I$5:$I$504,MATCH($D7,Units_Owners!$A$5:$A$504,0)),"No")&lt;&gt;"Yes","Skip - Inactive",IF($P7=0,"Paid",IF(TODAY()&gt;$I7,"Past Due","Open"))))</f>
        <v/>
      </c>
      <c r="R7" s="12" t="n"/>
      <c r="S7" s="2" t="n"/>
    </row>
    <row r="8">
      <c r="A8" s="2">
        <f>IF($D8="","","INV-"&amp;$B8&amp;"-"&amp;$C8&amp;"-"&amp;TEXT(ROW(A4),"0000"))</f>
        <v/>
      </c>
      <c r="B8" s="2">
        <f>Setup!$B$5</f>
        <v/>
      </c>
      <c r="C8" s="2">
        <f>Setup!$B$6</f>
        <v/>
      </c>
      <c r="D8" s="2">
        <f>IFERROR(INDEX(Units_Owners!$A$5:$A$504,ROWS($A$5:A8)),"")</f>
        <v/>
      </c>
      <c r="E8" s="2">
        <f>IF($D8="","",IFERROR(INDEX(Units_Owners!$B$5:$B$504,MATCH($D8,Units_Owners!$A$5:$A$504,0)),""))</f>
        <v/>
      </c>
      <c r="F8" s="2">
        <f>IF($D8="","",IFERROR(INDEX(Units_Owners!$C$5:$C$504,MATCH($D8,Units_Owners!$A$5:$A$504,0)),""))</f>
        <v/>
      </c>
      <c r="G8" s="2">
        <f>IF($D8="","",IFERROR(INDEX(Units_Owners!$D$5:$D$504,MATCH($D8,Units_Owners!$A$5:$A$504,0)),""))</f>
        <v/>
      </c>
      <c r="H8" s="12">
        <f>Setup!$B$7</f>
        <v/>
      </c>
      <c r="I8" s="12">
        <f>Setup!$B$8</f>
        <v/>
      </c>
      <c r="J8" s="13">
        <f>IF($D8="","",IFERROR(INDEX(Units_Owners!$J$5:$J$504,MATCH($D8,Units_Owners!$A$5:$A$504,0)),0)+SUMIFS(Ledger!$F:$F,Ledger!$B:$B,$D8,Ledger!$D:$D,"&lt;"&amp;$H8)-SUMIFS(Ledger!$G:$G,Ledger!$B:$B,$D8,Ledger!$D:$D,"&lt;"&amp;$H8))</f>
        <v/>
      </c>
      <c r="K8" s="13">
        <f>IF($D8="","",IFERROR(INDEX(Units_Owners!$H$5:$H$504,MATCH($D8,Units_Owners!$A$5:$A$504,0)),Setup!$B$10))</f>
        <v/>
      </c>
      <c r="L8" s="13">
        <f>IF($D8="","",Setup!$B$11)</f>
        <v/>
      </c>
      <c r="M8" s="13">
        <f>IF($D8="","",IF(AND(TODAY()&gt;=Setup!$B$9,$P8&gt;0),Setup!$B$12,0))</f>
        <v/>
      </c>
      <c r="N8" s="13">
        <f>IF($D8="","",SUM($J8:$M8))</f>
        <v/>
      </c>
      <c r="O8" s="13">
        <f>IF($A8="","",SUMIFS(Payments!$F:$F,Payments!$D:$D,$A8))</f>
        <v/>
      </c>
      <c r="P8" s="13">
        <f>IF($D8="","",MAX(0,$N8-$O8))</f>
        <v/>
      </c>
      <c r="Q8" s="2">
        <f>IF($D8="","",IF(IFERROR(INDEX(Units_Owners!$I$5:$I$504,MATCH($D8,Units_Owners!$A$5:$A$504,0)),"No")&lt;&gt;"Yes","Skip - Inactive",IF($P8=0,"Paid",IF(TODAY()&gt;$I8,"Past Due","Open"))))</f>
        <v/>
      </c>
      <c r="R8" s="14" t="n"/>
      <c r="S8" s="6" t="n"/>
    </row>
    <row r="9">
      <c r="A9" s="2">
        <f>IF($D9="","","INV-"&amp;$B9&amp;"-"&amp;$C9&amp;"-"&amp;TEXT(ROW(A5),"0000"))</f>
        <v/>
      </c>
      <c r="B9" s="2">
        <f>Setup!$B$5</f>
        <v/>
      </c>
      <c r="C9" s="2">
        <f>Setup!$B$6</f>
        <v/>
      </c>
      <c r="D9" s="2">
        <f>IFERROR(INDEX(Units_Owners!$A$5:$A$504,ROWS($A$5:A9)),"")</f>
        <v/>
      </c>
      <c r="E9" s="2">
        <f>IF($D9="","",IFERROR(INDEX(Units_Owners!$B$5:$B$504,MATCH($D9,Units_Owners!$A$5:$A$504,0)),""))</f>
        <v/>
      </c>
      <c r="F9" s="2">
        <f>IF($D9="","",IFERROR(INDEX(Units_Owners!$C$5:$C$504,MATCH($D9,Units_Owners!$A$5:$A$504,0)),""))</f>
        <v/>
      </c>
      <c r="G9" s="2">
        <f>IF($D9="","",IFERROR(INDEX(Units_Owners!$D$5:$D$504,MATCH($D9,Units_Owners!$A$5:$A$504,0)),""))</f>
        <v/>
      </c>
      <c r="H9" s="12">
        <f>Setup!$B$7</f>
        <v/>
      </c>
      <c r="I9" s="12">
        <f>Setup!$B$8</f>
        <v/>
      </c>
      <c r="J9" s="13">
        <f>IF($D9="","",IFERROR(INDEX(Units_Owners!$J$5:$J$504,MATCH($D9,Units_Owners!$A$5:$A$504,0)),0)+SUMIFS(Ledger!$F:$F,Ledger!$B:$B,$D9,Ledger!$D:$D,"&lt;"&amp;$H9)-SUMIFS(Ledger!$G:$G,Ledger!$B:$B,$D9,Ledger!$D:$D,"&lt;"&amp;$H9))</f>
        <v/>
      </c>
      <c r="K9" s="13">
        <f>IF($D9="","",IFERROR(INDEX(Units_Owners!$H$5:$H$504,MATCH($D9,Units_Owners!$A$5:$A$504,0)),Setup!$B$10))</f>
        <v/>
      </c>
      <c r="L9" s="13">
        <f>IF($D9="","",Setup!$B$11)</f>
        <v/>
      </c>
      <c r="M9" s="13">
        <f>IF($D9="","",IF(AND(TODAY()&gt;=Setup!$B$9,$P9&gt;0),Setup!$B$12,0))</f>
        <v/>
      </c>
      <c r="N9" s="13">
        <f>IF($D9="","",SUM($J9:$M9))</f>
        <v/>
      </c>
      <c r="O9" s="13">
        <f>IF($A9="","",SUMIFS(Payments!$F:$F,Payments!$D:$D,$A9))</f>
        <v/>
      </c>
      <c r="P9" s="13">
        <f>IF($D9="","",MAX(0,$N9-$O9))</f>
        <v/>
      </c>
      <c r="Q9" s="2">
        <f>IF($D9="","",IF(IFERROR(INDEX(Units_Owners!$I$5:$I$504,MATCH($D9,Units_Owners!$A$5:$A$504,0)),"No")&lt;&gt;"Yes","Skip - Inactive",IF($P9=0,"Paid",IF(TODAY()&gt;$I9,"Past Due","Open"))))</f>
        <v/>
      </c>
      <c r="R9" s="12" t="n"/>
      <c r="S9" s="2" t="n"/>
    </row>
    <row r="10">
      <c r="A10" s="2">
        <f>IF($D10="","","INV-"&amp;$B10&amp;"-"&amp;$C10&amp;"-"&amp;TEXT(ROW(A6),"0000"))</f>
        <v/>
      </c>
      <c r="B10" s="2">
        <f>Setup!$B$5</f>
        <v/>
      </c>
      <c r="C10" s="2">
        <f>Setup!$B$6</f>
        <v/>
      </c>
      <c r="D10" s="2">
        <f>IFERROR(INDEX(Units_Owners!$A$5:$A$504,ROWS($A$5:A10)),"")</f>
        <v/>
      </c>
      <c r="E10" s="2">
        <f>IF($D10="","",IFERROR(INDEX(Units_Owners!$B$5:$B$504,MATCH($D10,Units_Owners!$A$5:$A$504,0)),""))</f>
        <v/>
      </c>
      <c r="F10" s="2">
        <f>IF($D10="","",IFERROR(INDEX(Units_Owners!$C$5:$C$504,MATCH($D10,Units_Owners!$A$5:$A$504,0)),""))</f>
        <v/>
      </c>
      <c r="G10" s="2">
        <f>IF($D10="","",IFERROR(INDEX(Units_Owners!$D$5:$D$504,MATCH($D10,Units_Owners!$A$5:$A$504,0)),""))</f>
        <v/>
      </c>
      <c r="H10" s="12">
        <f>Setup!$B$7</f>
        <v/>
      </c>
      <c r="I10" s="12">
        <f>Setup!$B$8</f>
        <v/>
      </c>
      <c r="J10" s="13">
        <f>IF($D10="","",IFERROR(INDEX(Units_Owners!$J$5:$J$504,MATCH($D10,Units_Owners!$A$5:$A$504,0)),0)+SUMIFS(Ledger!$F:$F,Ledger!$B:$B,$D10,Ledger!$D:$D,"&lt;"&amp;$H10)-SUMIFS(Ledger!$G:$G,Ledger!$B:$B,$D10,Ledger!$D:$D,"&lt;"&amp;$H10))</f>
        <v/>
      </c>
      <c r="K10" s="13">
        <f>IF($D10="","",IFERROR(INDEX(Units_Owners!$H$5:$H$504,MATCH($D10,Units_Owners!$A$5:$A$504,0)),Setup!$B$10))</f>
        <v/>
      </c>
      <c r="L10" s="13">
        <f>IF($D10="","",Setup!$B$11)</f>
        <v/>
      </c>
      <c r="M10" s="13">
        <f>IF($D10="","",IF(AND(TODAY()&gt;=Setup!$B$9,$P10&gt;0),Setup!$B$12,0))</f>
        <v/>
      </c>
      <c r="N10" s="13">
        <f>IF($D10="","",SUM($J10:$M10))</f>
        <v/>
      </c>
      <c r="O10" s="13">
        <f>IF($A10="","",SUMIFS(Payments!$F:$F,Payments!$D:$D,$A10))</f>
        <v/>
      </c>
      <c r="P10" s="13">
        <f>IF($D10="","",MAX(0,$N10-$O10))</f>
        <v/>
      </c>
      <c r="Q10" s="2">
        <f>IF($D10="","",IF(IFERROR(INDEX(Units_Owners!$I$5:$I$504,MATCH($D10,Units_Owners!$A$5:$A$504,0)),"No")&lt;&gt;"Yes","Skip - Inactive",IF($P10=0,"Paid",IF(TODAY()&gt;$I10,"Past Due","Open"))))</f>
        <v/>
      </c>
      <c r="R10" s="14" t="n"/>
      <c r="S10" s="6" t="n"/>
    </row>
    <row r="11">
      <c r="A11" s="2">
        <f>IF($D11="","","INV-"&amp;$B11&amp;"-"&amp;$C11&amp;"-"&amp;TEXT(ROW(A7),"0000"))</f>
        <v/>
      </c>
      <c r="B11" s="2">
        <f>Setup!$B$5</f>
        <v/>
      </c>
      <c r="C11" s="2">
        <f>Setup!$B$6</f>
        <v/>
      </c>
      <c r="D11" s="2">
        <f>IFERROR(INDEX(Units_Owners!$A$5:$A$504,ROWS($A$5:A11)),"")</f>
        <v/>
      </c>
      <c r="E11" s="2">
        <f>IF($D11="","",IFERROR(INDEX(Units_Owners!$B$5:$B$504,MATCH($D11,Units_Owners!$A$5:$A$504,0)),""))</f>
        <v/>
      </c>
      <c r="F11" s="2">
        <f>IF($D11="","",IFERROR(INDEX(Units_Owners!$C$5:$C$504,MATCH($D11,Units_Owners!$A$5:$A$504,0)),""))</f>
        <v/>
      </c>
      <c r="G11" s="2">
        <f>IF($D11="","",IFERROR(INDEX(Units_Owners!$D$5:$D$504,MATCH($D11,Units_Owners!$A$5:$A$504,0)),""))</f>
        <v/>
      </c>
      <c r="H11" s="12">
        <f>Setup!$B$7</f>
        <v/>
      </c>
      <c r="I11" s="12">
        <f>Setup!$B$8</f>
        <v/>
      </c>
      <c r="J11" s="13">
        <f>IF($D11="","",IFERROR(INDEX(Units_Owners!$J$5:$J$504,MATCH($D11,Units_Owners!$A$5:$A$504,0)),0)+SUMIFS(Ledger!$F:$F,Ledger!$B:$B,$D11,Ledger!$D:$D,"&lt;"&amp;$H11)-SUMIFS(Ledger!$G:$G,Ledger!$B:$B,$D11,Ledger!$D:$D,"&lt;"&amp;$H11))</f>
        <v/>
      </c>
      <c r="K11" s="13">
        <f>IF($D11="","",IFERROR(INDEX(Units_Owners!$H$5:$H$504,MATCH($D11,Units_Owners!$A$5:$A$504,0)),Setup!$B$10))</f>
        <v/>
      </c>
      <c r="L11" s="13">
        <f>IF($D11="","",Setup!$B$11)</f>
        <v/>
      </c>
      <c r="M11" s="13">
        <f>IF($D11="","",IF(AND(TODAY()&gt;=Setup!$B$9,$P11&gt;0),Setup!$B$12,0))</f>
        <v/>
      </c>
      <c r="N11" s="13">
        <f>IF($D11="","",SUM($J11:$M11))</f>
        <v/>
      </c>
      <c r="O11" s="13">
        <f>IF($A11="","",SUMIFS(Payments!$F:$F,Payments!$D:$D,$A11))</f>
        <v/>
      </c>
      <c r="P11" s="13">
        <f>IF($D11="","",MAX(0,$N11-$O11))</f>
        <v/>
      </c>
      <c r="Q11" s="2">
        <f>IF($D11="","",IF(IFERROR(INDEX(Units_Owners!$I$5:$I$504,MATCH($D11,Units_Owners!$A$5:$A$504,0)),"No")&lt;&gt;"Yes","Skip - Inactive",IF($P11=0,"Paid",IF(TODAY()&gt;$I11,"Past Due","Open"))))</f>
        <v/>
      </c>
      <c r="R11" s="12" t="n"/>
      <c r="S11" s="2" t="n"/>
    </row>
    <row r="12">
      <c r="A12" s="2">
        <f>IF($D12="","","INV-"&amp;$B12&amp;"-"&amp;$C12&amp;"-"&amp;TEXT(ROW(A8),"0000"))</f>
        <v/>
      </c>
      <c r="B12" s="2">
        <f>Setup!$B$5</f>
        <v/>
      </c>
      <c r="C12" s="2">
        <f>Setup!$B$6</f>
        <v/>
      </c>
      <c r="D12" s="2">
        <f>IFERROR(INDEX(Units_Owners!$A$5:$A$504,ROWS($A$5:A12)),"")</f>
        <v/>
      </c>
      <c r="E12" s="2">
        <f>IF($D12="","",IFERROR(INDEX(Units_Owners!$B$5:$B$504,MATCH($D12,Units_Owners!$A$5:$A$504,0)),""))</f>
        <v/>
      </c>
      <c r="F12" s="2">
        <f>IF($D12="","",IFERROR(INDEX(Units_Owners!$C$5:$C$504,MATCH($D12,Units_Owners!$A$5:$A$504,0)),""))</f>
        <v/>
      </c>
      <c r="G12" s="2">
        <f>IF($D12="","",IFERROR(INDEX(Units_Owners!$D$5:$D$504,MATCH($D12,Units_Owners!$A$5:$A$504,0)),""))</f>
        <v/>
      </c>
      <c r="H12" s="12">
        <f>Setup!$B$7</f>
        <v/>
      </c>
      <c r="I12" s="12">
        <f>Setup!$B$8</f>
        <v/>
      </c>
      <c r="J12" s="13">
        <f>IF($D12="","",IFERROR(INDEX(Units_Owners!$J$5:$J$504,MATCH($D12,Units_Owners!$A$5:$A$504,0)),0)+SUMIFS(Ledger!$F:$F,Ledger!$B:$B,$D12,Ledger!$D:$D,"&lt;"&amp;$H12)-SUMIFS(Ledger!$G:$G,Ledger!$B:$B,$D12,Ledger!$D:$D,"&lt;"&amp;$H12))</f>
        <v/>
      </c>
      <c r="K12" s="13">
        <f>IF($D12="","",IFERROR(INDEX(Units_Owners!$H$5:$H$504,MATCH($D12,Units_Owners!$A$5:$A$504,0)),Setup!$B$10))</f>
        <v/>
      </c>
      <c r="L12" s="13">
        <f>IF($D12="","",Setup!$B$11)</f>
        <v/>
      </c>
      <c r="M12" s="13">
        <f>IF($D12="","",IF(AND(TODAY()&gt;=Setup!$B$9,$P12&gt;0),Setup!$B$12,0))</f>
        <v/>
      </c>
      <c r="N12" s="13">
        <f>IF($D12="","",SUM($J12:$M12))</f>
        <v/>
      </c>
      <c r="O12" s="13">
        <f>IF($A12="","",SUMIFS(Payments!$F:$F,Payments!$D:$D,$A12))</f>
        <v/>
      </c>
      <c r="P12" s="13">
        <f>IF($D12="","",MAX(0,$N12-$O12))</f>
        <v/>
      </c>
      <c r="Q12" s="2">
        <f>IF($D12="","",IF(IFERROR(INDEX(Units_Owners!$I$5:$I$504,MATCH($D12,Units_Owners!$A$5:$A$504,0)),"No")&lt;&gt;"Yes","Skip - Inactive",IF($P12=0,"Paid",IF(TODAY()&gt;$I12,"Past Due","Open"))))</f>
        <v/>
      </c>
      <c r="R12" s="14" t="n"/>
      <c r="S12" s="6" t="n"/>
    </row>
    <row r="13">
      <c r="A13" s="2">
        <f>IF($D13="","","INV-"&amp;$B13&amp;"-"&amp;$C13&amp;"-"&amp;TEXT(ROW(A9),"0000"))</f>
        <v/>
      </c>
      <c r="B13" s="2">
        <f>Setup!$B$5</f>
        <v/>
      </c>
      <c r="C13" s="2">
        <f>Setup!$B$6</f>
        <v/>
      </c>
      <c r="D13" s="2">
        <f>IFERROR(INDEX(Units_Owners!$A$5:$A$504,ROWS($A$5:A13)),"")</f>
        <v/>
      </c>
      <c r="E13" s="2">
        <f>IF($D13="","",IFERROR(INDEX(Units_Owners!$B$5:$B$504,MATCH($D13,Units_Owners!$A$5:$A$504,0)),""))</f>
        <v/>
      </c>
      <c r="F13" s="2">
        <f>IF($D13="","",IFERROR(INDEX(Units_Owners!$C$5:$C$504,MATCH($D13,Units_Owners!$A$5:$A$504,0)),""))</f>
        <v/>
      </c>
      <c r="G13" s="2">
        <f>IF($D13="","",IFERROR(INDEX(Units_Owners!$D$5:$D$504,MATCH($D13,Units_Owners!$A$5:$A$504,0)),""))</f>
        <v/>
      </c>
      <c r="H13" s="12">
        <f>Setup!$B$7</f>
        <v/>
      </c>
      <c r="I13" s="12">
        <f>Setup!$B$8</f>
        <v/>
      </c>
      <c r="J13" s="13">
        <f>IF($D13="","",IFERROR(INDEX(Units_Owners!$J$5:$J$504,MATCH($D13,Units_Owners!$A$5:$A$504,0)),0)+SUMIFS(Ledger!$F:$F,Ledger!$B:$B,$D13,Ledger!$D:$D,"&lt;"&amp;$H13)-SUMIFS(Ledger!$G:$G,Ledger!$B:$B,$D13,Ledger!$D:$D,"&lt;"&amp;$H13))</f>
        <v/>
      </c>
      <c r="K13" s="13">
        <f>IF($D13="","",IFERROR(INDEX(Units_Owners!$H$5:$H$504,MATCH($D13,Units_Owners!$A$5:$A$504,0)),Setup!$B$10))</f>
        <v/>
      </c>
      <c r="L13" s="13">
        <f>IF($D13="","",Setup!$B$11)</f>
        <v/>
      </c>
      <c r="M13" s="13">
        <f>IF($D13="","",IF(AND(TODAY()&gt;=Setup!$B$9,$P13&gt;0),Setup!$B$12,0))</f>
        <v/>
      </c>
      <c r="N13" s="13">
        <f>IF($D13="","",SUM($J13:$M13))</f>
        <v/>
      </c>
      <c r="O13" s="13">
        <f>IF($A13="","",SUMIFS(Payments!$F:$F,Payments!$D:$D,$A13))</f>
        <v/>
      </c>
      <c r="P13" s="13">
        <f>IF($D13="","",MAX(0,$N13-$O13))</f>
        <v/>
      </c>
      <c r="Q13" s="2">
        <f>IF($D13="","",IF(IFERROR(INDEX(Units_Owners!$I$5:$I$504,MATCH($D13,Units_Owners!$A$5:$A$504,0)),"No")&lt;&gt;"Yes","Skip - Inactive",IF($P13=0,"Paid",IF(TODAY()&gt;$I13,"Past Due","Open"))))</f>
        <v/>
      </c>
      <c r="R13" s="12" t="n"/>
      <c r="S13" s="2" t="n"/>
    </row>
    <row r="14">
      <c r="A14" s="2">
        <f>IF($D14="","","INV-"&amp;$B14&amp;"-"&amp;$C14&amp;"-"&amp;TEXT(ROW(A10),"0000"))</f>
        <v/>
      </c>
      <c r="B14" s="2">
        <f>Setup!$B$5</f>
        <v/>
      </c>
      <c r="C14" s="2">
        <f>Setup!$B$6</f>
        <v/>
      </c>
      <c r="D14" s="2">
        <f>IFERROR(INDEX(Units_Owners!$A$5:$A$504,ROWS($A$5:A14)),"")</f>
        <v/>
      </c>
      <c r="E14" s="2">
        <f>IF($D14="","",IFERROR(INDEX(Units_Owners!$B$5:$B$504,MATCH($D14,Units_Owners!$A$5:$A$504,0)),""))</f>
        <v/>
      </c>
      <c r="F14" s="2">
        <f>IF($D14="","",IFERROR(INDEX(Units_Owners!$C$5:$C$504,MATCH($D14,Units_Owners!$A$5:$A$504,0)),""))</f>
        <v/>
      </c>
      <c r="G14" s="2">
        <f>IF($D14="","",IFERROR(INDEX(Units_Owners!$D$5:$D$504,MATCH($D14,Units_Owners!$A$5:$A$504,0)),""))</f>
        <v/>
      </c>
      <c r="H14" s="12">
        <f>Setup!$B$7</f>
        <v/>
      </c>
      <c r="I14" s="12">
        <f>Setup!$B$8</f>
        <v/>
      </c>
      <c r="J14" s="13">
        <f>IF($D14="","",IFERROR(INDEX(Units_Owners!$J$5:$J$504,MATCH($D14,Units_Owners!$A$5:$A$504,0)),0)+SUMIFS(Ledger!$F:$F,Ledger!$B:$B,$D14,Ledger!$D:$D,"&lt;"&amp;$H14)-SUMIFS(Ledger!$G:$G,Ledger!$B:$B,$D14,Ledger!$D:$D,"&lt;"&amp;$H14))</f>
        <v/>
      </c>
      <c r="K14" s="13">
        <f>IF($D14="","",IFERROR(INDEX(Units_Owners!$H$5:$H$504,MATCH($D14,Units_Owners!$A$5:$A$504,0)),Setup!$B$10))</f>
        <v/>
      </c>
      <c r="L14" s="13">
        <f>IF($D14="","",Setup!$B$11)</f>
        <v/>
      </c>
      <c r="M14" s="13">
        <f>IF($D14="","",IF(AND(TODAY()&gt;=Setup!$B$9,$P14&gt;0),Setup!$B$12,0))</f>
        <v/>
      </c>
      <c r="N14" s="13">
        <f>IF($D14="","",SUM($J14:$M14))</f>
        <v/>
      </c>
      <c r="O14" s="13">
        <f>IF($A14="","",SUMIFS(Payments!$F:$F,Payments!$D:$D,$A14))</f>
        <v/>
      </c>
      <c r="P14" s="13">
        <f>IF($D14="","",MAX(0,$N14-$O14))</f>
        <v/>
      </c>
      <c r="Q14" s="2">
        <f>IF($D14="","",IF(IFERROR(INDEX(Units_Owners!$I$5:$I$504,MATCH($D14,Units_Owners!$A$5:$A$504,0)),"No")&lt;&gt;"Yes","Skip - Inactive",IF($P14=0,"Paid",IF(TODAY()&gt;$I14,"Past Due","Open"))))</f>
        <v/>
      </c>
      <c r="R14" s="14" t="n"/>
      <c r="S14" s="6" t="n"/>
    </row>
    <row r="15">
      <c r="A15" s="2">
        <f>IF($D15="","","INV-"&amp;$B15&amp;"-"&amp;$C15&amp;"-"&amp;TEXT(ROW(A11),"0000"))</f>
        <v/>
      </c>
      <c r="B15" s="2">
        <f>Setup!$B$5</f>
        <v/>
      </c>
      <c r="C15" s="2">
        <f>Setup!$B$6</f>
        <v/>
      </c>
      <c r="D15" s="2">
        <f>IFERROR(INDEX(Units_Owners!$A$5:$A$504,ROWS($A$5:A15)),"")</f>
        <v/>
      </c>
      <c r="E15" s="2">
        <f>IF($D15="","",IFERROR(INDEX(Units_Owners!$B$5:$B$504,MATCH($D15,Units_Owners!$A$5:$A$504,0)),""))</f>
        <v/>
      </c>
      <c r="F15" s="2">
        <f>IF($D15="","",IFERROR(INDEX(Units_Owners!$C$5:$C$504,MATCH($D15,Units_Owners!$A$5:$A$504,0)),""))</f>
        <v/>
      </c>
      <c r="G15" s="2">
        <f>IF($D15="","",IFERROR(INDEX(Units_Owners!$D$5:$D$504,MATCH($D15,Units_Owners!$A$5:$A$504,0)),""))</f>
        <v/>
      </c>
      <c r="H15" s="12">
        <f>Setup!$B$7</f>
        <v/>
      </c>
      <c r="I15" s="12">
        <f>Setup!$B$8</f>
        <v/>
      </c>
      <c r="J15" s="13">
        <f>IF($D15="","",IFERROR(INDEX(Units_Owners!$J$5:$J$504,MATCH($D15,Units_Owners!$A$5:$A$504,0)),0)+SUMIFS(Ledger!$F:$F,Ledger!$B:$B,$D15,Ledger!$D:$D,"&lt;"&amp;$H15)-SUMIFS(Ledger!$G:$G,Ledger!$B:$B,$D15,Ledger!$D:$D,"&lt;"&amp;$H15))</f>
        <v/>
      </c>
      <c r="K15" s="13">
        <f>IF($D15="","",IFERROR(INDEX(Units_Owners!$H$5:$H$504,MATCH($D15,Units_Owners!$A$5:$A$504,0)),Setup!$B$10))</f>
        <v/>
      </c>
      <c r="L15" s="13">
        <f>IF($D15="","",Setup!$B$11)</f>
        <v/>
      </c>
      <c r="M15" s="13">
        <f>IF($D15="","",IF(AND(TODAY()&gt;=Setup!$B$9,$P15&gt;0),Setup!$B$12,0))</f>
        <v/>
      </c>
      <c r="N15" s="13">
        <f>IF($D15="","",SUM($J15:$M15))</f>
        <v/>
      </c>
      <c r="O15" s="13">
        <f>IF($A15="","",SUMIFS(Payments!$F:$F,Payments!$D:$D,$A15))</f>
        <v/>
      </c>
      <c r="P15" s="13">
        <f>IF($D15="","",MAX(0,$N15-$O15))</f>
        <v/>
      </c>
      <c r="Q15" s="2">
        <f>IF($D15="","",IF(IFERROR(INDEX(Units_Owners!$I$5:$I$504,MATCH($D15,Units_Owners!$A$5:$A$504,0)),"No")&lt;&gt;"Yes","Skip - Inactive",IF($P15=0,"Paid",IF(TODAY()&gt;$I15,"Past Due","Open"))))</f>
        <v/>
      </c>
      <c r="R15" s="12" t="n"/>
      <c r="S15" s="2" t="n"/>
    </row>
    <row r="16">
      <c r="A16" s="2">
        <f>IF($D16="","","INV-"&amp;$B16&amp;"-"&amp;$C16&amp;"-"&amp;TEXT(ROW(A12),"0000"))</f>
        <v/>
      </c>
      <c r="B16" s="2">
        <f>Setup!$B$5</f>
        <v/>
      </c>
      <c r="C16" s="2">
        <f>Setup!$B$6</f>
        <v/>
      </c>
      <c r="D16" s="2">
        <f>IFERROR(INDEX(Units_Owners!$A$5:$A$504,ROWS($A$5:A16)),"")</f>
        <v/>
      </c>
      <c r="E16" s="2">
        <f>IF($D16="","",IFERROR(INDEX(Units_Owners!$B$5:$B$504,MATCH($D16,Units_Owners!$A$5:$A$504,0)),""))</f>
        <v/>
      </c>
      <c r="F16" s="2">
        <f>IF($D16="","",IFERROR(INDEX(Units_Owners!$C$5:$C$504,MATCH($D16,Units_Owners!$A$5:$A$504,0)),""))</f>
        <v/>
      </c>
      <c r="G16" s="2">
        <f>IF($D16="","",IFERROR(INDEX(Units_Owners!$D$5:$D$504,MATCH($D16,Units_Owners!$A$5:$A$504,0)),""))</f>
        <v/>
      </c>
      <c r="H16" s="12">
        <f>Setup!$B$7</f>
        <v/>
      </c>
      <c r="I16" s="12">
        <f>Setup!$B$8</f>
        <v/>
      </c>
      <c r="J16" s="13">
        <f>IF($D16="","",IFERROR(INDEX(Units_Owners!$J$5:$J$504,MATCH($D16,Units_Owners!$A$5:$A$504,0)),0)+SUMIFS(Ledger!$F:$F,Ledger!$B:$B,$D16,Ledger!$D:$D,"&lt;"&amp;$H16)-SUMIFS(Ledger!$G:$G,Ledger!$B:$B,$D16,Ledger!$D:$D,"&lt;"&amp;$H16))</f>
        <v/>
      </c>
      <c r="K16" s="13">
        <f>IF($D16="","",IFERROR(INDEX(Units_Owners!$H$5:$H$504,MATCH($D16,Units_Owners!$A$5:$A$504,0)),Setup!$B$10))</f>
        <v/>
      </c>
      <c r="L16" s="13">
        <f>IF($D16="","",Setup!$B$11)</f>
        <v/>
      </c>
      <c r="M16" s="13">
        <f>IF($D16="","",IF(AND(TODAY()&gt;=Setup!$B$9,$P16&gt;0),Setup!$B$12,0))</f>
        <v/>
      </c>
      <c r="N16" s="13">
        <f>IF($D16="","",SUM($J16:$M16))</f>
        <v/>
      </c>
      <c r="O16" s="13">
        <f>IF($A16="","",SUMIFS(Payments!$F:$F,Payments!$D:$D,$A16))</f>
        <v/>
      </c>
      <c r="P16" s="13">
        <f>IF($D16="","",MAX(0,$N16-$O16))</f>
        <v/>
      </c>
      <c r="Q16" s="2">
        <f>IF($D16="","",IF(IFERROR(INDEX(Units_Owners!$I$5:$I$504,MATCH($D16,Units_Owners!$A$5:$A$504,0)),"No")&lt;&gt;"Yes","Skip - Inactive",IF($P16=0,"Paid",IF(TODAY()&gt;$I16,"Past Due","Open"))))</f>
        <v/>
      </c>
      <c r="R16" s="14" t="n"/>
      <c r="S16" s="6" t="n"/>
    </row>
    <row r="17">
      <c r="A17" s="2">
        <f>IF($D17="","","INV-"&amp;$B17&amp;"-"&amp;$C17&amp;"-"&amp;TEXT(ROW(A13),"0000"))</f>
        <v/>
      </c>
      <c r="B17" s="2">
        <f>Setup!$B$5</f>
        <v/>
      </c>
      <c r="C17" s="2">
        <f>Setup!$B$6</f>
        <v/>
      </c>
      <c r="D17" s="2">
        <f>IFERROR(INDEX(Units_Owners!$A$5:$A$504,ROWS($A$5:A17)),"")</f>
        <v/>
      </c>
      <c r="E17" s="2">
        <f>IF($D17="","",IFERROR(INDEX(Units_Owners!$B$5:$B$504,MATCH($D17,Units_Owners!$A$5:$A$504,0)),""))</f>
        <v/>
      </c>
      <c r="F17" s="2">
        <f>IF($D17="","",IFERROR(INDEX(Units_Owners!$C$5:$C$504,MATCH($D17,Units_Owners!$A$5:$A$504,0)),""))</f>
        <v/>
      </c>
      <c r="G17" s="2">
        <f>IF($D17="","",IFERROR(INDEX(Units_Owners!$D$5:$D$504,MATCH($D17,Units_Owners!$A$5:$A$504,0)),""))</f>
        <v/>
      </c>
      <c r="H17" s="12">
        <f>Setup!$B$7</f>
        <v/>
      </c>
      <c r="I17" s="12">
        <f>Setup!$B$8</f>
        <v/>
      </c>
      <c r="J17" s="13">
        <f>IF($D17="","",IFERROR(INDEX(Units_Owners!$J$5:$J$504,MATCH($D17,Units_Owners!$A$5:$A$504,0)),0)+SUMIFS(Ledger!$F:$F,Ledger!$B:$B,$D17,Ledger!$D:$D,"&lt;"&amp;$H17)-SUMIFS(Ledger!$G:$G,Ledger!$B:$B,$D17,Ledger!$D:$D,"&lt;"&amp;$H17))</f>
        <v/>
      </c>
      <c r="K17" s="13">
        <f>IF($D17="","",IFERROR(INDEX(Units_Owners!$H$5:$H$504,MATCH($D17,Units_Owners!$A$5:$A$504,0)),Setup!$B$10))</f>
        <v/>
      </c>
      <c r="L17" s="13">
        <f>IF($D17="","",Setup!$B$11)</f>
        <v/>
      </c>
      <c r="M17" s="13">
        <f>IF($D17="","",IF(AND(TODAY()&gt;=Setup!$B$9,$P17&gt;0),Setup!$B$12,0))</f>
        <v/>
      </c>
      <c r="N17" s="13">
        <f>IF($D17="","",SUM($J17:$M17))</f>
        <v/>
      </c>
      <c r="O17" s="13">
        <f>IF($A17="","",SUMIFS(Payments!$F:$F,Payments!$D:$D,$A17))</f>
        <v/>
      </c>
      <c r="P17" s="13">
        <f>IF($D17="","",MAX(0,$N17-$O17))</f>
        <v/>
      </c>
      <c r="Q17" s="2">
        <f>IF($D17="","",IF(IFERROR(INDEX(Units_Owners!$I$5:$I$504,MATCH($D17,Units_Owners!$A$5:$A$504,0)),"No")&lt;&gt;"Yes","Skip - Inactive",IF($P17=0,"Paid",IF(TODAY()&gt;$I17,"Past Due","Open"))))</f>
        <v/>
      </c>
      <c r="R17" s="12" t="n"/>
      <c r="S17" s="2" t="n"/>
    </row>
    <row r="18">
      <c r="A18" s="2">
        <f>IF($D18="","","INV-"&amp;$B18&amp;"-"&amp;$C18&amp;"-"&amp;TEXT(ROW(A14),"0000"))</f>
        <v/>
      </c>
      <c r="B18" s="2">
        <f>Setup!$B$5</f>
        <v/>
      </c>
      <c r="C18" s="2">
        <f>Setup!$B$6</f>
        <v/>
      </c>
      <c r="D18" s="2">
        <f>IFERROR(INDEX(Units_Owners!$A$5:$A$504,ROWS($A$5:A18)),"")</f>
        <v/>
      </c>
      <c r="E18" s="2">
        <f>IF($D18="","",IFERROR(INDEX(Units_Owners!$B$5:$B$504,MATCH($D18,Units_Owners!$A$5:$A$504,0)),""))</f>
        <v/>
      </c>
      <c r="F18" s="2">
        <f>IF($D18="","",IFERROR(INDEX(Units_Owners!$C$5:$C$504,MATCH($D18,Units_Owners!$A$5:$A$504,0)),""))</f>
        <v/>
      </c>
      <c r="G18" s="2">
        <f>IF($D18="","",IFERROR(INDEX(Units_Owners!$D$5:$D$504,MATCH($D18,Units_Owners!$A$5:$A$504,0)),""))</f>
        <v/>
      </c>
      <c r="H18" s="12">
        <f>Setup!$B$7</f>
        <v/>
      </c>
      <c r="I18" s="12">
        <f>Setup!$B$8</f>
        <v/>
      </c>
      <c r="J18" s="13">
        <f>IF($D18="","",IFERROR(INDEX(Units_Owners!$J$5:$J$504,MATCH($D18,Units_Owners!$A$5:$A$504,0)),0)+SUMIFS(Ledger!$F:$F,Ledger!$B:$B,$D18,Ledger!$D:$D,"&lt;"&amp;$H18)-SUMIFS(Ledger!$G:$G,Ledger!$B:$B,$D18,Ledger!$D:$D,"&lt;"&amp;$H18))</f>
        <v/>
      </c>
      <c r="K18" s="13">
        <f>IF($D18="","",IFERROR(INDEX(Units_Owners!$H$5:$H$504,MATCH($D18,Units_Owners!$A$5:$A$504,0)),Setup!$B$10))</f>
        <v/>
      </c>
      <c r="L18" s="13">
        <f>IF($D18="","",Setup!$B$11)</f>
        <v/>
      </c>
      <c r="M18" s="13">
        <f>IF($D18="","",IF(AND(TODAY()&gt;=Setup!$B$9,$P18&gt;0),Setup!$B$12,0))</f>
        <v/>
      </c>
      <c r="N18" s="13">
        <f>IF($D18="","",SUM($J18:$M18))</f>
        <v/>
      </c>
      <c r="O18" s="13">
        <f>IF($A18="","",SUMIFS(Payments!$F:$F,Payments!$D:$D,$A18))</f>
        <v/>
      </c>
      <c r="P18" s="13">
        <f>IF($D18="","",MAX(0,$N18-$O18))</f>
        <v/>
      </c>
      <c r="Q18" s="2">
        <f>IF($D18="","",IF(IFERROR(INDEX(Units_Owners!$I$5:$I$504,MATCH($D18,Units_Owners!$A$5:$A$504,0)),"No")&lt;&gt;"Yes","Skip - Inactive",IF($P18=0,"Paid",IF(TODAY()&gt;$I18,"Past Due","Open"))))</f>
        <v/>
      </c>
      <c r="R18" s="14" t="n"/>
      <c r="S18" s="6" t="n"/>
    </row>
    <row r="19">
      <c r="A19" s="2">
        <f>IF($D19="","","INV-"&amp;$B19&amp;"-"&amp;$C19&amp;"-"&amp;TEXT(ROW(A15),"0000"))</f>
        <v/>
      </c>
      <c r="B19" s="2">
        <f>Setup!$B$5</f>
        <v/>
      </c>
      <c r="C19" s="2">
        <f>Setup!$B$6</f>
        <v/>
      </c>
      <c r="D19" s="2">
        <f>IFERROR(INDEX(Units_Owners!$A$5:$A$504,ROWS($A$5:A19)),"")</f>
        <v/>
      </c>
      <c r="E19" s="2">
        <f>IF($D19="","",IFERROR(INDEX(Units_Owners!$B$5:$B$504,MATCH($D19,Units_Owners!$A$5:$A$504,0)),""))</f>
        <v/>
      </c>
      <c r="F19" s="2">
        <f>IF($D19="","",IFERROR(INDEX(Units_Owners!$C$5:$C$504,MATCH($D19,Units_Owners!$A$5:$A$504,0)),""))</f>
        <v/>
      </c>
      <c r="G19" s="2">
        <f>IF($D19="","",IFERROR(INDEX(Units_Owners!$D$5:$D$504,MATCH($D19,Units_Owners!$A$5:$A$504,0)),""))</f>
        <v/>
      </c>
      <c r="H19" s="12">
        <f>Setup!$B$7</f>
        <v/>
      </c>
      <c r="I19" s="12">
        <f>Setup!$B$8</f>
        <v/>
      </c>
      <c r="J19" s="13">
        <f>IF($D19="","",IFERROR(INDEX(Units_Owners!$J$5:$J$504,MATCH($D19,Units_Owners!$A$5:$A$504,0)),0)+SUMIFS(Ledger!$F:$F,Ledger!$B:$B,$D19,Ledger!$D:$D,"&lt;"&amp;$H19)-SUMIFS(Ledger!$G:$G,Ledger!$B:$B,$D19,Ledger!$D:$D,"&lt;"&amp;$H19))</f>
        <v/>
      </c>
      <c r="K19" s="13">
        <f>IF($D19="","",IFERROR(INDEX(Units_Owners!$H$5:$H$504,MATCH($D19,Units_Owners!$A$5:$A$504,0)),Setup!$B$10))</f>
        <v/>
      </c>
      <c r="L19" s="13">
        <f>IF($D19="","",Setup!$B$11)</f>
        <v/>
      </c>
      <c r="M19" s="13">
        <f>IF($D19="","",IF(AND(TODAY()&gt;=Setup!$B$9,$P19&gt;0),Setup!$B$12,0))</f>
        <v/>
      </c>
      <c r="N19" s="13">
        <f>IF($D19="","",SUM($J19:$M19))</f>
        <v/>
      </c>
      <c r="O19" s="13">
        <f>IF($A19="","",SUMIFS(Payments!$F:$F,Payments!$D:$D,$A19))</f>
        <v/>
      </c>
      <c r="P19" s="13">
        <f>IF($D19="","",MAX(0,$N19-$O19))</f>
        <v/>
      </c>
      <c r="Q19" s="2">
        <f>IF($D19="","",IF(IFERROR(INDEX(Units_Owners!$I$5:$I$504,MATCH($D19,Units_Owners!$A$5:$A$504,0)),"No")&lt;&gt;"Yes","Skip - Inactive",IF($P19=0,"Paid",IF(TODAY()&gt;$I19,"Past Due","Open"))))</f>
        <v/>
      </c>
      <c r="R19" s="12" t="n"/>
      <c r="S19" s="2" t="n"/>
    </row>
    <row r="20">
      <c r="A20" s="2">
        <f>IF($D20="","","INV-"&amp;$B20&amp;"-"&amp;$C20&amp;"-"&amp;TEXT(ROW(A16),"0000"))</f>
        <v/>
      </c>
      <c r="B20" s="2">
        <f>Setup!$B$5</f>
        <v/>
      </c>
      <c r="C20" s="2">
        <f>Setup!$B$6</f>
        <v/>
      </c>
      <c r="D20" s="2">
        <f>IFERROR(INDEX(Units_Owners!$A$5:$A$504,ROWS($A$5:A20)),"")</f>
        <v/>
      </c>
      <c r="E20" s="2">
        <f>IF($D20="","",IFERROR(INDEX(Units_Owners!$B$5:$B$504,MATCH($D20,Units_Owners!$A$5:$A$504,0)),""))</f>
        <v/>
      </c>
      <c r="F20" s="2">
        <f>IF($D20="","",IFERROR(INDEX(Units_Owners!$C$5:$C$504,MATCH($D20,Units_Owners!$A$5:$A$504,0)),""))</f>
        <v/>
      </c>
      <c r="G20" s="2">
        <f>IF($D20="","",IFERROR(INDEX(Units_Owners!$D$5:$D$504,MATCH($D20,Units_Owners!$A$5:$A$504,0)),""))</f>
        <v/>
      </c>
      <c r="H20" s="12">
        <f>Setup!$B$7</f>
        <v/>
      </c>
      <c r="I20" s="12">
        <f>Setup!$B$8</f>
        <v/>
      </c>
      <c r="J20" s="13">
        <f>IF($D20="","",IFERROR(INDEX(Units_Owners!$J$5:$J$504,MATCH($D20,Units_Owners!$A$5:$A$504,0)),0)+SUMIFS(Ledger!$F:$F,Ledger!$B:$B,$D20,Ledger!$D:$D,"&lt;"&amp;$H20)-SUMIFS(Ledger!$G:$G,Ledger!$B:$B,$D20,Ledger!$D:$D,"&lt;"&amp;$H20))</f>
        <v/>
      </c>
      <c r="K20" s="13">
        <f>IF($D20="","",IFERROR(INDEX(Units_Owners!$H$5:$H$504,MATCH($D20,Units_Owners!$A$5:$A$504,0)),Setup!$B$10))</f>
        <v/>
      </c>
      <c r="L20" s="13">
        <f>IF($D20="","",Setup!$B$11)</f>
        <v/>
      </c>
      <c r="M20" s="13">
        <f>IF($D20="","",IF(AND(TODAY()&gt;=Setup!$B$9,$P20&gt;0),Setup!$B$12,0))</f>
        <v/>
      </c>
      <c r="N20" s="13">
        <f>IF($D20="","",SUM($J20:$M20))</f>
        <v/>
      </c>
      <c r="O20" s="13">
        <f>IF($A20="","",SUMIFS(Payments!$F:$F,Payments!$D:$D,$A20))</f>
        <v/>
      </c>
      <c r="P20" s="13">
        <f>IF($D20="","",MAX(0,$N20-$O20))</f>
        <v/>
      </c>
      <c r="Q20" s="2">
        <f>IF($D20="","",IF(IFERROR(INDEX(Units_Owners!$I$5:$I$504,MATCH($D20,Units_Owners!$A$5:$A$504,0)),"No")&lt;&gt;"Yes","Skip - Inactive",IF($P20=0,"Paid",IF(TODAY()&gt;$I20,"Past Due","Open"))))</f>
        <v/>
      </c>
      <c r="R20" s="14" t="n"/>
      <c r="S20" s="6" t="n"/>
    </row>
    <row r="21">
      <c r="A21" s="2">
        <f>IF($D21="","","INV-"&amp;$B21&amp;"-"&amp;$C21&amp;"-"&amp;TEXT(ROW(A17),"0000"))</f>
        <v/>
      </c>
      <c r="B21" s="2">
        <f>Setup!$B$5</f>
        <v/>
      </c>
      <c r="C21" s="2">
        <f>Setup!$B$6</f>
        <v/>
      </c>
      <c r="D21" s="2">
        <f>IFERROR(INDEX(Units_Owners!$A$5:$A$504,ROWS($A$5:A21)),"")</f>
        <v/>
      </c>
      <c r="E21" s="2">
        <f>IF($D21="","",IFERROR(INDEX(Units_Owners!$B$5:$B$504,MATCH($D21,Units_Owners!$A$5:$A$504,0)),""))</f>
        <v/>
      </c>
      <c r="F21" s="2">
        <f>IF($D21="","",IFERROR(INDEX(Units_Owners!$C$5:$C$504,MATCH($D21,Units_Owners!$A$5:$A$504,0)),""))</f>
        <v/>
      </c>
      <c r="G21" s="2">
        <f>IF($D21="","",IFERROR(INDEX(Units_Owners!$D$5:$D$504,MATCH($D21,Units_Owners!$A$5:$A$504,0)),""))</f>
        <v/>
      </c>
      <c r="H21" s="12">
        <f>Setup!$B$7</f>
        <v/>
      </c>
      <c r="I21" s="12">
        <f>Setup!$B$8</f>
        <v/>
      </c>
      <c r="J21" s="13">
        <f>IF($D21="","",IFERROR(INDEX(Units_Owners!$J$5:$J$504,MATCH($D21,Units_Owners!$A$5:$A$504,0)),0)+SUMIFS(Ledger!$F:$F,Ledger!$B:$B,$D21,Ledger!$D:$D,"&lt;"&amp;$H21)-SUMIFS(Ledger!$G:$G,Ledger!$B:$B,$D21,Ledger!$D:$D,"&lt;"&amp;$H21))</f>
        <v/>
      </c>
      <c r="K21" s="13">
        <f>IF($D21="","",IFERROR(INDEX(Units_Owners!$H$5:$H$504,MATCH($D21,Units_Owners!$A$5:$A$504,0)),Setup!$B$10))</f>
        <v/>
      </c>
      <c r="L21" s="13">
        <f>IF($D21="","",Setup!$B$11)</f>
        <v/>
      </c>
      <c r="M21" s="13">
        <f>IF($D21="","",IF(AND(TODAY()&gt;=Setup!$B$9,$P21&gt;0),Setup!$B$12,0))</f>
        <v/>
      </c>
      <c r="N21" s="13">
        <f>IF($D21="","",SUM($J21:$M21))</f>
        <v/>
      </c>
      <c r="O21" s="13">
        <f>IF($A21="","",SUMIFS(Payments!$F:$F,Payments!$D:$D,$A21))</f>
        <v/>
      </c>
      <c r="P21" s="13">
        <f>IF($D21="","",MAX(0,$N21-$O21))</f>
        <v/>
      </c>
      <c r="Q21" s="2">
        <f>IF($D21="","",IF(IFERROR(INDEX(Units_Owners!$I$5:$I$504,MATCH($D21,Units_Owners!$A$5:$A$504,0)),"No")&lt;&gt;"Yes","Skip - Inactive",IF($P21=0,"Paid",IF(TODAY()&gt;$I21,"Past Due","Open"))))</f>
        <v/>
      </c>
      <c r="R21" s="12" t="n"/>
      <c r="S21" s="2" t="n"/>
    </row>
    <row r="22">
      <c r="A22" s="2">
        <f>IF($D22="","","INV-"&amp;$B22&amp;"-"&amp;$C22&amp;"-"&amp;TEXT(ROW(A18),"0000"))</f>
        <v/>
      </c>
      <c r="B22" s="2">
        <f>Setup!$B$5</f>
        <v/>
      </c>
      <c r="C22" s="2">
        <f>Setup!$B$6</f>
        <v/>
      </c>
      <c r="D22" s="2">
        <f>IFERROR(INDEX(Units_Owners!$A$5:$A$504,ROWS($A$5:A22)),"")</f>
        <v/>
      </c>
      <c r="E22" s="2">
        <f>IF($D22="","",IFERROR(INDEX(Units_Owners!$B$5:$B$504,MATCH($D22,Units_Owners!$A$5:$A$504,0)),""))</f>
        <v/>
      </c>
      <c r="F22" s="2">
        <f>IF($D22="","",IFERROR(INDEX(Units_Owners!$C$5:$C$504,MATCH($D22,Units_Owners!$A$5:$A$504,0)),""))</f>
        <v/>
      </c>
      <c r="G22" s="2">
        <f>IF($D22="","",IFERROR(INDEX(Units_Owners!$D$5:$D$504,MATCH($D22,Units_Owners!$A$5:$A$504,0)),""))</f>
        <v/>
      </c>
      <c r="H22" s="12">
        <f>Setup!$B$7</f>
        <v/>
      </c>
      <c r="I22" s="12">
        <f>Setup!$B$8</f>
        <v/>
      </c>
      <c r="J22" s="13">
        <f>IF($D22="","",IFERROR(INDEX(Units_Owners!$J$5:$J$504,MATCH($D22,Units_Owners!$A$5:$A$504,0)),0)+SUMIFS(Ledger!$F:$F,Ledger!$B:$B,$D22,Ledger!$D:$D,"&lt;"&amp;$H22)-SUMIFS(Ledger!$G:$G,Ledger!$B:$B,$D22,Ledger!$D:$D,"&lt;"&amp;$H22))</f>
        <v/>
      </c>
      <c r="K22" s="13">
        <f>IF($D22="","",IFERROR(INDEX(Units_Owners!$H$5:$H$504,MATCH($D22,Units_Owners!$A$5:$A$504,0)),Setup!$B$10))</f>
        <v/>
      </c>
      <c r="L22" s="13">
        <f>IF($D22="","",Setup!$B$11)</f>
        <v/>
      </c>
      <c r="M22" s="13">
        <f>IF($D22="","",IF(AND(TODAY()&gt;=Setup!$B$9,$P22&gt;0),Setup!$B$12,0))</f>
        <v/>
      </c>
      <c r="N22" s="13">
        <f>IF($D22="","",SUM($J22:$M22))</f>
        <v/>
      </c>
      <c r="O22" s="13">
        <f>IF($A22="","",SUMIFS(Payments!$F:$F,Payments!$D:$D,$A22))</f>
        <v/>
      </c>
      <c r="P22" s="13">
        <f>IF($D22="","",MAX(0,$N22-$O22))</f>
        <v/>
      </c>
      <c r="Q22" s="2">
        <f>IF($D22="","",IF(IFERROR(INDEX(Units_Owners!$I$5:$I$504,MATCH($D22,Units_Owners!$A$5:$A$504,0)),"No")&lt;&gt;"Yes","Skip - Inactive",IF($P22=0,"Paid",IF(TODAY()&gt;$I22,"Past Due","Open"))))</f>
        <v/>
      </c>
      <c r="R22" s="14" t="n"/>
      <c r="S22" s="6" t="n"/>
    </row>
    <row r="23">
      <c r="A23" s="2">
        <f>IF($D23="","","INV-"&amp;$B23&amp;"-"&amp;$C23&amp;"-"&amp;TEXT(ROW(A19),"0000"))</f>
        <v/>
      </c>
      <c r="B23" s="2">
        <f>Setup!$B$5</f>
        <v/>
      </c>
      <c r="C23" s="2">
        <f>Setup!$B$6</f>
        <v/>
      </c>
      <c r="D23" s="2">
        <f>IFERROR(INDEX(Units_Owners!$A$5:$A$504,ROWS($A$5:A23)),"")</f>
        <v/>
      </c>
      <c r="E23" s="2">
        <f>IF($D23="","",IFERROR(INDEX(Units_Owners!$B$5:$B$504,MATCH($D23,Units_Owners!$A$5:$A$504,0)),""))</f>
        <v/>
      </c>
      <c r="F23" s="2">
        <f>IF($D23="","",IFERROR(INDEX(Units_Owners!$C$5:$C$504,MATCH($D23,Units_Owners!$A$5:$A$504,0)),""))</f>
        <v/>
      </c>
      <c r="G23" s="2">
        <f>IF($D23="","",IFERROR(INDEX(Units_Owners!$D$5:$D$504,MATCH($D23,Units_Owners!$A$5:$A$504,0)),""))</f>
        <v/>
      </c>
      <c r="H23" s="12">
        <f>Setup!$B$7</f>
        <v/>
      </c>
      <c r="I23" s="12">
        <f>Setup!$B$8</f>
        <v/>
      </c>
      <c r="J23" s="13">
        <f>IF($D23="","",IFERROR(INDEX(Units_Owners!$J$5:$J$504,MATCH($D23,Units_Owners!$A$5:$A$504,0)),0)+SUMIFS(Ledger!$F:$F,Ledger!$B:$B,$D23,Ledger!$D:$D,"&lt;"&amp;$H23)-SUMIFS(Ledger!$G:$G,Ledger!$B:$B,$D23,Ledger!$D:$D,"&lt;"&amp;$H23))</f>
        <v/>
      </c>
      <c r="K23" s="13">
        <f>IF($D23="","",IFERROR(INDEX(Units_Owners!$H$5:$H$504,MATCH($D23,Units_Owners!$A$5:$A$504,0)),Setup!$B$10))</f>
        <v/>
      </c>
      <c r="L23" s="13">
        <f>IF($D23="","",Setup!$B$11)</f>
        <v/>
      </c>
      <c r="M23" s="13">
        <f>IF($D23="","",IF(AND(TODAY()&gt;=Setup!$B$9,$P23&gt;0),Setup!$B$12,0))</f>
        <v/>
      </c>
      <c r="N23" s="13">
        <f>IF($D23="","",SUM($J23:$M23))</f>
        <v/>
      </c>
      <c r="O23" s="13">
        <f>IF($A23="","",SUMIFS(Payments!$F:$F,Payments!$D:$D,$A23))</f>
        <v/>
      </c>
      <c r="P23" s="13">
        <f>IF($D23="","",MAX(0,$N23-$O23))</f>
        <v/>
      </c>
      <c r="Q23" s="2">
        <f>IF($D23="","",IF(IFERROR(INDEX(Units_Owners!$I$5:$I$504,MATCH($D23,Units_Owners!$A$5:$A$504,0)),"No")&lt;&gt;"Yes","Skip - Inactive",IF($P23=0,"Paid",IF(TODAY()&gt;$I23,"Past Due","Open"))))</f>
        <v/>
      </c>
      <c r="R23" s="12" t="n"/>
      <c r="S23" s="2" t="n"/>
    </row>
    <row r="24">
      <c r="A24" s="2">
        <f>IF($D24="","","INV-"&amp;$B24&amp;"-"&amp;$C24&amp;"-"&amp;TEXT(ROW(A20),"0000"))</f>
        <v/>
      </c>
      <c r="B24" s="2">
        <f>Setup!$B$5</f>
        <v/>
      </c>
      <c r="C24" s="2">
        <f>Setup!$B$6</f>
        <v/>
      </c>
      <c r="D24" s="2">
        <f>IFERROR(INDEX(Units_Owners!$A$5:$A$504,ROWS($A$5:A24)),"")</f>
        <v/>
      </c>
      <c r="E24" s="2">
        <f>IF($D24="","",IFERROR(INDEX(Units_Owners!$B$5:$B$504,MATCH($D24,Units_Owners!$A$5:$A$504,0)),""))</f>
        <v/>
      </c>
      <c r="F24" s="2">
        <f>IF($D24="","",IFERROR(INDEX(Units_Owners!$C$5:$C$504,MATCH($D24,Units_Owners!$A$5:$A$504,0)),""))</f>
        <v/>
      </c>
      <c r="G24" s="2">
        <f>IF($D24="","",IFERROR(INDEX(Units_Owners!$D$5:$D$504,MATCH($D24,Units_Owners!$A$5:$A$504,0)),""))</f>
        <v/>
      </c>
      <c r="H24" s="12">
        <f>Setup!$B$7</f>
        <v/>
      </c>
      <c r="I24" s="12">
        <f>Setup!$B$8</f>
        <v/>
      </c>
      <c r="J24" s="13">
        <f>IF($D24="","",IFERROR(INDEX(Units_Owners!$J$5:$J$504,MATCH($D24,Units_Owners!$A$5:$A$504,0)),0)+SUMIFS(Ledger!$F:$F,Ledger!$B:$B,$D24,Ledger!$D:$D,"&lt;"&amp;$H24)-SUMIFS(Ledger!$G:$G,Ledger!$B:$B,$D24,Ledger!$D:$D,"&lt;"&amp;$H24))</f>
        <v/>
      </c>
      <c r="K24" s="13">
        <f>IF($D24="","",IFERROR(INDEX(Units_Owners!$H$5:$H$504,MATCH($D24,Units_Owners!$A$5:$A$504,0)),Setup!$B$10))</f>
        <v/>
      </c>
      <c r="L24" s="13">
        <f>IF($D24="","",Setup!$B$11)</f>
        <v/>
      </c>
      <c r="M24" s="13">
        <f>IF($D24="","",IF(AND(TODAY()&gt;=Setup!$B$9,$P24&gt;0),Setup!$B$12,0))</f>
        <v/>
      </c>
      <c r="N24" s="13">
        <f>IF($D24="","",SUM($J24:$M24))</f>
        <v/>
      </c>
      <c r="O24" s="13">
        <f>IF($A24="","",SUMIFS(Payments!$F:$F,Payments!$D:$D,$A24))</f>
        <v/>
      </c>
      <c r="P24" s="13">
        <f>IF($D24="","",MAX(0,$N24-$O24))</f>
        <v/>
      </c>
      <c r="Q24" s="2">
        <f>IF($D24="","",IF(IFERROR(INDEX(Units_Owners!$I$5:$I$504,MATCH($D24,Units_Owners!$A$5:$A$504,0)),"No")&lt;&gt;"Yes","Skip - Inactive",IF($P24=0,"Paid",IF(TODAY()&gt;$I24,"Past Due","Open"))))</f>
        <v/>
      </c>
      <c r="R24" s="14" t="n"/>
      <c r="S24" s="6" t="n"/>
    </row>
    <row r="25">
      <c r="A25" s="2">
        <f>IF($D25="","","INV-"&amp;$B25&amp;"-"&amp;$C25&amp;"-"&amp;TEXT(ROW(A21),"0000"))</f>
        <v/>
      </c>
      <c r="B25" s="2">
        <f>Setup!$B$5</f>
        <v/>
      </c>
      <c r="C25" s="2">
        <f>Setup!$B$6</f>
        <v/>
      </c>
      <c r="D25" s="2">
        <f>IFERROR(INDEX(Units_Owners!$A$5:$A$504,ROWS($A$5:A25)),"")</f>
        <v/>
      </c>
      <c r="E25" s="2">
        <f>IF($D25="","",IFERROR(INDEX(Units_Owners!$B$5:$B$504,MATCH($D25,Units_Owners!$A$5:$A$504,0)),""))</f>
        <v/>
      </c>
      <c r="F25" s="2">
        <f>IF($D25="","",IFERROR(INDEX(Units_Owners!$C$5:$C$504,MATCH($D25,Units_Owners!$A$5:$A$504,0)),""))</f>
        <v/>
      </c>
      <c r="G25" s="2">
        <f>IF($D25="","",IFERROR(INDEX(Units_Owners!$D$5:$D$504,MATCH($D25,Units_Owners!$A$5:$A$504,0)),""))</f>
        <v/>
      </c>
      <c r="H25" s="12">
        <f>Setup!$B$7</f>
        <v/>
      </c>
      <c r="I25" s="12">
        <f>Setup!$B$8</f>
        <v/>
      </c>
      <c r="J25" s="13">
        <f>IF($D25="","",IFERROR(INDEX(Units_Owners!$J$5:$J$504,MATCH($D25,Units_Owners!$A$5:$A$504,0)),0)+SUMIFS(Ledger!$F:$F,Ledger!$B:$B,$D25,Ledger!$D:$D,"&lt;"&amp;$H25)-SUMIFS(Ledger!$G:$G,Ledger!$B:$B,$D25,Ledger!$D:$D,"&lt;"&amp;$H25))</f>
        <v/>
      </c>
      <c r="K25" s="13">
        <f>IF($D25="","",IFERROR(INDEX(Units_Owners!$H$5:$H$504,MATCH($D25,Units_Owners!$A$5:$A$504,0)),Setup!$B$10))</f>
        <v/>
      </c>
      <c r="L25" s="13">
        <f>IF($D25="","",Setup!$B$11)</f>
        <v/>
      </c>
      <c r="M25" s="13">
        <f>IF($D25="","",IF(AND(TODAY()&gt;=Setup!$B$9,$P25&gt;0),Setup!$B$12,0))</f>
        <v/>
      </c>
      <c r="N25" s="13">
        <f>IF($D25="","",SUM($J25:$M25))</f>
        <v/>
      </c>
      <c r="O25" s="13">
        <f>IF($A25="","",SUMIFS(Payments!$F:$F,Payments!$D:$D,$A25))</f>
        <v/>
      </c>
      <c r="P25" s="13">
        <f>IF($D25="","",MAX(0,$N25-$O25))</f>
        <v/>
      </c>
      <c r="Q25" s="2">
        <f>IF($D25="","",IF(IFERROR(INDEX(Units_Owners!$I$5:$I$504,MATCH($D25,Units_Owners!$A$5:$A$504,0)),"No")&lt;&gt;"Yes","Skip - Inactive",IF($P25=0,"Paid",IF(TODAY()&gt;$I25,"Past Due","Open"))))</f>
        <v/>
      </c>
      <c r="R25" s="12" t="n"/>
      <c r="S25" s="2" t="n"/>
    </row>
    <row r="26">
      <c r="A26" s="2">
        <f>IF($D26="","","INV-"&amp;$B26&amp;"-"&amp;$C26&amp;"-"&amp;TEXT(ROW(A22),"0000"))</f>
        <v/>
      </c>
      <c r="B26" s="2">
        <f>Setup!$B$5</f>
        <v/>
      </c>
      <c r="C26" s="2">
        <f>Setup!$B$6</f>
        <v/>
      </c>
      <c r="D26" s="2">
        <f>IFERROR(INDEX(Units_Owners!$A$5:$A$504,ROWS($A$5:A26)),"")</f>
        <v/>
      </c>
      <c r="E26" s="2">
        <f>IF($D26="","",IFERROR(INDEX(Units_Owners!$B$5:$B$504,MATCH($D26,Units_Owners!$A$5:$A$504,0)),""))</f>
        <v/>
      </c>
      <c r="F26" s="2">
        <f>IF($D26="","",IFERROR(INDEX(Units_Owners!$C$5:$C$504,MATCH($D26,Units_Owners!$A$5:$A$504,0)),""))</f>
        <v/>
      </c>
      <c r="G26" s="2">
        <f>IF($D26="","",IFERROR(INDEX(Units_Owners!$D$5:$D$504,MATCH($D26,Units_Owners!$A$5:$A$504,0)),""))</f>
        <v/>
      </c>
      <c r="H26" s="12">
        <f>Setup!$B$7</f>
        <v/>
      </c>
      <c r="I26" s="12">
        <f>Setup!$B$8</f>
        <v/>
      </c>
      <c r="J26" s="13">
        <f>IF($D26="","",IFERROR(INDEX(Units_Owners!$J$5:$J$504,MATCH($D26,Units_Owners!$A$5:$A$504,0)),0)+SUMIFS(Ledger!$F:$F,Ledger!$B:$B,$D26,Ledger!$D:$D,"&lt;"&amp;$H26)-SUMIFS(Ledger!$G:$G,Ledger!$B:$B,$D26,Ledger!$D:$D,"&lt;"&amp;$H26))</f>
        <v/>
      </c>
      <c r="K26" s="13">
        <f>IF($D26="","",IFERROR(INDEX(Units_Owners!$H$5:$H$504,MATCH($D26,Units_Owners!$A$5:$A$504,0)),Setup!$B$10))</f>
        <v/>
      </c>
      <c r="L26" s="13">
        <f>IF($D26="","",Setup!$B$11)</f>
        <v/>
      </c>
      <c r="M26" s="13">
        <f>IF($D26="","",IF(AND(TODAY()&gt;=Setup!$B$9,$P26&gt;0),Setup!$B$12,0))</f>
        <v/>
      </c>
      <c r="N26" s="13">
        <f>IF($D26="","",SUM($J26:$M26))</f>
        <v/>
      </c>
      <c r="O26" s="13">
        <f>IF($A26="","",SUMIFS(Payments!$F:$F,Payments!$D:$D,$A26))</f>
        <v/>
      </c>
      <c r="P26" s="13">
        <f>IF($D26="","",MAX(0,$N26-$O26))</f>
        <v/>
      </c>
      <c r="Q26" s="2">
        <f>IF($D26="","",IF(IFERROR(INDEX(Units_Owners!$I$5:$I$504,MATCH($D26,Units_Owners!$A$5:$A$504,0)),"No")&lt;&gt;"Yes","Skip - Inactive",IF($P26=0,"Paid",IF(TODAY()&gt;$I26,"Past Due","Open"))))</f>
        <v/>
      </c>
      <c r="R26" s="14" t="n"/>
      <c r="S26" s="6" t="n"/>
    </row>
    <row r="27">
      <c r="A27" s="2">
        <f>IF($D27="","","INV-"&amp;$B27&amp;"-"&amp;$C27&amp;"-"&amp;TEXT(ROW(A23),"0000"))</f>
        <v/>
      </c>
      <c r="B27" s="2">
        <f>Setup!$B$5</f>
        <v/>
      </c>
      <c r="C27" s="2">
        <f>Setup!$B$6</f>
        <v/>
      </c>
      <c r="D27" s="2">
        <f>IFERROR(INDEX(Units_Owners!$A$5:$A$504,ROWS($A$5:A27)),"")</f>
        <v/>
      </c>
      <c r="E27" s="2">
        <f>IF($D27="","",IFERROR(INDEX(Units_Owners!$B$5:$B$504,MATCH($D27,Units_Owners!$A$5:$A$504,0)),""))</f>
        <v/>
      </c>
      <c r="F27" s="2">
        <f>IF($D27="","",IFERROR(INDEX(Units_Owners!$C$5:$C$504,MATCH($D27,Units_Owners!$A$5:$A$504,0)),""))</f>
        <v/>
      </c>
      <c r="G27" s="2">
        <f>IF($D27="","",IFERROR(INDEX(Units_Owners!$D$5:$D$504,MATCH($D27,Units_Owners!$A$5:$A$504,0)),""))</f>
        <v/>
      </c>
      <c r="H27" s="12">
        <f>Setup!$B$7</f>
        <v/>
      </c>
      <c r="I27" s="12">
        <f>Setup!$B$8</f>
        <v/>
      </c>
      <c r="J27" s="13">
        <f>IF($D27="","",IFERROR(INDEX(Units_Owners!$J$5:$J$504,MATCH($D27,Units_Owners!$A$5:$A$504,0)),0)+SUMIFS(Ledger!$F:$F,Ledger!$B:$B,$D27,Ledger!$D:$D,"&lt;"&amp;$H27)-SUMIFS(Ledger!$G:$G,Ledger!$B:$B,$D27,Ledger!$D:$D,"&lt;"&amp;$H27))</f>
        <v/>
      </c>
      <c r="K27" s="13">
        <f>IF($D27="","",IFERROR(INDEX(Units_Owners!$H$5:$H$504,MATCH($D27,Units_Owners!$A$5:$A$504,0)),Setup!$B$10))</f>
        <v/>
      </c>
      <c r="L27" s="13">
        <f>IF($D27="","",Setup!$B$11)</f>
        <v/>
      </c>
      <c r="M27" s="13">
        <f>IF($D27="","",IF(AND(TODAY()&gt;=Setup!$B$9,$P27&gt;0),Setup!$B$12,0))</f>
        <v/>
      </c>
      <c r="N27" s="13">
        <f>IF($D27="","",SUM($J27:$M27))</f>
        <v/>
      </c>
      <c r="O27" s="13">
        <f>IF($A27="","",SUMIFS(Payments!$F:$F,Payments!$D:$D,$A27))</f>
        <v/>
      </c>
      <c r="P27" s="13">
        <f>IF($D27="","",MAX(0,$N27-$O27))</f>
        <v/>
      </c>
      <c r="Q27" s="2">
        <f>IF($D27="","",IF(IFERROR(INDEX(Units_Owners!$I$5:$I$504,MATCH($D27,Units_Owners!$A$5:$A$504,0)),"No")&lt;&gt;"Yes","Skip - Inactive",IF($P27=0,"Paid",IF(TODAY()&gt;$I27,"Past Due","Open"))))</f>
        <v/>
      </c>
      <c r="R27" s="12" t="n"/>
      <c r="S27" s="2" t="n"/>
    </row>
    <row r="28">
      <c r="A28" s="2">
        <f>IF($D28="","","INV-"&amp;$B28&amp;"-"&amp;$C28&amp;"-"&amp;TEXT(ROW(A24),"0000"))</f>
        <v/>
      </c>
      <c r="B28" s="2">
        <f>Setup!$B$5</f>
        <v/>
      </c>
      <c r="C28" s="2">
        <f>Setup!$B$6</f>
        <v/>
      </c>
      <c r="D28" s="2">
        <f>IFERROR(INDEX(Units_Owners!$A$5:$A$504,ROWS($A$5:A28)),"")</f>
        <v/>
      </c>
      <c r="E28" s="2">
        <f>IF($D28="","",IFERROR(INDEX(Units_Owners!$B$5:$B$504,MATCH($D28,Units_Owners!$A$5:$A$504,0)),""))</f>
        <v/>
      </c>
      <c r="F28" s="2">
        <f>IF($D28="","",IFERROR(INDEX(Units_Owners!$C$5:$C$504,MATCH($D28,Units_Owners!$A$5:$A$504,0)),""))</f>
        <v/>
      </c>
      <c r="G28" s="2">
        <f>IF($D28="","",IFERROR(INDEX(Units_Owners!$D$5:$D$504,MATCH($D28,Units_Owners!$A$5:$A$504,0)),""))</f>
        <v/>
      </c>
      <c r="H28" s="12">
        <f>Setup!$B$7</f>
        <v/>
      </c>
      <c r="I28" s="12">
        <f>Setup!$B$8</f>
        <v/>
      </c>
      <c r="J28" s="13">
        <f>IF($D28="","",IFERROR(INDEX(Units_Owners!$J$5:$J$504,MATCH($D28,Units_Owners!$A$5:$A$504,0)),0)+SUMIFS(Ledger!$F:$F,Ledger!$B:$B,$D28,Ledger!$D:$D,"&lt;"&amp;$H28)-SUMIFS(Ledger!$G:$G,Ledger!$B:$B,$D28,Ledger!$D:$D,"&lt;"&amp;$H28))</f>
        <v/>
      </c>
      <c r="K28" s="13">
        <f>IF($D28="","",IFERROR(INDEX(Units_Owners!$H$5:$H$504,MATCH($D28,Units_Owners!$A$5:$A$504,0)),Setup!$B$10))</f>
        <v/>
      </c>
      <c r="L28" s="13">
        <f>IF($D28="","",Setup!$B$11)</f>
        <v/>
      </c>
      <c r="M28" s="13">
        <f>IF($D28="","",IF(AND(TODAY()&gt;=Setup!$B$9,$P28&gt;0),Setup!$B$12,0))</f>
        <v/>
      </c>
      <c r="N28" s="13">
        <f>IF($D28="","",SUM($J28:$M28))</f>
        <v/>
      </c>
      <c r="O28" s="13">
        <f>IF($A28="","",SUMIFS(Payments!$F:$F,Payments!$D:$D,$A28))</f>
        <v/>
      </c>
      <c r="P28" s="13">
        <f>IF($D28="","",MAX(0,$N28-$O28))</f>
        <v/>
      </c>
      <c r="Q28" s="2">
        <f>IF($D28="","",IF(IFERROR(INDEX(Units_Owners!$I$5:$I$504,MATCH($D28,Units_Owners!$A$5:$A$504,0)),"No")&lt;&gt;"Yes","Skip - Inactive",IF($P28=0,"Paid",IF(TODAY()&gt;$I28,"Past Due","Open"))))</f>
        <v/>
      </c>
      <c r="R28" s="14" t="n"/>
      <c r="S28" s="6" t="n"/>
    </row>
    <row r="29">
      <c r="A29" s="2">
        <f>IF($D29="","","INV-"&amp;$B29&amp;"-"&amp;$C29&amp;"-"&amp;TEXT(ROW(A25),"0000"))</f>
        <v/>
      </c>
      <c r="B29" s="2">
        <f>Setup!$B$5</f>
        <v/>
      </c>
      <c r="C29" s="2">
        <f>Setup!$B$6</f>
        <v/>
      </c>
      <c r="D29" s="2">
        <f>IFERROR(INDEX(Units_Owners!$A$5:$A$504,ROWS($A$5:A29)),"")</f>
        <v/>
      </c>
      <c r="E29" s="2">
        <f>IF($D29="","",IFERROR(INDEX(Units_Owners!$B$5:$B$504,MATCH($D29,Units_Owners!$A$5:$A$504,0)),""))</f>
        <v/>
      </c>
      <c r="F29" s="2">
        <f>IF($D29="","",IFERROR(INDEX(Units_Owners!$C$5:$C$504,MATCH($D29,Units_Owners!$A$5:$A$504,0)),""))</f>
        <v/>
      </c>
      <c r="G29" s="2">
        <f>IF($D29="","",IFERROR(INDEX(Units_Owners!$D$5:$D$504,MATCH($D29,Units_Owners!$A$5:$A$504,0)),""))</f>
        <v/>
      </c>
      <c r="H29" s="12">
        <f>Setup!$B$7</f>
        <v/>
      </c>
      <c r="I29" s="12">
        <f>Setup!$B$8</f>
        <v/>
      </c>
      <c r="J29" s="13">
        <f>IF($D29="","",IFERROR(INDEX(Units_Owners!$J$5:$J$504,MATCH($D29,Units_Owners!$A$5:$A$504,0)),0)+SUMIFS(Ledger!$F:$F,Ledger!$B:$B,$D29,Ledger!$D:$D,"&lt;"&amp;$H29)-SUMIFS(Ledger!$G:$G,Ledger!$B:$B,$D29,Ledger!$D:$D,"&lt;"&amp;$H29))</f>
        <v/>
      </c>
      <c r="K29" s="13">
        <f>IF($D29="","",IFERROR(INDEX(Units_Owners!$H$5:$H$504,MATCH($D29,Units_Owners!$A$5:$A$504,0)),Setup!$B$10))</f>
        <v/>
      </c>
      <c r="L29" s="13">
        <f>IF($D29="","",Setup!$B$11)</f>
        <v/>
      </c>
      <c r="M29" s="13">
        <f>IF($D29="","",IF(AND(TODAY()&gt;=Setup!$B$9,$P29&gt;0),Setup!$B$12,0))</f>
        <v/>
      </c>
      <c r="N29" s="13">
        <f>IF($D29="","",SUM($J29:$M29))</f>
        <v/>
      </c>
      <c r="O29" s="13">
        <f>IF($A29="","",SUMIFS(Payments!$F:$F,Payments!$D:$D,$A29))</f>
        <v/>
      </c>
      <c r="P29" s="13">
        <f>IF($D29="","",MAX(0,$N29-$O29))</f>
        <v/>
      </c>
      <c r="Q29" s="2">
        <f>IF($D29="","",IF(IFERROR(INDEX(Units_Owners!$I$5:$I$504,MATCH($D29,Units_Owners!$A$5:$A$504,0)),"No")&lt;&gt;"Yes","Skip - Inactive",IF($P29=0,"Paid",IF(TODAY()&gt;$I29,"Past Due","Open"))))</f>
        <v/>
      </c>
      <c r="R29" s="12" t="n"/>
      <c r="S29" s="2" t="n"/>
    </row>
    <row r="30">
      <c r="A30" s="2">
        <f>IF($D30="","","INV-"&amp;$B30&amp;"-"&amp;$C30&amp;"-"&amp;TEXT(ROW(A26),"0000"))</f>
        <v/>
      </c>
      <c r="B30" s="2">
        <f>Setup!$B$5</f>
        <v/>
      </c>
      <c r="C30" s="2">
        <f>Setup!$B$6</f>
        <v/>
      </c>
      <c r="D30" s="2">
        <f>IFERROR(INDEX(Units_Owners!$A$5:$A$504,ROWS($A$5:A30)),"")</f>
        <v/>
      </c>
      <c r="E30" s="2">
        <f>IF($D30="","",IFERROR(INDEX(Units_Owners!$B$5:$B$504,MATCH($D30,Units_Owners!$A$5:$A$504,0)),""))</f>
        <v/>
      </c>
      <c r="F30" s="2">
        <f>IF($D30="","",IFERROR(INDEX(Units_Owners!$C$5:$C$504,MATCH($D30,Units_Owners!$A$5:$A$504,0)),""))</f>
        <v/>
      </c>
      <c r="G30" s="2">
        <f>IF($D30="","",IFERROR(INDEX(Units_Owners!$D$5:$D$504,MATCH($D30,Units_Owners!$A$5:$A$504,0)),""))</f>
        <v/>
      </c>
      <c r="H30" s="12">
        <f>Setup!$B$7</f>
        <v/>
      </c>
      <c r="I30" s="12">
        <f>Setup!$B$8</f>
        <v/>
      </c>
      <c r="J30" s="13">
        <f>IF($D30="","",IFERROR(INDEX(Units_Owners!$J$5:$J$504,MATCH($D30,Units_Owners!$A$5:$A$504,0)),0)+SUMIFS(Ledger!$F:$F,Ledger!$B:$B,$D30,Ledger!$D:$D,"&lt;"&amp;$H30)-SUMIFS(Ledger!$G:$G,Ledger!$B:$B,$D30,Ledger!$D:$D,"&lt;"&amp;$H30))</f>
        <v/>
      </c>
      <c r="K30" s="13">
        <f>IF($D30="","",IFERROR(INDEX(Units_Owners!$H$5:$H$504,MATCH($D30,Units_Owners!$A$5:$A$504,0)),Setup!$B$10))</f>
        <v/>
      </c>
      <c r="L30" s="13">
        <f>IF($D30="","",Setup!$B$11)</f>
        <v/>
      </c>
      <c r="M30" s="13">
        <f>IF($D30="","",IF(AND(TODAY()&gt;=Setup!$B$9,$P30&gt;0),Setup!$B$12,0))</f>
        <v/>
      </c>
      <c r="N30" s="13">
        <f>IF($D30="","",SUM($J30:$M30))</f>
        <v/>
      </c>
      <c r="O30" s="13">
        <f>IF($A30="","",SUMIFS(Payments!$F:$F,Payments!$D:$D,$A30))</f>
        <v/>
      </c>
      <c r="P30" s="13">
        <f>IF($D30="","",MAX(0,$N30-$O30))</f>
        <v/>
      </c>
      <c r="Q30" s="2">
        <f>IF($D30="","",IF(IFERROR(INDEX(Units_Owners!$I$5:$I$504,MATCH($D30,Units_Owners!$A$5:$A$504,0)),"No")&lt;&gt;"Yes","Skip - Inactive",IF($P30=0,"Paid",IF(TODAY()&gt;$I30,"Past Due","Open"))))</f>
        <v/>
      </c>
      <c r="R30" s="14" t="n"/>
      <c r="S30" s="6" t="n"/>
    </row>
    <row r="31">
      <c r="A31" s="2">
        <f>IF($D31="","","INV-"&amp;$B31&amp;"-"&amp;$C31&amp;"-"&amp;TEXT(ROW(A27),"0000"))</f>
        <v/>
      </c>
      <c r="B31" s="2">
        <f>Setup!$B$5</f>
        <v/>
      </c>
      <c r="C31" s="2">
        <f>Setup!$B$6</f>
        <v/>
      </c>
      <c r="D31" s="2">
        <f>IFERROR(INDEX(Units_Owners!$A$5:$A$504,ROWS($A$5:A31)),"")</f>
        <v/>
      </c>
      <c r="E31" s="2">
        <f>IF($D31="","",IFERROR(INDEX(Units_Owners!$B$5:$B$504,MATCH($D31,Units_Owners!$A$5:$A$504,0)),""))</f>
        <v/>
      </c>
      <c r="F31" s="2">
        <f>IF($D31="","",IFERROR(INDEX(Units_Owners!$C$5:$C$504,MATCH($D31,Units_Owners!$A$5:$A$504,0)),""))</f>
        <v/>
      </c>
      <c r="G31" s="2">
        <f>IF($D31="","",IFERROR(INDEX(Units_Owners!$D$5:$D$504,MATCH($D31,Units_Owners!$A$5:$A$504,0)),""))</f>
        <v/>
      </c>
      <c r="H31" s="12">
        <f>Setup!$B$7</f>
        <v/>
      </c>
      <c r="I31" s="12">
        <f>Setup!$B$8</f>
        <v/>
      </c>
      <c r="J31" s="13">
        <f>IF($D31="","",IFERROR(INDEX(Units_Owners!$J$5:$J$504,MATCH($D31,Units_Owners!$A$5:$A$504,0)),0)+SUMIFS(Ledger!$F:$F,Ledger!$B:$B,$D31,Ledger!$D:$D,"&lt;"&amp;$H31)-SUMIFS(Ledger!$G:$G,Ledger!$B:$B,$D31,Ledger!$D:$D,"&lt;"&amp;$H31))</f>
        <v/>
      </c>
      <c r="K31" s="13">
        <f>IF($D31="","",IFERROR(INDEX(Units_Owners!$H$5:$H$504,MATCH($D31,Units_Owners!$A$5:$A$504,0)),Setup!$B$10))</f>
        <v/>
      </c>
      <c r="L31" s="13">
        <f>IF($D31="","",Setup!$B$11)</f>
        <v/>
      </c>
      <c r="M31" s="13">
        <f>IF($D31="","",IF(AND(TODAY()&gt;=Setup!$B$9,$P31&gt;0),Setup!$B$12,0))</f>
        <v/>
      </c>
      <c r="N31" s="13">
        <f>IF($D31="","",SUM($J31:$M31))</f>
        <v/>
      </c>
      <c r="O31" s="13">
        <f>IF($A31="","",SUMIFS(Payments!$F:$F,Payments!$D:$D,$A31))</f>
        <v/>
      </c>
      <c r="P31" s="13">
        <f>IF($D31="","",MAX(0,$N31-$O31))</f>
        <v/>
      </c>
      <c r="Q31" s="2">
        <f>IF($D31="","",IF(IFERROR(INDEX(Units_Owners!$I$5:$I$504,MATCH($D31,Units_Owners!$A$5:$A$504,0)),"No")&lt;&gt;"Yes","Skip - Inactive",IF($P31=0,"Paid",IF(TODAY()&gt;$I31,"Past Due","Open"))))</f>
        <v/>
      </c>
      <c r="R31" s="12" t="n"/>
      <c r="S31" s="2" t="n"/>
    </row>
    <row r="32">
      <c r="A32" s="2">
        <f>IF($D32="","","INV-"&amp;$B32&amp;"-"&amp;$C32&amp;"-"&amp;TEXT(ROW(A28),"0000"))</f>
        <v/>
      </c>
      <c r="B32" s="2">
        <f>Setup!$B$5</f>
        <v/>
      </c>
      <c r="C32" s="2">
        <f>Setup!$B$6</f>
        <v/>
      </c>
      <c r="D32" s="2">
        <f>IFERROR(INDEX(Units_Owners!$A$5:$A$504,ROWS($A$5:A32)),"")</f>
        <v/>
      </c>
      <c r="E32" s="2">
        <f>IF($D32="","",IFERROR(INDEX(Units_Owners!$B$5:$B$504,MATCH($D32,Units_Owners!$A$5:$A$504,0)),""))</f>
        <v/>
      </c>
      <c r="F32" s="2">
        <f>IF($D32="","",IFERROR(INDEX(Units_Owners!$C$5:$C$504,MATCH($D32,Units_Owners!$A$5:$A$504,0)),""))</f>
        <v/>
      </c>
      <c r="G32" s="2">
        <f>IF($D32="","",IFERROR(INDEX(Units_Owners!$D$5:$D$504,MATCH($D32,Units_Owners!$A$5:$A$504,0)),""))</f>
        <v/>
      </c>
      <c r="H32" s="12">
        <f>Setup!$B$7</f>
        <v/>
      </c>
      <c r="I32" s="12">
        <f>Setup!$B$8</f>
        <v/>
      </c>
      <c r="J32" s="13">
        <f>IF($D32="","",IFERROR(INDEX(Units_Owners!$J$5:$J$504,MATCH($D32,Units_Owners!$A$5:$A$504,0)),0)+SUMIFS(Ledger!$F:$F,Ledger!$B:$B,$D32,Ledger!$D:$D,"&lt;"&amp;$H32)-SUMIFS(Ledger!$G:$G,Ledger!$B:$B,$D32,Ledger!$D:$D,"&lt;"&amp;$H32))</f>
        <v/>
      </c>
      <c r="K32" s="13">
        <f>IF($D32="","",IFERROR(INDEX(Units_Owners!$H$5:$H$504,MATCH($D32,Units_Owners!$A$5:$A$504,0)),Setup!$B$10))</f>
        <v/>
      </c>
      <c r="L32" s="13">
        <f>IF($D32="","",Setup!$B$11)</f>
        <v/>
      </c>
      <c r="M32" s="13">
        <f>IF($D32="","",IF(AND(TODAY()&gt;=Setup!$B$9,$P32&gt;0),Setup!$B$12,0))</f>
        <v/>
      </c>
      <c r="N32" s="13">
        <f>IF($D32="","",SUM($J32:$M32))</f>
        <v/>
      </c>
      <c r="O32" s="13">
        <f>IF($A32="","",SUMIFS(Payments!$F:$F,Payments!$D:$D,$A32))</f>
        <v/>
      </c>
      <c r="P32" s="13">
        <f>IF($D32="","",MAX(0,$N32-$O32))</f>
        <v/>
      </c>
      <c r="Q32" s="2">
        <f>IF($D32="","",IF(IFERROR(INDEX(Units_Owners!$I$5:$I$504,MATCH($D32,Units_Owners!$A$5:$A$504,0)),"No")&lt;&gt;"Yes","Skip - Inactive",IF($P32=0,"Paid",IF(TODAY()&gt;$I32,"Past Due","Open"))))</f>
        <v/>
      </c>
      <c r="R32" s="14" t="n"/>
      <c r="S32" s="6" t="n"/>
    </row>
    <row r="33">
      <c r="A33" s="2">
        <f>IF($D33="","","INV-"&amp;$B33&amp;"-"&amp;$C33&amp;"-"&amp;TEXT(ROW(A29),"0000"))</f>
        <v/>
      </c>
      <c r="B33" s="2">
        <f>Setup!$B$5</f>
        <v/>
      </c>
      <c r="C33" s="2">
        <f>Setup!$B$6</f>
        <v/>
      </c>
      <c r="D33" s="2">
        <f>IFERROR(INDEX(Units_Owners!$A$5:$A$504,ROWS($A$5:A33)),"")</f>
        <v/>
      </c>
      <c r="E33" s="2">
        <f>IF($D33="","",IFERROR(INDEX(Units_Owners!$B$5:$B$504,MATCH($D33,Units_Owners!$A$5:$A$504,0)),""))</f>
        <v/>
      </c>
      <c r="F33" s="2">
        <f>IF($D33="","",IFERROR(INDEX(Units_Owners!$C$5:$C$504,MATCH($D33,Units_Owners!$A$5:$A$504,0)),""))</f>
        <v/>
      </c>
      <c r="G33" s="2">
        <f>IF($D33="","",IFERROR(INDEX(Units_Owners!$D$5:$D$504,MATCH($D33,Units_Owners!$A$5:$A$504,0)),""))</f>
        <v/>
      </c>
      <c r="H33" s="12">
        <f>Setup!$B$7</f>
        <v/>
      </c>
      <c r="I33" s="12">
        <f>Setup!$B$8</f>
        <v/>
      </c>
      <c r="J33" s="13">
        <f>IF($D33="","",IFERROR(INDEX(Units_Owners!$J$5:$J$504,MATCH($D33,Units_Owners!$A$5:$A$504,0)),0)+SUMIFS(Ledger!$F:$F,Ledger!$B:$B,$D33,Ledger!$D:$D,"&lt;"&amp;$H33)-SUMIFS(Ledger!$G:$G,Ledger!$B:$B,$D33,Ledger!$D:$D,"&lt;"&amp;$H33))</f>
        <v/>
      </c>
      <c r="K33" s="13">
        <f>IF($D33="","",IFERROR(INDEX(Units_Owners!$H$5:$H$504,MATCH($D33,Units_Owners!$A$5:$A$504,0)),Setup!$B$10))</f>
        <v/>
      </c>
      <c r="L33" s="13">
        <f>IF($D33="","",Setup!$B$11)</f>
        <v/>
      </c>
      <c r="M33" s="13">
        <f>IF($D33="","",IF(AND(TODAY()&gt;=Setup!$B$9,$P33&gt;0),Setup!$B$12,0))</f>
        <v/>
      </c>
      <c r="N33" s="13">
        <f>IF($D33="","",SUM($J33:$M33))</f>
        <v/>
      </c>
      <c r="O33" s="13">
        <f>IF($A33="","",SUMIFS(Payments!$F:$F,Payments!$D:$D,$A33))</f>
        <v/>
      </c>
      <c r="P33" s="13">
        <f>IF($D33="","",MAX(0,$N33-$O33))</f>
        <v/>
      </c>
      <c r="Q33" s="2">
        <f>IF($D33="","",IF(IFERROR(INDEX(Units_Owners!$I$5:$I$504,MATCH($D33,Units_Owners!$A$5:$A$504,0)),"No")&lt;&gt;"Yes","Skip - Inactive",IF($P33=0,"Paid",IF(TODAY()&gt;$I33,"Past Due","Open"))))</f>
        <v/>
      </c>
      <c r="R33" s="12" t="n"/>
      <c r="S33" s="2" t="n"/>
    </row>
    <row r="34">
      <c r="A34" s="2">
        <f>IF($D34="","","INV-"&amp;$B34&amp;"-"&amp;$C34&amp;"-"&amp;TEXT(ROW(A30),"0000"))</f>
        <v/>
      </c>
      <c r="B34" s="2">
        <f>Setup!$B$5</f>
        <v/>
      </c>
      <c r="C34" s="2">
        <f>Setup!$B$6</f>
        <v/>
      </c>
      <c r="D34" s="2">
        <f>IFERROR(INDEX(Units_Owners!$A$5:$A$504,ROWS($A$5:A34)),"")</f>
        <v/>
      </c>
      <c r="E34" s="2">
        <f>IF($D34="","",IFERROR(INDEX(Units_Owners!$B$5:$B$504,MATCH($D34,Units_Owners!$A$5:$A$504,0)),""))</f>
        <v/>
      </c>
      <c r="F34" s="2">
        <f>IF($D34="","",IFERROR(INDEX(Units_Owners!$C$5:$C$504,MATCH($D34,Units_Owners!$A$5:$A$504,0)),""))</f>
        <v/>
      </c>
      <c r="G34" s="2">
        <f>IF($D34="","",IFERROR(INDEX(Units_Owners!$D$5:$D$504,MATCH($D34,Units_Owners!$A$5:$A$504,0)),""))</f>
        <v/>
      </c>
      <c r="H34" s="12">
        <f>Setup!$B$7</f>
        <v/>
      </c>
      <c r="I34" s="12">
        <f>Setup!$B$8</f>
        <v/>
      </c>
      <c r="J34" s="13">
        <f>IF($D34="","",IFERROR(INDEX(Units_Owners!$J$5:$J$504,MATCH($D34,Units_Owners!$A$5:$A$504,0)),0)+SUMIFS(Ledger!$F:$F,Ledger!$B:$B,$D34,Ledger!$D:$D,"&lt;"&amp;$H34)-SUMIFS(Ledger!$G:$G,Ledger!$B:$B,$D34,Ledger!$D:$D,"&lt;"&amp;$H34))</f>
        <v/>
      </c>
      <c r="K34" s="13">
        <f>IF($D34="","",IFERROR(INDEX(Units_Owners!$H$5:$H$504,MATCH($D34,Units_Owners!$A$5:$A$504,0)),Setup!$B$10))</f>
        <v/>
      </c>
      <c r="L34" s="13">
        <f>IF($D34="","",Setup!$B$11)</f>
        <v/>
      </c>
      <c r="M34" s="13">
        <f>IF($D34="","",IF(AND(TODAY()&gt;=Setup!$B$9,$P34&gt;0),Setup!$B$12,0))</f>
        <v/>
      </c>
      <c r="N34" s="13">
        <f>IF($D34="","",SUM($J34:$M34))</f>
        <v/>
      </c>
      <c r="O34" s="13">
        <f>IF($A34="","",SUMIFS(Payments!$F:$F,Payments!$D:$D,$A34))</f>
        <v/>
      </c>
      <c r="P34" s="13">
        <f>IF($D34="","",MAX(0,$N34-$O34))</f>
        <v/>
      </c>
      <c r="Q34" s="2">
        <f>IF($D34="","",IF(IFERROR(INDEX(Units_Owners!$I$5:$I$504,MATCH($D34,Units_Owners!$A$5:$A$504,0)),"No")&lt;&gt;"Yes","Skip - Inactive",IF($P34=0,"Paid",IF(TODAY()&gt;$I34,"Past Due","Open"))))</f>
        <v/>
      </c>
      <c r="R34" s="14" t="n"/>
      <c r="S34" s="6" t="n"/>
    </row>
    <row r="35">
      <c r="A35" s="2">
        <f>IF($D35="","","INV-"&amp;$B35&amp;"-"&amp;$C35&amp;"-"&amp;TEXT(ROW(A31),"0000"))</f>
        <v/>
      </c>
      <c r="B35" s="2">
        <f>Setup!$B$5</f>
        <v/>
      </c>
      <c r="C35" s="2">
        <f>Setup!$B$6</f>
        <v/>
      </c>
      <c r="D35" s="2">
        <f>IFERROR(INDEX(Units_Owners!$A$5:$A$504,ROWS($A$5:A35)),"")</f>
        <v/>
      </c>
      <c r="E35" s="2">
        <f>IF($D35="","",IFERROR(INDEX(Units_Owners!$B$5:$B$504,MATCH($D35,Units_Owners!$A$5:$A$504,0)),""))</f>
        <v/>
      </c>
      <c r="F35" s="2">
        <f>IF($D35="","",IFERROR(INDEX(Units_Owners!$C$5:$C$504,MATCH($D35,Units_Owners!$A$5:$A$504,0)),""))</f>
        <v/>
      </c>
      <c r="G35" s="2">
        <f>IF($D35="","",IFERROR(INDEX(Units_Owners!$D$5:$D$504,MATCH($D35,Units_Owners!$A$5:$A$504,0)),""))</f>
        <v/>
      </c>
      <c r="H35" s="12">
        <f>Setup!$B$7</f>
        <v/>
      </c>
      <c r="I35" s="12">
        <f>Setup!$B$8</f>
        <v/>
      </c>
      <c r="J35" s="13">
        <f>IF($D35="","",IFERROR(INDEX(Units_Owners!$J$5:$J$504,MATCH($D35,Units_Owners!$A$5:$A$504,0)),0)+SUMIFS(Ledger!$F:$F,Ledger!$B:$B,$D35,Ledger!$D:$D,"&lt;"&amp;$H35)-SUMIFS(Ledger!$G:$G,Ledger!$B:$B,$D35,Ledger!$D:$D,"&lt;"&amp;$H35))</f>
        <v/>
      </c>
      <c r="K35" s="13">
        <f>IF($D35="","",IFERROR(INDEX(Units_Owners!$H$5:$H$504,MATCH($D35,Units_Owners!$A$5:$A$504,0)),Setup!$B$10))</f>
        <v/>
      </c>
      <c r="L35" s="13">
        <f>IF($D35="","",Setup!$B$11)</f>
        <v/>
      </c>
      <c r="M35" s="13">
        <f>IF($D35="","",IF(AND(TODAY()&gt;=Setup!$B$9,$P35&gt;0),Setup!$B$12,0))</f>
        <v/>
      </c>
      <c r="N35" s="13">
        <f>IF($D35="","",SUM($J35:$M35))</f>
        <v/>
      </c>
      <c r="O35" s="13">
        <f>IF($A35="","",SUMIFS(Payments!$F:$F,Payments!$D:$D,$A35))</f>
        <v/>
      </c>
      <c r="P35" s="13">
        <f>IF($D35="","",MAX(0,$N35-$O35))</f>
        <v/>
      </c>
      <c r="Q35" s="2">
        <f>IF($D35="","",IF(IFERROR(INDEX(Units_Owners!$I$5:$I$504,MATCH($D35,Units_Owners!$A$5:$A$504,0)),"No")&lt;&gt;"Yes","Skip - Inactive",IF($P35=0,"Paid",IF(TODAY()&gt;$I35,"Past Due","Open"))))</f>
        <v/>
      </c>
      <c r="R35" s="12" t="n"/>
      <c r="S35" s="2" t="n"/>
    </row>
    <row r="36">
      <c r="A36" s="2">
        <f>IF($D36="","","INV-"&amp;$B36&amp;"-"&amp;$C36&amp;"-"&amp;TEXT(ROW(A32),"0000"))</f>
        <v/>
      </c>
      <c r="B36" s="2">
        <f>Setup!$B$5</f>
        <v/>
      </c>
      <c r="C36" s="2">
        <f>Setup!$B$6</f>
        <v/>
      </c>
      <c r="D36" s="2">
        <f>IFERROR(INDEX(Units_Owners!$A$5:$A$504,ROWS($A$5:A36)),"")</f>
        <v/>
      </c>
      <c r="E36" s="2">
        <f>IF($D36="","",IFERROR(INDEX(Units_Owners!$B$5:$B$504,MATCH($D36,Units_Owners!$A$5:$A$504,0)),""))</f>
        <v/>
      </c>
      <c r="F36" s="2">
        <f>IF($D36="","",IFERROR(INDEX(Units_Owners!$C$5:$C$504,MATCH($D36,Units_Owners!$A$5:$A$504,0)),""))</f>
        <v/>
      </c>
      <c r="G36" s="2">
        <f>IF($D36="","",IFERROR(INDEX(Units_Owners!$D$5:$D$504,MATCH($D36,Units_Owners!$A$5:$A$504,0)),""))</f>
        <v/>
      </c>
      <c r="H36" s="12">
        <f>Setup!$B$7</f>
        <v/>
      </c>
      <c r="I36" s="12">
        <f>Setup!$B$8</f>
        <v/>
      </c>
      <c r="J36" s="13">
        <f>IF($D36="","",IFERROR(INDEX(Units_Owners!$J$5:$J$504,MATCH($D36,Units_Owners!$A$5:$A$504,0)),0)+SUMIFS(Ledger!$F:$F,Ledger!$B:$B,$D36,Ledger!$D:$D,"&lt;"&amp;$H36)-SUMIFS(Ledger!$G:$G,Ledger!$B:$B,$D36,Ledger!$D:$D,"&lt;"&amp;$H36))</f>
        <v/>
      </c>
      <c r="K36" s="13">
        <f>IF($D36="","",IFERROR(INDEX(Units_Owners!$H$5:$H$504,MATCH($D36,Units_Owners!$A$5:$A$504,0)),Setup!$B$10))</f>
        <v/>
      </c>
      <c r="L36" s="13">
        <f>IF($D36="","",Setup!$B$11)</f>
        <v/>
      </c>
      <c r="M36" s="13">
        <f>IF($D36="","",IF(AND(TODAY()&gt;=Setup!$B$9,$P36&gt;0),Setup!$B$12,0))</f>
        <v/>
      </c>
      <c r="N36" s="13">
        <f>IF($D36="","",SUM($J36:$M36))</f>
        <v/>
      </c>
      <c r="O36" s="13">
        <f>IF($A36="","",SUMIFS(Payments!$F:$F,Payments!$D:$D,$A36))</f>
        <v/>
      </c>
      <c r="P36" s="13">
        <f>IF($D36="","",MAX(0,$N36-$O36))</f>
        <v/>
      </c>
      <c r="Q36" s="2">
        <f>IF($D36="","",IF(IFERROR(INDEX(Units_Owners!$I$5:$I$504,MATCH($D36,Units_Owners!$A$5:$A$504,0)),"No")&lt;&gt;"Yes","Skip - Inactive",IF($P36=0,"Paid",IF(TODAY()&gt;$I36,"Past Due","Open"))))</f>
        <v/>
      </c>
      <c r="R36" s="14" t="n"/>
      <c r="S36" s="6" t="n"/>
    </row>
    <row r="37">
      <c r="A37" s="2">
        <f>IF($D37="","","INV-"&amp;$B37&amp;"-"&amp;$C37&amp;"-"&amp;TEXT(ROW(A33),"0000"))</f>
        <v/>
      </c>
      <c r="B37" s="2">
        <f>Setup!$B$5</f>
        <v/>
      </c>
      <c r="C37" s="2">
        <f>Setup!$B$6</f>
        <v/>
      </c>
      <c r="D37" s="2">
        <f>IFERROR(INDEX(Units_Owners!$A$5:$A$504,ROWS($A$5:A37)),"")</f>
        <v/>
      </c>
      <c r="E37" s="2">
        <f>IF($D37="","",IFERROR(INDEX(Units_Owners!$B$5:$B$504,MATCH($D37,Units_Owners!$A$5:$A$504,0)),""))</f>
        <v/>
      </c>
      <c r="F37" s="2">
        <f>IF($D37="","",IFERROR(INDEX(Units_Owners!$C$5:$C$504,MATCH($D37,Units_Owners!$A$5:$A$504,0)),""))</f>
        <v/>
      </c>
      <c r="G37" s="2">
        <f>IF($D37="","",IFERROR(INDEX(Units_Owners!$D$5:$D$504,MATCH($D37,Units_Owners!$A$5:$A$504,0)),""))</f>
        <v/>
      </c>
      <c r="H37" s="12">
        <f>Setup!$B$7</f>
        <v/>
      </c>
      <c r="I37" s="12">
        <f>Setup!$B$8</f>
        <v/>
      </c>
      <c r="J37" s="13">
        <f>IF($D37="","",IFERROR(INDEX(Units_Owners!$J$5:$J$504,MATCH($D37,Units_Owners!$A$5:$A$504,0)),0)+SUMIFS(Ledger!$F:$F,Ledger!$B:$B,$D37,Ledger!$D:$D,"&lt;"&amp;$H37)-SUMIFS(Ledger!$G:$G,Ledger!$B:$B,$D37,Ledger!$D:$D,"&lt;"&amp;$H37))</f>
        <v/>
      </c>
      <c r="K37" s="13">
        <f>IF($D37="","",IFERROR(INDEX(Units_Owners!$H$5:$H$504,MATCH($D37,Units_Owners!$A$5:$A$504,0)),Setup!$B$10))</f>
        <v/>
      </c>
      <c r="L37" s="13">
        <f>IF($D37="","",Setup!$B$11)</f>
        <v/>
      </c>
      <c r="M37" s="13">
        <f>IF($D37="","",IF(AND(TODAY()&gt;=Setup!$B$9,$P37&gt;0),Setup!$B$12,0))</f>
        <v/>
      </c>
      <c r="N37" s="13">
        <f>IF($D37="","",SUM($J37:$M37))</f>
        <v/>
      </c>
      <c r="O37" s="13">
        <f>IF($A37="","",SUMIFS(Payments!$F:$F,Payments!$D:$D,$A37))</f>
        <v/>
      </c>
      <c r="P37" s="13">
        <f>IF($D37="","",MAX(0,$N37-$O37))</f>
        <v/>
      </c>
      <c r="Q37" s="2">
        <f>IF($D37="","",IF(IFERROR(INDEX(Units_Owners!$I$5:$I$504,MATCH($D37,Units_Owners!$A$5:$A$504,0)),"No")&lt;&gt;"Yes","Skip - Inactive",IF($P37=0,"Paid",IF(TODAY()&gt;$I37,"Past Due","Open"))))</f>
        <v/>
      </c>
      <c r="R37" s="12" t="n"/>
      <c r="S37" s="2" t="n"/>
    </row>
    <row r="38">
      <c r="A38" s="2">
        <f>IF($D38="","","INV-"&amp;$B38&amp;"-"&amp;$C38&amp;"-"&amp;TEXT(ROW(A34),"0000"))</f>
        <v/>
      </c>
      <c r="B38" s="2">
        <f>Setup!$B$5</f>
        <v/>
      </c>
      <c r="C38" s="2">
        <f>Setup!$B$6</f>
        <v/>
      </c>
      <c r="D38" s="2">
        <f>IFERROR(INDEX(Units_Owners!$A$5:$A$504,ROWS($A$5:A38)),"")</f>
        <v/>
      </c>
      <c r="E38" s="2">
        <f>IF($D38="","",IFERROR(INDEX(Units_Owners!$B$5:$B$504,MATCH($D38,Units_Owners!$A$5:$A$504,0)),""))</f>
        <v/>
      </c>
      <c r="F38" s="2">
        <f>IF($D38="","",IFERROR(INDEX(Units_Owners!$C$5:$C$504,MATCH($D38,Units_Owners!$A$5:$A$504,0)),""))</f>
        <v/>
      </c>
      <c r="G38" s="2">
        <f>IF($D38="","",IFERROR(INDEX(Units_Owners!$D$5:$D$504,MATCH($D38,Units_Owners!$A$5:$A$504,0)),""))</f>
        <v/>
      </c>
      <c r="H38" s="12">
        <f>Setup!$B$7</f>
        <v/>
      </c>
      <c r="I38" s="12">
        <f>Setup!$B$8</f>
        <v/>
      </c>
      <c r="J38" s="13">
        <f>IF($D38="","",IFERROR(INDEX(Units_Owners!$J$5:$J$504,MATCH($D38,Units_Owners!$A$5:$A$504,0)),0)+SUMIFS(Ledger!$F:$F,Ledger!$B:$B,$D38,Ledger!$D:$D,"&lt;"&amp;$H38)-SUMIFS(Ledger!$G:$G,Ledger!$B:$B,$D38,Ledger!$D:$D,"&lt;"&amp;$H38))</f>
        <v/>
      </c>
      <c r="K38" s="13">
        <f>IF($D38="","",IFERROR(INDEX(Units_Owners!$H$5:$H$504,MATCH($D38,Units_Owners!$A$5:$A$504,0)),Setup!$B$10))</f>
        <v/>
      </c>
      <c r="L38" s="13">
        <f>IF($D38="","",Setup!$B$11)</f>
        <v/>
      </c>
      <c r="M38" s="13">
        <f>IF($D38="","",IF(AND(TODAY()&gt;=Setup!$B$9,$P38&gt;0),Setup!$B$12,0))</f>
        <v/>
      </c>
      <c r="N38" s="13">
        <f>IF($D38="","",SUM($J38:$M38))</f>
        <v/>
      </c>
      <c r="O38" s="13">
        <f>IF($A38="","",SUMIFS(Payments!$F:$F,Payments!$D:$D,$A38))</f>
        <v/>
      </c>
      <c r="P38" s="13">
        <f>IF($D38="","",MAX(0,$N38-$O38))</f>
        <v/>
      </c>
      <c r="Q38" s="2">
        <f>IF($D38="","",IF(IFERROR(INDEX(Units_Owners!$I$5:$I$504,MATCH($D38,Units_Owners!$A$5:$A$504,0)),"No")&lt;&gt;"Yes","Skip - Inactive",IF($P38=0,"Paid",IF(TODAY()&gt;$I38,"Past Due","Open"))))</f>
        <v/>
      </c>
      <c r="R38" s="14" t="n"/>
      <c r="S38" s="6" t="n"/>
    </row>
    <row r="39">
      <c r="A39" s="2">
        <f>IF($D39="","","INV-"&amp;$B39&amp;"-"&amp;$C39&amp;"-"&amp;TEXT(ROW(A35),"0000"))</f>
        <v/>
      </c>
      <c r="B39" s="2">
        <f>Setup!$B$5</f>
        <v/>
      </c>
      <c r="C39" s="2">
        <f>Setup!$B$6</f>
        <v/>
      </c>
      <c r="D39" s="2">
        <f>IFERROR(INDEX(Units_Owners!$A$5:$A$504,ROWS($A$5:A39)),"")</f>
        <v/>
      </c>
      <c r="E39" s="2">
        <f>IF($D39="","",IFERROR(INDEX(Units_Owners!$B$5:$B$504,MATCH($D39,Units_Owners!$A$5:$A$504,0)),""))</f>
        <v/>
      </c>
      <c r="F39" s="2">
        <f>IF($D39="","",IFERROR(INDEX(Units_Owners!$C$5:$C$504,MATCH($D39,Units_Owners!$A$5:$A$504,0)),""))</f>
        <v/>
      </c>
      <c r="G39" s="2">
        <f>IF($D39="","",IFERROR(INDEX(Units_Owners!$D$5:$D$504,MATCH($D39,Units_Owners!$A$5:$A$504,0)),""))</f>
        <v/>
      </c>
      <c r="H39" s="12">
        <f>Setup!$B$7</f>
        <v/>
      </c>
      <c r="I39" s="12">
        <f>Setup!$B$8</f>
        <v/>
      </c>
      <c r="J39" s="13">
        <f>IF($D39="","",IFERROR(INDEX(Units_Owners!$J$5:$J$504,MATCH($D39,Units_Owners!$A$5:$A$504,0)),0)+SUMIFS(Ledger!$F:$F,Ledger!$B:$B,$D39,Ledger!$D:$D,"&lt;"&amp;$H39)-SUMIFS(Ledger!$G:$G,Ledger!$B:$B,$D39,Ledger!$D:$D,"&lt;"&amp;$H39))</f>
        <v/>
      </c>
      <c r="K39" s="13">
        <f>IF($D39="","",IFERROR(INDEX(Units_Owners!$H$5:$H$504,MATCH($D39,Units_Owners!$A$5:$A$504,0)),Setup!$B$10))</f>
        <v/>
      </c>
      <c r="L39" s="13">
        <f>IF($D39="","",Setup!$B$11)</f>
        <v/>
      </c>
      <c r="M39" s="13">
        <f>IF($D39="","",IF(AND(TODAY()&gt;=Setup!$B$9,$P39&gt;0),Setup!$B$12,0))</f>
        <v/>
      </c>
      <c r="N39" s="13">
        <f>IF($D39="","",SUM($J39:$M39))</f>
        <v/>
      </c>
      <c r="O39" s="13">
        <f>IF($A39="","",SUMIFS(Payments!$F:$F,Payments!$D:$D,$A39))</f>
        <v/>
      </c>
      <c r="P39" s="13">
        <f>IF($D39="","",MAX(0,$N39-$O39))</f>
        <v/>
      </c>
      <c r="Q39" s="2">
        <f>IF($D39="","",IF(IFERROR(INDEX(Units_Owners!$I$5:$I$504,MATCH($D39,Units_Owners!$A$5:$A$504,0)),"No")&lt;&gt;"Yes","Skip - Inactive",IF($P39=0,"Paid",IF(TODAY()&gt;$I39,"Past Due","Open"))))</f>
        <v/>
      </c>
      <c r="R39" s="12" t="n"/>
      <c r="S39" s="2" t="n"/>
    </row>
    <row r="40">
      <c r="A40" s="2">
        <f>IF($D40="","","INV-"&amp;$B40&amp;"-"&amp;$C40&amp;"-"&amp;TEXT(ROW(A36),"0000"))</f>
        <v/>
      </c>
      <c r="B40" s="2">
        <f>Setup!$B$5</f>
        <v/>
      </c>
      <c r="C40" s="2">
        <f>Setup!$B$6</f>
        <v/>
      </c>
      <c r="D40" s="2">
        <f>IFERROR(INDEX(Units_Owners!$A$5:$A$504,ROWS($A$5:A40)),"")</f>
        <v/>
      </c>
      <c r="E40" s="2">
        <f>IF($D40="","",IFERROR(INDEX(Units_Owners!$B$5:$B$504,MATCH($D40,Units_Owners!$A$5:$A$504,0)),""))</f>
        <v/>
      </c>
      <c r="F40" s="2">
        <f>IF($D40="","",IFERROR(INDEX(Units_Owners!$C$5:$C$504,MATCH($D40,Units_Owners!$A$5:$A$504,0)),""))</f>
        <v/>
      </c>
      <c r="G40" s="2">
        <f>IF($D40="","",IFERROR(INDEX(Units_Owners!$D$5:$D$504,MATCH($D40,Units_Owners!$A$5:$A$504,0)),""))</f>
        <v/>
      </c>
      <c r="H40" s="12">
        <f>Setup!$B$7</f>
        <v/>
      </c>
      <c r="I40" s="12">
        <f>Setup!$B$8</f>
        <v/>
      </c>
      <c r="J40" s="13">
        <f>IF($D40="","",IFERROR(INDEX(Units_Owners!$J$5:$J$504,MATCH($D40,Units_Owners!$A$5:$A$504,0)),0)+SUMIFS(Ledger!$F:$F,Ledger!$B:$B,$D40,Ledger!$D:$D,"&lt;"&amp;$H40)-SUMIFS(Ledger!$G:$G,Ledger!$B:$B,$D40,Ledger!$D:$D,"&lt;"&amp;$H40))</f>
        <v/>
      </c>
      <c r="K40" s="13">
        <f>IF($D40="","",IFERROR(INDEX(Units_Owners!$H$5:$H$504,MATCH($D40,Units_Owners!$A$5:$A$504,0)),Setup!$B$10))</f>
        <v/>
      </c>
      <c r="L40" s="13">
        <f>IF($D40="","",Setup!$B$11)</f>
        <v/>
      </c>
      <c r="M40" s="13">
        <f>IF($D40="","",IF(AND(TODAY()&gt;=Setup!$B$9,$P40&gt;0),Setup!$B$12,0))</f>
        <v/>
      </c>
      <c r="N40" s="13">
        <f>IF($D40="","",SUM($J40:$M40))</f>
        <v/>
      </c>
      <c r="O40" s="13">
        <f>IF($A40="","",SUMIFS(Payments!$F:$F,Payments!$D:$D,$A40))</f>
        <v/>
      </c>
      <c r="P40" s="13">
        <f>IF($D40="","",MAX(0,$N40-$O40))</f>
        <v/>
      </c>
      <c r="Q40" s="2">
        <f>IF($D40="","",IF(IFERROR(INDEX(Units_Owners!$I$5:$I$504,MATCH($D40,Units_Owners!$A$5:$A$504,0)),"No")&lt;&gt;"Yes","Skip - Inactive",IF($P40=0,"Paid",IF(TODAY()&gt;$I40,"Past Due","Open"))))</f>
        <v/>
      </c>
      <c r="R40" s="14" t="n"/>
      <c r="S40" s="6" t="n"/>
    </row>
    <row r="41">
      <c r="A41" s="2">
        <f>IF($D41="","","INV-"&amp;$B41&amp;"-"&amp;$C41&amp;"-"&amp;TEXT(ROW(A37),"0000"))</f>
        <v/>
      </c>
      <c r="B41" s="2">
        <f>Setup!$B$5</f>
        <v/>
      </c>
      <c r="C41" s="2">
        <f>Setup!$B$6</f>
        <v/>
      </c>
      <c r="D41" s="2">
        <f>IFERROR(INDEX(Units_Owners!$A$5:$A$504,ROWS($A$5:A41)),"")</f>
        <v/>
      </c>
      <c r="E41" s="2">
        <f>IF($D41="","",IFERROR(INDEX(Units_Owners!$B$5:$B$504,MATCH($D41,Units_Owners!$A$5:$A$504,0)),""))</f>
        <v/>
      </c>
      <c r="F41" s="2">
        <f>IF($D41="","",IFERROR(INDEX(Units_Owners!$C$5:$C$504,MATCH($D41,Units_Owners!$A$5:$A$504,0)),""))</f>
        <v/>
      </c>
      <c r="G41" s="2">
        <f>IF($D41="","",IFERROR(INDEX(Units_Owners!$D$5:$D$504,MATCH($D41,Units_Owners!$A$5:$A$504,0)),""))</f>
        <v/>
      </c>
      <c r="H41" s="12">
        <f>Setup!$B$7</f>
        <v/>
      </c>
      <c r="I41" s="12">
        <f>Setup!$B$8</f>
        <v/>
      </c>
      <c r="J41" s="13">
        <f>IF($D41="","",IFERROR(INDEX(Units_Owners!$J$5:$J$504,MATCH($D41,Units_Owners!$A$5:$A$504,0)),0)+SUMIFS(Ledger!$F:$F,Ledger!$B:$B,$D41,Ledger!$D:$D,"&lt;"&amp;$H41)-SUMIFS(Ledger!$G:$G,Ledger!$B:$B,$D41,Ledger!$D:$D,"&lt;"&amp;$H41))</f>
        <v/>
      </c>
      <c r="K41" s="13">
        <f>IF($D41="","",IFERROR(INDEX(Units_Owners!$H$5:$H$504,MATCH($D41,Units_Owners!$A$5:$A$504,0)),Setup!$B$10))</f>
        <v/>
      </c>
      <c r="L41" s="13">
        <f>IF($D41="","",Setup!$B$11)</f>
        <v/>
      </c>
      <c r="M41" s="13">
        <f>IF($D41="","",IF(AND(TODAY()&gt;=Setup!$B$9,$P41&gt;0),Setup!$B$12,0))</f>
        <v/>
      </c>
      <c r="N41" s="13">
        <f>IF($D41="","",SUM($J41:$M41))</f>
        <v/>
      </c>
      <c r="O41" s="13">
        <f>IF($A41="","",SUMIFS(Payments!$F:$F,Payments!$D:$D,$A41))</f>
        <v/>
      </c>
      <c r="P41" s="13">
        <f>IF($D41="","",MAX(0,$N41-$O41))</f>
        <v/>
      </c>
      <c r="Q41" s="2">
        <f>IF($D41="","",IF(IFERROR(INDEX(Units_Owners!$I$5:$I$504,MATCH($D41,Units_Owners!$A$5:$A$504,0)),"No")&lt;&gt;"Yes","Skip - Inactive",IF($P41=0,"Paid",IF(TODAY()&gt;$I41,"Past Due","Open"))))</f>
        <v/>
      </c>
      <c r="R41" s="12" t="n"/>
      <c r="S41" s="2" t="n"/>
    </row>
    <row r="42">
      <c r="A42" s="2">
        <f>IF($D42="","","INV-"&amp;$B42&amp;"-"&amp;$C42&amp;"-"&amp;TEXT(ROW(A38),"0000"))</f>
        <v/>
      </c>
      <c r="B42" s="2">
        <f>Setup!$B$5</f>
        <v/>
      </c>
      <c r="C42" s="2">
        <f>Setup!$B$6</f>
        <v/>
      </c>
      <c r="D42" s="2">
        <f>IFERROR(INDEX(Units_Owners!$A$5:$A$504,ROWS($A$5:A42)),"")</f>
        <v/>
      </c>
      <c r="E42" s="2">
        <f>IF($D42="","",IFERROR(INDEX(Units_Owners!$B$5:$B$504,MATCH($D42,Units_Owners!$A$5:$A$504,0)),""))</f>
        <v/>
      </c>
      <c r="F42" s="2">
        <f>IF($D42="","",IFERROR(INDEX(Units_Owners!$C$5:$C$504,MATCH($D42,Units_Owners!$A$5:$A$504,0)),""))</f>
        <v/>
      </c>
      <c r="G42" s="2">
        <f>IF($D42="","",IFERROR(INDEX(Units_Owners!$D$5:$D$504,MATCH($D42,Units_Owners!$A$5:$A$504,0)),""))</f>
        <v/>
      </c>
      <c r="H42" s="12">
        <f>Setup!$B$7</f>
        <v/>
      </c>
      <c r="I42" s="12">
        <f>Setup!$B$8</f>
        <v/>
      </c>
      <c r="J42" s="13">
        <f>IF($D42="","",IFERROR(INDEX(Units_Owners!$J$5:$J$504,MATCH($D42,Units_Owners!$A$5:$A$504,0)),0)+SUMIFS(Ledger!$F:$F,Ledger!$B:$B,$D42,Ledger!$D:$D,"&lt;"&amp;$H42)-SUMIFS(Ledger!$G:$G,Ledger!$B:$B,$D42,Ledger!$D:$D,"&lt;"&amp;$H42))</f>
        <v/>
      </c>
      <c r="K42" s="13">
        <f>IF($D42="","",IFERROR(INDEX(Units_Owners!$H$5:$H$504,MATCH($D42,Units_Owners!$A$5:$A$504,0)),Setup!$B$10))</f>
        <v/>
      </c>
      <c r="L42" s="13">
        <f>IF($D42="","",Setup!$B$11)</f>
        <v/>
      </c>
      <c r="M42" s="13">
        <f>IF($D42="","",IF(AND(TODAY()&gt;=Setup!$B$9,$P42&gt;0),Setup!$B$12,0))</f>
        <v/>
      </c>
      <c r="N42" s="13">
        <f>IF($D42="","",SUM($J42:$M42))</f>
        <v/>
      </c>
      <c r="O42" s="13">
        <f>IF($A42="","",SUMIFS(Payments!$F:$F,Payments!$D:$D,$A42))</f>
        <v/>
      </c>
      <c r="P42" s="13">
        <f>IF($D42="","",MAX(0,$N42-$O42))</f>
        <v/>
      </c>
      <c r="Q42" s="2">
        <f>IF($D42="","",IF(IFERROR(INDEX(Units_Owners!$I$5:$I$504,MATCH($D42,Units_Owners!$A$5:$A$504,0)),"No")&lt;&gt;"Yes","Skip - Inactive",IF($P42=0,"Paid",IF(TODAY()&gt;$I42,"Past Due","Open"))))</f>
        <v/>
      </c>
      <c r="R42" s="14" t="n"/>
      <c r="S42" s="6" t="n"/>
    </row>
    <row r="43">
      <c r="A43" s="2">
        <f>IF($D43="","","INV-"&amp;$B43&amp;"-"&amp;$C43&amp;"-"&amp;TEXT(ROW(A39),"0000"))</f>
        <v/>
      </c>
      <c r="B43" s="2">
        <f>Setup!$B$5</f>
        <v/>
      </c>
      <c r="C43" s="2">
        <f>Setup!$B$6</f>
        <v/>
      </c>
      <c r="D43" s="2">
        <f>IFERROR(INDEX(Units_Owners!$A$5:$A$504,ROWS($A$5:A43)),"")</f>
        <v/>
      </c>
      <c r="E43" s="2">
        <f>IF($D43="","",IFERROR(INDEX(Units_Owners!$B$5:$B$504,MATCH($D43,Units_Owners!$A$5:$A$504,0)),""))</f>
        <v/>
      </c>
      <c r="F43" s="2">
        <f>IF($D43="","",IFERROR(INDEX(Units_Owners!$C$5:$C$504,MATCH($D43,Units_Owners!$A$5:$A$504,0)),""))</f>
        <v/>
      </c>
      <c r="G43" s="2">
        <f>IF($D43="","",IFERROR(INDEX(Units_Owners!$D$5:$D$504,MATCH($D43,Units_Owners!$A$5:$A$504,0)),""))</f>
        <v/>
      </c>
      <c r="H43" s="12">
        <f>Setup!$B$7</f>
        <v/>
      </c>
      <c r="I43" s="12">
        <f>Setup!$B$8</f>
        <v/>
      </c>
      <c r="J43" s="13">
        <f>IF($D43="","",IFERROR(INDEX(Units_Owners!$J$5:$J$504,MATCH($D43,Units_Owners!$A$5:$A$504,0)),0)+SUMIFS(Ledger!$F:$F,Ledger!$B:$B,$D43,Ledger!$D:$D,"&lt;"&amp;$H43)-SUMIFS(Ledger!$G:$G,Ledger!$B:$B,$D43,Ledger!$D:$D,"&lt;"&amp;$H43))</f>
        <v/>
      </c>
      <c r="K43" s="13">
        <f>IF($D43="","",IFERROR(INDEX(Units_Owners!$H$5:$H$504,MATCH($D43,Units_Owners!$A$5:$A$504,0)),Setup!$B$10))</f>
        <v/>
      </c>
      <c r="L43" s="13">
        <f>IF($D43="","",Setup!$B$11)</f>
        <v/>
      </c>
      <c r="M43" s="13">
        <f>IF($D43="","",IF(AND(TODAY()&gt;=Setup!$B$9,$P43&gt;0),Setup!$B$12,0))</f>
        <v/>
      </c>
      <c r="N43" s="13">
        <f>IF($D43="","",SUM($J43:$M43))</f>
        <v/>
      </c>
      <c r="O43" s="13">
        <f>IF($A43="","",SUMIFS(Payments!$F:$F,Payments!$D:$D,$A43))</f>
        <v/>
      </c>
      <c r="P43" s="13">
        <f>IF($D43="","",MAX(0,$N43-$O43))</f>
        <v/>
      </c>
      <c r="Q43" s="2">
        <f>IF($D43="","",IF(IFERROR(INDEX(Units_Owners!$I$5:$I$504,MATCH($D43,Units_Owners!$A$5:$A$504,0)),"No")&lt;&gt;"Yes","Skip - Inactive",IF($P43=0,"Paid",IF(TODAY()&gt;$I43,"Past Due","Open"))))</f>
        <v/>
      </c>
      <c r="R43" s="12" t="n"/>
      <c r="S43" s="2" t="n"/>
    </row>
    <row r="44">
      <c r="A44" s="2">
        <f>IF($D44="","","INV-"&amp;$B44&amp;"-"&amp;$C44&amp;"-"&amp;TEXT(ROW(A40),"0000"))</f>
        <v/>
      </c>
      <c r="B44" s="2">
        <f>Setup!$B$5</f>
        <v/>
      </c>
      <c r="C44" s="2">
        <f>Setup!$B$6</f>
        <v/>
      </c>
      <c r="D44" s="2">
        <f>IFERROR(INDEX(Units_Owners!$A$5:$A$504,ROWS($A$5:A44)),"")</f>
        <v/>
      </c>
      <c r="E44" s="2">
        <f>IF($D44="","",IFERROR(INDEX(Units_Owners!$B$5:$B$504,MATCH($D44,Units_Owners!$A$5:$A$504,0)),""))</f>
        <v/>
      </c>
      <c r="F44" s="2">
        <f>IF($D44="","",IFERROR(INDEX(Units_Owners!$C$5:$C$504,MATCH($D44,Units_Owners!$A$5:$A$504,0)),""))</f>
        <v/>
      </c>
      <c r="G44" s="2">
        <f>IF($D44="","",IFERROR(INDEX(Units_Owners!$D$5:$D$504,MATCH($D44,Units_Owners!$A$5:$A$504,0)),""))</f>
        <v/>
      </c>
      <c r="H44" s="12">
        <f>Setup!$B$7</f>
        <v/>
      </c>
      <c r="I44" s="12">
        <f>Setup!$B$8</f>
        <v/>
      </c>
      <c r="J44" s="13">
        <f>IF($D44="","",IFERROR(INDEX(Units_Owners!$J$5:$J$504,MATCH($D44,Units_Owners!$A$5:$A$504,0)),0)+SUMIFS(Ledger!$F:$F,Ledger!$B:$B,$D44,Ledger!$D:$D,"&lt;"&amp;$H44)-SUMIFS(Ledger!$G:$G,Ledger!$B:$B,$D44,Ledger!$D:$D,"&lt;"&amp;$H44))</f>
        <v/>
      </c>
      <c r="K44" s="13">
        <f>IF($D44="","",IFERROR(INDEX(Units_Owners!$H$5:$H$504,MATCH($D44,Units_Owners!$A$5:$A$504,0)),Setup!$B$10))</f>
        <v/>
      </c>
      <c r="L44" s="13">
        <f>IF($D44="","",Setup!$B$11)</f>
        <v/>
      </c>
      <c r="M44" s="13">
        <f>IF($D44="","",IF(AND(TODAY()&gt;=Setup!$B$9,$P44&gt;0),Setup!$B$12,0))</f>
        <v/>
      </c>
      <c r="N44" s="13">
        <f>IF($D44="","",SUM($J44:$M44))</f>
        <v/>
      </c>
      <c r="O44" s="13">
        <f>IF($A44="","",SUMIFS(Payments!$F:$F,Payments!$D:$D,$A44))</f>
        <v/>
      </c>
      <c r="P44" s="13">
        <f>IF($D44="","",MAX(0,$N44-$O44))</f>
        <v/>
      </c>
      <c r="Q44" s="2">
        <f>IF($D44="","",IF(IFERROR(INDEX(Units_Owners!$I$5:$I$504,MATCH($D44,Units_Owners!$A$5:$A$504,0)),"No")&lt;&gt;"Yes","Skip - Inactive",IF($P44=0,"Paid",IF(TODAY()&gt;$I44,"Past Due","Open"))))</f>
        <v/>
      </c>
      <c r="R44" s="14" t="n"/>
      <c r="S44" s="6" t="n"/>
    </row>
    <row r="45">
      <c r="A45" s="2">
        <f>IF($D45="","","INV-"&amp;$B45&amp;"-"&amp;$C45&amp;"-"&amp;TEXT(ROW(A41),"0000"))</f>
        <v/>
      </c>
      <c r="B45" s="2">
        <f>Setup!$B$5</f>
        <v/>
      </c>
      <c r="C45" s="2">
        <f>Setup!$B$6</f>
        <v/>
      </c>
      <c r="D45" s="2">
        <f>IFERROR(INDEX(Units_Owners!$A$5:$A$504,ROWS($A$5:A45)),"")</f>
        <v/>
      </c>
      <c r="E45" s="2">
        <f>IF($D45="","",IFERROR(INDEX(Units_Owners!$B$5:$B$504,MATCH($D45,Units_Owners!$A$5:$A$504,0)),""))</f>
        <v/>
      </c>
      <c r="F45" s="2">
        <f>IF($D45="","",IFERROR(INDEX(Units_Owners!$C$5:$C$504,MATCH($D45,Units_Owners!$A$5:$A$504,0)),""))</f>
        <v/>
      </c>
      <c r="G45" s="2">
        <f>IF($D45="","",IFERROR(INDEX(Units_Owners!$D$5:$D$504,MATCH($D45,Units_Owners!$A$5:$A$504,0)),""))</f>
        <v/>
      </c>
      <c r="H45" s="12">
        <f>Setup!$B$7</f>
        <v/>
      </c>
      <c r="I45" s="12">
        <f>Setup!$B$8</f>
        <v/>
      </c>
      <c r="J45" s="13">
        <f>IF($D45="","",IFERROR(INDEX(Units_Owners!$J$5:$J$504,MATCH($D45,Units_Owners!$A$5:$A$504,0)),0)+SUMIFS(Ledger!$F:$F,Ledger!$B:$B,$D45,Ledger!$D:$D,"&lt;"&amp;$H45)-SUMIFS(Ledger!$G:$G,Ledger!$B:$B,$D45,Ledger!$D:$D,"&lt;"&amp;$H45))</f>
        <v/>
      </c>
      <c r="K45" s="13">
        <f>IF($D45="","",IFERROR(INDEX(Units_Owners!$H$5:$H$504,MATCH($D45,Units_Owners!$A$5:$A$504,0)),Setup!$B$10))</f>
        <v/>
      </c>
      <c r="L45" s="13">
        <f>IF($D45="","",Setup!$B$11)</f>
        <v/>
      </c>
      <c r="M45" s="13">
        <f>IF($D45="","",IF(AND(TODAY()&gt;=Setup!$B$9,$P45&gt;0),Setup!$B$12,0))</f>
        <v/>
      </c>
      <c r="N45" s="13">
        <f>IF($D45="","",SUM($J45:$M45))</f>
        <v/>
      </c>
      <c r="O45" s="13">
        <f>IF($A45="","",SUMIFS(Payments!$F:$F,Payments!$D:$D,$A45))</f>
        <v/>
      </c>
      <c r="P45" s="13">
        <f>IF($D45="","",MAX(0,$N45-$O45))</f>
        <v/>
      </c>
      <c r="Q45" s="2">
        <f>IF($D45="","",IF(IFERROR(INDEX(Units_Owners!$I$5:$I$504,MATCH($D45,Units_Owners!$A$5:$A$504,0)),"No")&lt;&gt;"Yes","Skip - Inactive",IF($P45=0,"Paid",IF(TODAY()&gt;$I45,"Past Due","Open"))))</f>
        <v/>
      </c>
      <c r="R45" s="12" t="n"/>
      <c r="S45" s="2" t="n"/>
    </row>
    <row r="46">
      <c r="A46" s="2">
        <f>IF($D46="","","INV-"&amp;$B46&amp;"-"&amp;$C46&amp;"-"&amp;TEXT(ROW(A42),"0000"))</f>
        <v/>
      </c>
      <c r="B46" s="2">
        <f>Setup!$B$5</f>
        <v/>
      </c>
      <c r="C46" s="2">
        <f>Setup!$B$6</f>
        <v/>
      </c>
      <c r="D46" s="2">
        <f>IFERROR(INDEX(Units_Owners!$A$5:$A$504,ROWS($A$5:A46)),"")</f>
        <v/>
      </c>
      <c r="E46" s="2">
        <f>IF($D46="","",IFERROR(INDEX(Units_Owners!$B$5:$B$504,MATCH($D46,Units_Owners!$A$5:$A$504,0)),""))</f>
        <v/>
      </c>
      <c r="F46" s="2">
        <f>IF($D46="","",IFERROR(INDEX(Units_Owners!$C$5:$C$504,MATCH($D46,Units_Owners!$A$5:$A$504,0)),""))</f>
        <v/>
      </c>
      <c r="G46" s="2">
        <f>IF($D46="","",IFERROR(INDEX(Units_Owners!$D$5:$D$504,MATCH($D46,Units_Owners!$A$5:$A$504,0)),""))</f>
        <v/>
      </c>
      <c r="H46" s="12">
        <f>Setup!$B$7</f>
        <v/>
      </c>
      <c r="I46" s="12">
        <f>Setup!$B$8</f>
        <v/>
      </c>
      <c r="J46" s="13">
        <f>IF($D46="","",IFERROR(INDEX(Units_Owners!$J$5:$J$504,MATCH($D46,Units_Owners!$A$5:$A$504,0)),0)+SUMIFS(Ledger!$F:$F,Ledger!$B:$B,$D46,Ledger!$D:$D,"&lt;"&amp;$H46)-SUMIFS(Ledger!$G:$G,Ledger!$B:$B,$D46,Ledger!$D:$D,"&lt;"&amp;$H46))</f>
        <v/>
      </c>
      <c r="K46" s="13">
        <f>IF($D46="","",IFERROR(INDEX(Units_Owners!$H$5:$H$504,MATCH($D46,Units_Owners!$A$5:$A$504,0)),Setup!$B$10))</f>
        <v/>
      </c>
      <c r="L46" s="13">
        <f>IF($D46="","",Setup!$B$11)</f>
        <v/>
      </c>
      <c r="M46" s="13">
        <f>IF($D46="","",IF(AND(TODAY()&gt;=Setup!$B$9,$P46&gt;0),Setup!$B$12,0))</f>
        <v/>
      </c>
      <c r="N46" s="13">
        <f>IF($D46="","",SUM($J46:$M46))</f>
        <v/>
      </c>
      <c r="O46" s="13">
        <f>IF($A46="","",SUMIFS(Payments!$F:$F,Payments!$D:$D,$A46))</f>
        <v/>
      </c>
      <c r="P46" s="13">
        <f>IF($D46="","",MAX(0,$N46-$O46))</f>
        <v/>
      </c>
      <c r="Q46" s="2">
        <f>IF($D46="","",IF(IFERROR(INDEX(Units_Owners!$I$5:$I$504,MATCH($D46,Units_Owners!$A$5:$A$504,0)),"No")&lt;&gt;"Yes","Skip - Inactive",IF($P46=0,"Paid",IF(TODAY()&gt;$I46,"Past Due","Open"))))</f>
        <v/>
      </c>
      <c r="R46" s="14" t="n"/>
      <c r="S46" s="6" t="n"/>
    </row>
    <row r="47">
      <c r="A47" s="2">
        <f>IF($D47="","","INV-"&amp;$B47&amp;"-"&amp;$C47&amp;"-"&amp;TEXT(ROW(A43),"0000"))</f>
        <v/>
      </c>
      <c r="B47" s="2">
        <f>Setup!$B$5</f>
        <v/>
      </c>
      <c r="C47" s="2">
        <f>Setup!$B$6</f>
        <v/>
      </c>
      <c r="D47" s="2">
        <f>IFERROR(INDEX(Units_Owners!$A$5:$A$504,ROWS($A$5:A47)),"")</f>
        <v/>
      </c>
      <c r="E47" s="2">
        <f>IF($D47="","",IFERROR(INDEX(Units_Owners!$B$5:$B$504,MATCH($D47,Units_Owners!$A$5:$A$504,0)),""))</f>
        <v/>
      </c>
      <c r="F47" s="2">
        <f>IF($D47="","",IFERROR(INDEX(Units_Owners!$C$5:$C$504,MATCH($D47,Units_Owners!$A$5:$A$504,0)),""))</f>
        <v/>
      </c>
      <c r="G47" s="2">
        <f>IF($D47="","",IFERROR(INDEX(Units_Owners!$D$5:$D$504,MATCH($D47,Units_Owners!$A$5:$A$504,0)),""))</f>
        <v/>
      </c>
      <c r="H47" s="12">
        <f>Setup!$B$7</f>
        <v/>
      </c>
      <c r="I47" s="12">
        <f>Setup!$B$8</f>
        <v/>
      </c>
      <c r="J47" s="13">
        <f>IF($D47="","",IFERROR(INDEX(Units_Owners!$J$5:$J$504,MATCH($D47,Units_Owners!$A$5:$A$504,0)),0)+SUMIFS(Ledger!$F:$F,Ledger!$B:$B,$D47,Ledger!$D:$D,"&lt;"&amp;$H47)-SUMIFS(Ledger!$G:$G,Ledger!$B:$B,$D47,Ledger!$D:$D,"&lt;"&amp;$H47))</f>
        <v/>
      </c>
      <c r="K47" s="13">
        <f>IF($D47="","",IFERROR(INDEX(Units_Owners!$H$5:$H$504,MATCH($D47,Units_Owners!$A$5:$A$504,0)),Setup!$B$10))</f>
        <v/>
      </c>
      <c r="L47" s="13">
        <f>IF($D47="","",Setup!$B$11)</f>
        <v/>
      </c>
      <c r="M47" s="13">
        <f>IF($D47="","",IF(AND(TODAY()&gt;=Setup!$B$9,$P47&gt;0),Setup!$B$12,0))</f>
        <v/>
      </c>
      <c r="N47" s="13">
        <f>IF($D47="","",SUM($J47:$M47))</f>
        <v/>
      </c>
      <c r="O47" s="13">
        <f>IF($A47="","",SUMIFS(Payments!$F:$F,Payments!$D:$D,$A47))</f>
        <v/>
      </c>
      <c r="P47" s="13">
        <f>IF($D47="","",MAX(0,$N47-$O47))</f>
        <v/>
      </c>
      <c r="Q47" s="2">
        <f>IF($D47="","",IF(IFERROR(INDEX(Units_Owners!$I$5:$I$504,MATCH($D47,Units_Owners!$A$5:$A$504,0)),"No")&lt;&gt;"Yes","Skip - Inactive",IF($P47=0,"Paid",IF(TODAY()&gt;$I47,"Past Due","Open"))))</f>
        <v/>
      </c>
      <c r="R47" s="12" t="n"/>
      <c r="S47" s="2" t="n"/>
    </row>
    <row r="48">
      <c r="A48" s="2">
        <f>IF($D48="","","INV-"&amp;$B48&amp;"-"&amp;$C48&amp;"-"&amp;TEXT(ROW(A44),"0000"))</f>
        <v/>
      </c>
      <c r="B48" s="2">
        <f>Setup!$B$5</f>
        <v/>
      </c>
      <c r="C48" s="2">
        <f>Setup!$B$6</f>
        <v/>
      </c>
      <c r="D48" s="2">
        <f>IFERROR(INDEX(Units_Owners!$A$5:$A$504,ROWS($A$5:A48)),"")</f>
        <v/>
      </c>
      <c r="E48" s="2">
        <f>IF($D48="","",IFERROR(INDEX(Units_Owners!$B$5:$B$504,MATCH($D48,Units_Owners!$A$5:$A$504,0)),""))</f>
        <v/>
      </c>
      <c r="F48" s="2">
        <f>IF($D48="","",IFERROR(INDEX(Units_Owners!$C$5:$C$504,MATCH($D48,Units_Owners!$A$5:$A$504,0)),""))</f>
        <v/>
      </c>
      <c r="G48" s="2">
        <f>IF($D48="","",IFERROR(INDEX(Units_Owners!$D$5:$D$504,MATCH($D48,Units_Owners!$A$5:$A$504,0)),""))</f>
        <v/>
      </c>
      <c r="H48" s="12">
        <f>Setup!$B$7</f>
        <v/>
      </c>
      <c r="I48" s="12">
        <f>Setup!$B$8</f>
        <v/>
      </c>
      <c r="J48" s="13">
        <f>IF($D48="","",IFERROR(INDEX(Units_Owners!$J$5:$J$504,MATCH($D48,Units_Owners!$A$5:$A$504,0)),0)+SUMIFS(Ledger!$F:$F,Ledger!$B:$B,$D48,Ledger!$D:$D,"&lt;"&amp;$H48)-SUMIFS(Ledger!$G:$G,Ledger!$B:$B,$D48,Ledger!$D:$D,"&lt;"&amp;$H48))</f>
        <v/>
      </c>
      <c r="K48" s="13">
        <f>IF($D48="","",IFERROR(INDEX(Units_Owners!$H$5:$H$504,MATCH($D48,Units_Owners!$A$5:$A$504,0)),Setup!$B$10))</f>
        <v/>
      </c>
      <c r="L48" s="13">
        <f>IF($D48="","",Setup!$B$11)</f>
        <v/>
      </c>
      <c r="M48" s="13">
        <f>IF($D48="","",IF(AND(TODAY()&gt;=Setup!$B$9,$P48&gt;0),Setup!$B$12,0))</f>
        <v/>
      </c>
      <c r="N48" s="13">
        <f>IF($D48="","",SUM($J48:$M48))</f>
        <v/>
      </c>
      <c r="O48" s="13">
        <f>IF($A48="","",SUMIFS(Payments!$F:$F,Payments!$D:$D,$A48))</f>
        <v/>
      </c>
      <c r="P48" s="13">
        <f>IF($D48="","",MAX(0,$N48-$O48))</f>
        <v/>
      </c>
      <c r="Q48" s="2">
        <f>IF($D48="","",IF(IFERROR(INDEX(Units_Owners!$I$5:$I$504,MATCH($D48,Units_Owners!$A$5:$A$504,0)),"No")&lt;&gt;"Yes","Skip - Inactive",IF($P48=0,"Paid",IF(TODAY()&gt;$I48,"Past Due","Open"))))</f>
        <v/>
      </c>
      <c r="R48" s="14" t="n"/>
      <c r="S48" s="6" t="n"/>
    </row>
    <row r="49">
      <c r="A49" s="2">
        <f>IF($D49="","","INV-"&amp;$B49&amp;"-"&amp;$C49&amp;"-"&amp;TEXT(ROW(A45),"0000"))</f>
        <v/>
      </c>
      <c r="B49" s="2">
        <f>Setup!$B$5</f>
        <v/>
      </c>
      <c r="C49" s="2">
        <f>Setup!$B$6</f>
        <v/>
      </c>
      <c r="D49" s="2">
        <f>IFERROR(INDEX(Units_Owners!$A$5:$A$504,ROWS($A$5:A49)),"")</f>
        <v/>
      </c>
      <c r="E49" s="2">
        <f>IF($D49="","",IFERROR(INDEX(Units_Owners!$B$5:$B$504,MATCH($D49,Units_Owners!$A$5:$A$504,0)),""))</f>
        <v/>
      </c>
      <c r="F49" s="2">
        <f>IF($D49="","",IFERROR(INDEX(Units_Owners!$C$5:$C$504,MATCH($D49,Units_Owners!$A$5:$A$504,0)),""))</f>
        <v/>
      </c>
      <c r="G49" s="2">
        <f>IF($D49="","",IFERROR(INDEX(Units_Owners!$D$5:$D$504,MATCH($D49,Units_Owners!$A$5:$A$504,0)),""))</f>
        <v/>
      </c>
      <c r="H49" s="12">
        <f>Setup!$B$7</f>
        <v/>
      </c>
      <c r="I49" s="12">
        <f>Setup!$B$8</f>
        <v/>
      </c>
      <c r="J49" s="13">
        <f>IF($D49="","",IFERROR(INDEX(Units_Owners!$J$5:$J$504,MATCH($D49,Units_Owners!$A$5:$A$504,0)),0)+SUMIFS(Ledger!$F:$F,Ledger!$B:$B,$D49,Ledger!$D:$D,"&lt;"&amp;$H49)-SUMIFS(Ledger!$G:$G,Ledger!$B:$B,$D49,Ledger!$D:$D,"&lt;"&amp;$H49))</f>
        <v/>
      </c>
      <c r="K49" s="13">
        <f>IF($D49="","",IFERROR(INDEX(Units_Owners!$H$5:$H$504,MATCH($D49,Units_Owners!$A$5:$A$504,0)),Setup!$B$10))</f>
        <v/>
      </c>
      <c r="L49" s="13">
        <f>IF($D49="","",Setup!$B$11)</f>
        <v/>
      </c>
      <c r="M49" s="13">
        <f>IF($D49="","",IF(AND(TODAY()&gt;=Setup!$B$9,$P49&gt;0),Setup!$B$12,0))</f>
        <v/>
      </c>
      <c r="N49" s="13">
        <f>IF($D49="","",SUM($J49:$M49))</f>
        <v/>
      </c>
      <c r="O49" s="13">
        <f>IF($A49="","",SUMIFS(Payments!$F:$F,Payments!$D:$D,$A49))</f>
        <v/>
      </c>
      <c r="P49" s="13">
        <f>IF($D49="","",MAX(0,$N49-$O49))</f>
        <v/>
      </c>
      <c r="Q49" s="2">
        <f>IF($D49="","",IF(IFERROR(INDEX(Units_Owners!$I$5:$I$504,MATCH($D49,Units_Owners!$A$5:$A$504,0)),"No")&lt;&gt;"Yes","Skip - Inactive",IF($P49=0,"Paid",IF(TODAY()&gt;$I49,"Past Due","Open"))))</f>
        <v/>
      </c>
      <c r="R49" s="12" t="n"/>
      <c r="S49" s="2" t="n"/>
    </row>
    <row r="50">
      <c r="A50" s="2">
        <f>IF($D50="","","INV-"&amp;$B50&amp;"-"&amp;$C50&amp;"-"&amp;TEXT(ROW(A46),"0000"))</f>
        <v/>
      </c>
      <c r="B50" s="2">
        <f>Setup!$B$5</f>
        <v/>
      </c>
      <c r="C50" s="2">
        <f>Setup!$B$6</f>
        <v/>
      </c>
      <c r="D50" s="2">
        <f>IFERROR(INDEX(Units_Owners!$A$5:$A$504,ROWS($A$5:A50)),"")</f>
        <v/>
      </c>
      <c r="E50" s="2">
        <f>IF($D50="","",IFERROR(INDEX(Units_Owners!$B$5:$B$504,MATCH($D50,Units_Owners!$A$5:$A$504,0)),""))</f>
        <v/>
      </c>
      <c r="F50" s="2">
        <f>IF($D50="","",IFERROR(INDEX(Units_Owners!$C$5:$C$504,MATCH($D50,Units_Owners!$A$5:$A$504,0)),""))</f>
        <v/>
      </c>
      <c r="G50" s="2">
        <f>IF($D50="","",IFERROR(INDEX(Units_Owners!$D$5:$D$504,MATCH($D50,Units_Owners!$A$5:$A$504,0)),""))</f>
        <v/>
      </c>
      <c r="H50" s="12">
        <f>Setup!$B$7</f>
        <v/>
      </c>
      <c r="I50" s="12">
        <f>Setup!$B$8</f>
        <v/>
      </c>
      <c r="J50" s="13">
        <f>IF($D50="","",IFERROR(INDEX(Units_Owners!$J$5:$J$504,MATCH($D50,Units_Owners!$A$5:$A$504,0)),0)+SUMIFS(Ledger!$F:$F,Ledger!$B:$B,$D50,Ledger!$D:$D,"&lt;"&amp;$H50)-SUMIFS(Ledger!$G:$G,Ledger!$B:$B,$D50,Ledger!$D:$D,"&lt;"&amp;$H50))</f>
        <v/>
      </c>
      <c r="K50" s="13">
        <f>IF($D50="","",IFERROR(INDEX(Units_Owners!$H$5:$H$504,MATCH($D50,Units_Owners!$A$5:$A$504,0)),Setup!$B$10))</f>
        <v/>
      </c>
      <c r="L50" s="13">
        <f>IF($D50="","",Setup!$B$11)</f>
        <v/>
      </c>
      <c r="M50" s="13">
        <f>IF($D50="","",IF(AND(TODAY()&gt;=Setup!$B$9,$P50&gt;0),Setup!$B$12,0))</f>
        <v/>
      </c>
      <c r="N50" s="13">
        <f>IF($D50="","",SUM($J50:$M50))</f>
        <v/>
      </c>
      <c r="O50" s="13">
        <f>IF($A50="","",SUMIFS(Payments!$F:$F,Payments!$D:$D,$A50))</f>
        <v/>
      </c>
      <c r="P50" s="13">
        <f>IF($D50="","",MAX(0,$N50-$O50))</f>
        <v/>
      </c>
      <c r="Q50" s="2">
        <f>IF($D50="","",IF(IFERROR(INDEX(Units_Owners!$I$5:$I$504,MATCH($D50,Units_Owners!$A$5:$A$504,0)),"No")&lt;&gt;"Yes","Skip - Inactive",IF($P50=0,"Paid",IF(TODAY()&gt;$I50,"Past Due","Open"))))</f>
        <v/>
      </c>
      <c r="R50" s="14" t="n"/>
      <c r="S50" s="6" t="n"/>
    </row>
    <row r="51">
      <c r="A51" s="2">
        <f>IF($D51="","","INV-"&amp;$B51&amp;"-"&amp;$C51&amp;"-"&amp;TEXT(ROW(A47),"0000"))</f>
        <v/>
      </c>
      <c r="B51" s="2">
        <f>Setup!$B$5</f>
        <v/>
      </c>
      <c r="C51" s="2">
        <f>Setup!$B$6</f>
        <v/>
      </c>
      <c r="D51" s="2">
        <f>IFERROR(INDEX(Units_Owners!$A$5:$A$504,ROWS($A$5:A51)),"")</f>
        <v/>
      </c>
      <c r="E51" s="2">
        <f>IF($D51="","",IFERROR(INDEX(Units_Owners!$B$5:$B$504,MATCH($D51,Units_Owners!$A$5:$A$504,0)),""))</f>
        <v/>
      </c>
      <c r="F51" s="2">
        <f>IF($D51="","",IFERROR(INDEX(Units_Owners!$C$5:$C$504,MATCH($D51,Units_Owners!$A$5:$A$504,0)),""))</f>
        <v/>
      </c>
      <c r="G51" s="2">
        <f>IF($D51="","",IFERROR(INDEX(Units_Owners!$D$5:$D$504,MATCH($D51,Units_Owners!$A$5:$A$504,0)),""))</f>
        <v/>
      </c>
      <c r="H51" s="12">
        <f>Setup!$B$7</f>
        <v/>
      </c>
      <c r="I51" s="12">
        <f>Setup!$B$8</f>
        <v/>
      </c>
      <c r="J51" s="13">
        <f>IF($D51="","",IFERROR(INDEX(Units_Owners!$J$5:$J$504,MATCH($D51,Units_Owners!$A$5:$A$504,0)),0)+SUMIFS(Ledger!$F:$F,Ledger!$B:$B,$D51,Ledger!$D:$D,"&lt;"&amp;$H51)-SUMIFS(Ledger!$G:$G,Ledger!$B:$B,$D51,Ledger!$D:$D,"&lt;"&amp;$H51))</f>
        <v/>
      </c>
      <c r="K51" s="13">
        <f>IF($D51="","",IFERROR(INDEX(Units_Owners!$H$5:$H$504,MATCH($D51,Units_Owners!$A$5:$A$504,0)),Setup!$B$10))</f>
        <v/>
      </c>
      <c r="L51" s="13">
        <f>IF($D51="","",Setup!$B$11)</f>
        <v/>
      </c>
      <c r="M51" s="13">
        <f>IF($D51="","",IF(AND(TODAY()&gt;=Setup!$B$9,$P51&gt;0),Setup!$B$12,0))</f>
        <v/>
      </c>
      <c r="N51" s="13">
        <f>IF($D51="","",SUM($J51:$M51))</f>
        <v/>
      </c>
      <c r="O51" s="13">
        <f>IF($A51="","",SUMIFS(Payments!$F:$F,Payments!$D:$D,$A51))</f>
        <v/>
      </c>
      <c r="P51" s="13">
        <f>IF($D51="","",MAX(0,$N51-$O51))</f>
        <v/>
      </c>
      <c r="Q51" s="2">
        <f>IF($D51="","",IF(IFERROR(INDEX(Units_Owners!$I$5:$I$504,MATCH($D51,Units_Owners!$A$5:$A$504,0)),"No")&lt;&gt;"Yes","Skip - Inactive",IF($P51=0,"Paid",IF(TODAY()&gt;$I51,"Past Due","Open"))))</f>
        <v/>
      </c>
      <c r="R51" s="12" t="n"/>
      <c r="S51" s="2" t="n"/>
    </row>
    <row r="52">
      <c r="A52" s="2">
        <f>IF($D52="","","INV-"&amp;$B52&amp;"-"&amp;$C52&amp;"-"&amp;TEXT(ROW(A48),"0000"))</f>
        <v/>
      </c>
      <c r="B52" s="2">
        <f>Setup!$B$5</f>
        <v/>
      </c>
      <c r="C52" s="2">
        <f>Setup!$B$6</f>
        <v/>
      </c>
      <c r="D52" s="2">
        <f>IFERROR(INDEX(Units_Owners!$A$5:$A$504,ROWS($A$5:A52)),"")</f>
        <v/>
      </c>
      <c r="E52" s="2">
        <f>IF($D52="","",IFERROR(INDEX(Units_Owners!$B$5:$B$504,MATCH($D52,Units_Owners!$A$5:$A$504,0)),""))</f>
        <v/>
      </c>
      <c r="F52" s="2">
        <f>IF($D52="","",IFERROR(INDEX(Units_Owners!$C$5:$C$504,MATCH($D52,Units_Owners!$A$5:$A$504,0)),""))</f>
        <v/>
      </c>
      <c r="G52" s="2">
        <f>IF($D52="","",IFERROR(INDEX(Units_Owners!$D$5:$D$504,MATCH($D52,Units_Owners!$A$5:$A$504,0)),""))</f>
        <v/>
      </c>
      <c r="H52" s="12">
        <f>Setup!$B$7</f>
        <v/>
      </c>
      <c r="I52" s="12">
        <f>Setup!$B$8</f>
        <v/>
      </c>
      <c r="J52" s="13">
        <f>IF($D52="","",IFERROR(INDEX(Units_Owners!$J$5:$J$504,MATCH($D52,Units_Owners!$A$5:$A$504,0)),0)+SUMIFS(Ledger!$F:$F,Ledger!$B:$B,$D52,Ledger!$D:$D,"&lt;"&amp;$H52)-SUMIFS(Ledger!$G:$G,Ledger!$B:$B,$D52,Ledger!$D:$D,"&lt;"&amp;$H52))</f>
        <v/>
      </c>
      <c r="K52" s="13">
        <f>IF($D52="","",IFERROR(INDEX(Units_Owners!$H$5:$H$504,MATCH($D52,Units_Owners!$A$5:$A$504,0)),Setup!$B$10))</f>
        <v/>
      </c>
      <c r="L52" s="13">
        <f>IF($D52="","",Setup!$B$11)</f>
        <v/>
      </c>
      <c r="M52" s="13">
        <f>IF($D52="","",IF(AND(TODAY()&gt;=Setup!$B$9,$P52&gt;0),Setup!$B$12,0))</f>
        <v/>
      </c>
      <c r="N52" s="13">
        <f>IF($D52="","",SUM($J52:$M52))</f>
        <v/>
      </c>
      <c r="O52" s="13">
        <f>IF($A52="","",SUMIFS(Payments!$F:$F,Payments!$D:$D,$A52))</f>
        <v/>
      </c>
      <c r="P52" s="13">
        <f>IF($D52="","",MAX(0,$N52-$O52))</f>
        <v/>
      </c>
      <c r="Q52" s="2">
        <f>IF($D52="","",IF(IFERROR(INDEX(Units_Owners!$I$5:$I$504,MATCH($D52,Units_Owners!$A$5:$A$504,0)),"No")&lt;&gt;"Yes","Skip - Inactive",IF($P52=0,"Paid",IF(TODAY()&gt;$I52,"Past Due","Open"))))</f>
        <v/>
      </c>
      <c r="R52" s="14" t="n"/>
      <c r="S52" s="6" t="n"/>
    </row>
    <row r="53">
      <c r="A53" s="2">
        <f>IF($D53="","","INV-"&amp;$B53&amp;"-"&amp;$C53&amp;"-"&amp;TEXT(ROW(A49),"0000"))</f>
        <v/>
      </c>
      <c r="B53" s="2">
        <f>Setup!$B$5</f>
        <v/>
      </c>
      <c r="C53" s="2">
        <f>Setup!$B$6</f>
        <v/>
      </c>
      <c r="D53" s="2">
        <f>IFERROR(INDEX(Units_Owners!$A$5:$A$504,ROWS($A$5:A53)),"")</f>
        <v/>
      </c>
      <c r="E53" s="2">
        <f>IF($D53="","",IFERROR(INDEX(Units_Owners!$B$5:$B$504,MATCH($D53,Units_Owners!$A$5:$A$504,0)),""))</f>
        <v/>
      </c>
      <c r="F53" s="2">
        <f>IF($D53="","",IFERROR(INDEX(Units_Owners!$C$5:$C$504,MATCH($D53,Units_Owners!$A$5:$A$504,0)),""))</f>
        <v/>
      </c>
      <c r="G53" s="2">
        <f>IF($D53="","",IFERROR(INDEX(Units_Owners!$D$5:$D$504,MATCH($D53,Units_Owners!$A$5:$A$504,0)),""))</f>
        <v/>
      </c>
      <c r="H53" s="12">
        <f>Setup!$B$7</f>
        <v/>
      </c>
      <c r="I53" s="12">
        <f>Setup!$B$8</f>
        <v/>
      </c>
      <c r="J53" s="13">
        <f>IF($D53="","",IFERROR(INDEX(Units_Owners!$J$5:$J$504,MATCH($D53,Units_Owners!$A$5:$A$504,0)),0)+SUMIFS(Ledger!$F:$F,Ledger!$B:$B,$D53,Ledger!$D:$D,"&lt;"&amp;$H53)-SUMIFS(Ledger!$G:$G,Ledger!$B:$B,$D53,Ledger!$D:$D,"&lt;"&amp;$H53))</f>
        <v/>
      </c>
      <c r="K53" s="13">
        <f>IF($D53="","",IFERROR(INDEX(Units_Owners!$H$5:$H$504,MATCH($D53,Units_Owners!$A$5:$A$504,0)),Setup!$B$10))</f>
        <v/>
      </c>
      <c r="L53" s="13">
        <f>IF($D53="","",Setup!$B$11)</f>
        <v/>
      </c>
      <c r="M53" s="13">
        <f>IF($D53="","",IF(AND(TODAY()&gt;=Setup!$B$9,$P53&gt;0),Setup!$B$12,0))</f>
        <v/>
      </c>
      <c r="N53" s="13">
        <f>IF($D53="","",SUM($J53:$M53))</f>
        <v/>
      </c>
      <c r="O53" s="13">
        <f>IF($A53="","",SUMIFS(Payments!$F:$F,Payments!$D:$D,$A53))</f>
        <v/>
      </c>
      <c r="P53" s="13">
        <f>IF($D53="","",MAX(0,$N53-$O53))</f>
        <v/>
      </c>
      <c r="Q53" s="2">
        <f>IF($D53="","",IF(IFERROR(INDEX(Units_Owners!$I$5:$I$504,MATCH($D53,Units_Owners!$A$5:$A$504,0)),"No")&lt;&gt;"Yes","Skip - Inactive",IF($P53=0,"Paid",IF(TODAY()&gt;$I53,"Past Due","Open"))))</f>
        <v/>
      </c>
      <c r="R53" s="12" t="n"/>
      <c r="S53" s="2" t="n"/>
    </row>
    <row r="54">
      <c r="A54" s="2">
        <f>IF($D54="","","INV-"&amp;$B54&amp;"-"&amp;$C54&amp;"-"&amp;TEXT(ROW(A50),"0000"))</f>
        <v/>
      </c>
      <c r="B54" s="2">
        <f>Setup!$B$5</f>
        <v/>
      </c>
      <c r="C54" s="2">
        <f>Setup!$B$6</f>
        <v/>
      </c>
      <c r="D54" s="2">
        <f>IFERROR(INDEX(Units_Owners!$A$5:$A$504,ROWS($A$5:A54)),"")</f>
        <v/>
      </c>
      <c r="E54" s="2">
        <f>IF($D54="","",IFERROR(INDEX(Units_Owners!$B$5:$B$504,MATCH($D54,Units_Owners!$A$5:$A$504,0)),""))</f>
        <v/>
      </c>
      <c r="F54" s="2">
        <f>IF($D54="","",IFERROR(INDEX(Units_Owners!$C$5:$C$504,MATCH($D54,Units_Owners!$A$5:$A$504,0)),""))</f>
        <v/>
      </c>
      <c r="G54" s="2">
        <f>IF($D54="","",IFERROR(INDEX(Units_Owners!$D$5:$D$504,MATCH($D54,Units_Owners!$A$5:$A$504,0)),""))</f>
        <v/>
      </c>
      <c r="H54" s="12">
        <f>Setup!$B$7</f>
        <v/>
      </c>
      <c r="I54" s="12">
        <f>Setup!$B$8</f>
        <v/>
      </c>
      <c r="J54" s="13">
        <f>IF($D54="","",IFERROR(INDEX(Units_Owners!$J$5:$J$504,MATCH($D54,Units_Owners!$A$5:$A$504,0)),0)+SUMIFS(Ledger!$F:$F,Ledger!$B:$B,$D54,Ledger!$D:$D,"&lt;"&amp;$H54)-SUMIFS(Ledger!$G:$G,Ledger!$B:$B,$D54,Ledger!$D:$D,"&lt;"&amp;$H54))</f>
        <v/>
      </c>
      <c r="K54" s="13">
        <f>IF($D54="","",IFERROR(INDEX(Units_Owners!$H$5:$H$504,MATCH($D54,Units_Owners!$A$5:$A$504,0)),Setup!$B$10))</f>
        <v/>
      </c>
      <c r="L54" s="13">
        <f>IF($D54="","",Setup!$B$11)</f>
        <v/>
      </c>
      <c r="M54" s="13">
        <f>IF($D54="","",IF(AND(TODAY()&gt;=Setup!$B$9,$P54&gt;0),Setup!$B$12,0))</f>
        <v/>
      </c>
      <c r="N54" s="13">
        <f>IF($D54="","",SUM($J54:$M54))</f>
        <v/>
      </c>
      <c r="O54" s="13">
        <f>IF($A54="","",SUMIFS(Payments!$F:$F,Payments!$D:$D,$A54))</f>
        <v/>
      </c>
      <c r="P54" s="13">
        <f>IF($D54="","",MAX(0,$N54-$O54))</f>
        <v/>
      </c>
      <c r="Q54" s="2">
        <f>IF($D54="","",IF(IFERROR(INDEX(Units_Owners!$I$5:$I$504,MATCH($D54,Units_Owners!$A$5:$A$504,0)),"No")&lt;&gt;"Yes","Skip - Inactive",IF($P54=0,"Paid",IF(TODAY()&gt;$I54,"Past Due","Open"))))</f>
        <v/>
      </c>
      <c r="R54" s="14" t="n"/>
      <c r="S54" s="6" t="n"/>
    </row>
    <row r="55">
      <c r="A55" s="2">
        <f>IF($D55="","","INV-"&amp;$B55&amp;"-"&amp;$C55&amp;"-"&amp;TEXT(ROW(A51),"0000"))</f>
        <v/>
      </c>
      <c r="B55" s="2">
        <f>Setup!$B$5</f>
        <v/>
      </c>
      <c r="C55" s="2">
        <f>Setup!$B$6</f>
        <v/>
      </c>
      <c r="D55" s="2">
        <f>IFERROR(INDEX(Units_Owners!$A$5:$A$504,ROWS($A$5:A55)),"")</f>
        <v/>
      </c>
      <c r="E55" s="2">
        <f>IF($D55="","",IFERROR(INDEX(Units_Owners!$B$5:$B$504,MATCH($D55,Units_Owners!$A$5:$A$504,0)),""))</f>
        <v/>
      </c>
      <c r="F55" s="2">
        <f>IF($D55="","",IFERROR(INDEX(Units_Owners!$C$5:$C$504,MATCH($D55,Units_Owners!$A$5:$A$504,0)),""))</f>
        <v/>
      </c>
      <c r="G55" s="2">
        <f>IF($D55="","",IFERROR(INDEX(Units_Owners!$D$5:$D$504,MATCH($D55,Units_Owners!$A$5:$A$504,0)),""))</f>
        <v/>
      </c>
      <c r="H55" s="12">
        <f>Setup!$B$7</f>
        <v/>
      </c>
      <c r="I55" s="12">
        <f>Setup!$B$8</f>
        <v/>
      </c>
      <c r="J55" s="13">
        <f>IF($D55="","",IFERROR(INDEX(Units_Owners!$J$5:$J$504,MATCH($D55,Units_Owners!$A$5:$A$504,0)),0)+SUMIFS(Ledger!$F:$F,Ledger!$B:$B,$D55,Ledger!$D:$D,"&lt;"&amp;$H55)-SUMIFS(Ledger!$G:$G,Ledger!$B:$B,$D55,Ledger!$D:$D,"&lt;"&amp;$H55))</f>
        <v/>
      </c>
      <c r="K55" s="13">
        <f>IF($D55="","",IFERROR(INDEX(Units_Owners!$H$5:$H$504,MATCH($D55,Units_Owners!$A$5:$A$504,0)),Setup!$B$10))</f>
        <v/>
      </c>
      <c r="L55" s="13">
        <f>IF($D55="","",Setup!$B$11)</f>
        <v/>
      </c>
      <c r="M55" s="13">
        <f>IF($D55="","",IF(AND(TODAY()&gt;=Setup!$B$9,$P55&gt;0),Setup!$B$12,0))</f>
        <v/>
      </c>
      <c r="N55" s="13">
        <f>IF($D55="","",SUM($J55:$M55))</f>
        <v/>
      </c>
      <c r="O55" s="13">
        <f>IF($A55="","",SUMIFS(Payments!$F:$F,Payments!$D:$D,$A55))</f>
        <v/>
      </c>
      <c r="P55" s="13">
        <f>IF($D55="","",MAX(0,$N55-$O55))</f>
        <v/>
      </c>
      <c r="Q55" s="2">
        <f>IF($D55="","",IF(IFERROR(INDEX(Units_Owners!$I$5:$I$504,MATCH($D55,Units_Owners!$A$5:$A$504,0)),"No")&lt;&gt;"Yes","Skip - Inactive",IF($P55=0,"Paid",IF(TODAY()&gt;$I55,"Past Due","Open"))))</f>
        <v/>
      </c>
      <c r="R55" s="12" t="n"/>
      <c r="S55" s="2" t="n"/>
    </row>
    <row r="56">
      <c r="A56" s="2">
        <f>IF($D56="","","INV-"&amp;$B56&amp;"-"&amp;$C56&amp;"-"&amp;TEXT(ROW(A52),"0000"))</f>
        <v/>
      </c>
      <c r="B56" s="2">
        <f>Setup!$B$5</f>
        <v/>
      </c>
      <c r="C56" s="2">
        <f>Setup!$B$6</f>
        <v/>
      </c>
      <c r="D56" s="2">
        <f>IFERROR(INDEX(Units_Owners!$A$5:$A$504,ROWS($A$5:A56)),"")</f>
        <v/>
      </c>
      <c r="E56" s="2">
        <f>IF($D56="","",IFERROR(INDEX(Units_Owners!$B$5:$B$504,MATCH($D56,Units_Owners!$A$5:$A$504,0)),""))</f>
        <v/>
      </c>
      <c r="F56" s="2">
        <f>IF($D56="","",IFERROR(INDEX(Units_Owners!$C$5:$C$504,MATCH($D56,Units_Owners!$A$5:$A$504,0)),""))</f>
        <v/>
      </c>
      <c r="G56" s="2">
        <f>IF($D56="","",IFERROR(INDEX(Units_Owners!$D$5:$D$504,MATCH($D56,Units_Owners!$A$5:$A$504,0)),""))</f>
        <v/>
      </c>
      <c r="H56" s="12">
        <f>Setup!$B$7</f>
        <v/>
      </c>
      <c r="I56" s="12">
        <f>Setup!$B$8</f>
        <v/>
      </c>
      <c r="J56" s="13">
        <f>IF($D56="","",IFERROR(INDEX(Units_Owners!$J$5:$J$504,MATCH($D56,Units_Owners!$A$5:$A$504,0)),0)+SUMIFS(Ledger!$F:$F,Ledger!$B:$B,$D56,Ledger!$D:$D,"&lt;"&amp;$H56)-SUMIFS(Ledger!$G:$G,Ledger!$B:$B,$D56,Ledger!$D:$D,"&lt;"&amp;$H56))</f>
        <v/>
      </c>
      <c r="K56" s="13">
        <f>IF($D56="","",IFERROR(INDEX(Units_Owners!$H$5:$H$504,MATCH($D56,Units_Owners!$A$5:$A$504,0)),Setup!$B$10))</f>
        <v/>
      </c>
      <c r="L56" s="13">
        <f>IF($D56="","",Setup!$B$11)</f>
        <v/>
      </c>
      <c r="M56" s="13">
        <f>IF($D56="","",IF(AND(TODAY()&gt;=Setup!$B$9,$P56&gt;0),Setup!$B$12,0))</f>
        <v/>
      </c>
      <c r="N56" s="13">
        <f>IF($D56="","",SUM($J56:$M56))</f>
        <v/>
      </c>
      <c r="O56" s="13">
        <f>IF($A56="","",SUMIFS(Payments!$F:$F,Payments!$D:$D,$A56))</f>
        <v/>
      </c>
      <c r="P56" s="13">
        <f>IF($D56="","",MAX(0,$N56-$O56))</f>
        <v/>
      </c>
      <c r="Q56" s="2">
        <f>IF($D56="","",IF(IFERROR(INDEX(Units_Owners!$I$5:$I$504,MATCH($D56,Units_Owners!$A$5:$A$504,0)),"No")&lt;&gt;"Yes","Skip - Inactive",IF($P56=0,"Paid",IF(TODAY()&gt;$I56,"Past Due","Open"))))</f>
        <v/>
      </c>
      <c r="R56" s="14" t="n"/>
      <c r="S56" s="6" t="n"/>
    </row>
    <row r="57">
      <c r="A57" s="2">
        <f>IF($D57="","","INV-"&amp;$B57&amp;"-"&amp;$C57&amp;"-"&amp;TEXT(ROW(A53),"0000"))</f>
        <v/>
      </c>
      <c r="B57" s="2">
        <f>Setup!$B$5</f>
        <v/>
      </c>
      <c r="C57" s="2">
        <f>Setup!$B$6</f>
        <v/>
      </c>
      <c r="D57" s="2">
        <f>IFERROR(INDEX(Units_Owners!$A$5:$A$504,ROWS($A$5:A57)),"")</f>
        <v/>
      </c>
      <c r="E57" s="2">
        <f>IF($D57="","",IFERROR(INDEX(Units_Owners!$B$5:$B$504,MATCH($D57,Units_Owners!$A$5:$A$504,0)),""))</f>
        <v/>
      </c>
      <c r="F57" s="2">
        <f>IF($D57="","",IFERROR(INDEX(Units_Owners!$C$5:$C$504,MATCH($D57,Units_Owners!$A$5:$A$504,0)),""))</f>
        <v/>
      </c>
      <c r="G57" s="2">
        <f>IF($D57="","",IFERROR(INDEX(Units_Owners!$D$5:$D$504,MATCH($D57,Units_Owners!$A$5:$A$504,0)),""))</f>
        <v/>
      </c>
      <c r="H57" s="12">
        <f>Setup!$B$7</f>
        <v/>
      </c>
      <c r="I57" s="12">
        <f>Setup!$B$8</f>
        <v/>
      </c>
      <c r="J57" s="13">
        <f>IF($D57="","",IFERROR(INDEX(Units_Owners!$J$5:$J$504,MATCH($D57,Units_Owners!$A$5:$A$504,0)),0)+SUMIFS(Ledger!$F:$F,Ledger!$B:$B,$D57,Ledger!$D:$D,"&lt;"&amp;$H57)-SUMIFS(Ledger!$G:$G,Ledger!$B:$B,$D57,Ledger!$D:$D,"&lt;"&amp;$H57))</f>
        <v/>
      </c>
      <c r="K57" s="13">
        <f>IF($D57="","",IFERROR(INDEX(Units_Owners!$H$5:$H$504,MATCH($D57,Units_Owners!$A$5:$A$504,0)),Setup!$B$10))</f>
        <v/>
      </c>
      <c r="L57" s="13">
        <f>IF($D57="","",Setup!$B$11)</f>
        <v/>
      </c>
      <c r="M57" s="13">
        <f>IF($D57="","",IF(AND(TODAY()&gt;=Setup!$B$9,$P57&gt;0),Setup!$B$12,0))</f>
        <v/>
      </c>
      <c r="N57" s="13">
        <f>IF($D57="","",SUM($J57:$M57))</f>
        <v/>
      </c>
      <c r="O57" s="13">
        <f>IF($A57="","",SUMIFS(Payments!$F:$F,Payments!$D:$D,$A57))</f>
        <v/>
      </c>
      <c r="P57" s="13">
        <f>IF($D57="","",MAX(0,$N57-$O57))</f>
        <v/>
      </c>
      <c r="Q57" s="2">
        <f>IF($D57="","",IF(IFERROR(INDEX(Units_Owners!$I$5:$I$504,MATCH($D57,Units_Owners!$A$5:$A$504,0)),"No")&lt;&gt;"Yes","Skip - Inactive",IF($P57=0,"Paid",IF(TODAY()&gt;$I57,"Past Due","Open"))))</f>
        <v/>
      </c>
      <c r="R57" s="12" t="n"/>
      <c r="S57" s="2" t="n"/>
    </row>
    <row r="58">
      <c r="A58" s="2">
        <f>IF($D58="","","INV-"&amp;$B58&amp;"-"&amp;$C58&amp;"-"&amp;TEXT(ROW(A54),"0000"))</f>
        <v/>
      </c>
      <c r="B58" s="2">
        <f>Setup!$B$5</f>
        <v/>
      </c>
      <c r="C58" s="2">
        <f>Setup!$B$6</f>
        <v/>
      </c>
      <c r="D58" s="2">
        <f>IFERROR(INDEX(Units_Owners!$A$5:$A$504,ROWS($A$5:A58)),"")</f>
        <v/>
      </c>
      <c r="E58" s="2">
        <f>IF($D58="","",IFERROR(INDEX(Units_Owners!$B$5:$B$504,MATCH($D58,Units_Owners!$A$5:$A$504,0)),""))</f>
        <v/>
      </c>
      <c r="F58" s="2">
        <f>IF($D58="","",IFERROR(INDEX(Units_Owners!$C$5:$C$504,MATCH($D58,Units_Owners!$A$5:$A$504,0)),""))</f>
        <v/>
      </c>
      <c r="G58" s="2">
        <f>IF($D58="","",IFERROR(INDEX(Units_Owners!$D$5:$D$504,MATCH($D58,Units_Owners!$A$5:$A$504,0)),""))</f>
        <v/>
      </c>
      <c r="H58" s="12">
        <f>Setup!$B$7</f>
        <v/>
      </c>
      <c r="I58" s="12">
        <f>Setup!$B$8</f>
        <v/>
      </c>
      <c r="J58" s="13">
        <f>IF($D58="","",IFERROR(INDEX(Units_Owners!$J$5:$J$504,MATCH($D58,Units_Owners!$A$5:$A$504,0)),0)+SUMIFS(Ledger!$F:$F,Ledger!$B:$B,$D58,Ledger!$D:$D,"&lt;"&amp;$H58)-SUMIFS(Ledger!$G:$G,Ledger!$B:$B,$D58,Ledger!$D:$D,"&lt;"&amp;$H58))</f>
        <v/>
      </c>
      <c r="K58" s="13">
        <f>IF($D58="","",IFERROR(INDEX(Units_Owners!$H$5:$H$504,MATCH($D58,Units_Owners!$A$5:$A$504,0)),Setup!$B$10))</f>
        <v/>
      </c>
      <c r="L58" s="13">
        <f>IF($D58="","",Setup!$B$11)</f>
        <v/>
      </c>
      <c r="M58" s="13">
        <f>IF($D58="","",IF(AND(TODAY()&gt;=Setup!$B$9,$P58&gt;0),Setup!$B$12,0))</f>
        <v/>
      </c>
      <c r="N58" s="13">
        <f>IF($D58="","",SUM($J58:$M58))</f>
        <v/>
      </c>
      <c r="O58" s="13">
        <f>IF($A58="","",SUMIFS(Payments!$F:$F,Payments!$D:$D,$A58))</f>
        <v/>
      </c>
      <c r="P58" s="13">
        <f>IF($D58="","",MAX(0,$N58-$O58))</f>
        <v/>
      </c>
      <c r="Q58" s="2">
        <f>IF($D58="","",IF(IFERROR(INDEX(Units_Owners!$I$5:$I$504,MATCH($D58,Units_Owners!$A$5:$A$504,0)),"No")&lt;&gt;"Yes","Skip - Inactive",IF($P58=0,"Paid",IF(TODAY()&gt;$I58,"Past Due","Open"))))</f>
        <v/>
      </c>
      <c r="R58" s="14" t="n"/>
      <c r="S58" s="6" t="n"/>
    </row>
    <row r="59">
      <c r="A59" s="2">
        <f>IF($D59="","","INV-"&amp;$B59&amp;"-"&amp;$C59&amp;"-"&amp;TEXT(ROW(A55),"0000"))</f>
        <v/>
      </c>
      <c r="B59" s="2">
        <f>Setup!$B$5</f>
        <v/>
      </c>
      <c r="C59" s="2">
        <f>Setup!$B$6</f>
        <v/>
      </c>
      <c r="D59" s="2">
        <f>IFERROR(INDEX(Units_Owners!$A$5:$A$504,ROWS($A$5:A59)),"")</f>
        <v/>
      </c>
      <c r="E59" s="2">
        <f>IF($D59="","",IFERROR(INDEX(Units_Owners!$B$5:$B$504,MATCH($D59,Units_Owners!$A$5:$A$504,0)),""))</f>
        <v/>
      </c>
      <c r="F59" s="2">
        <f>IF($D59="","",IFERROR(INDEX(Units_Owners!$C$5:$C$504,MATCH($D59,Units_Owners!$A$5:$A$504,0)),""))</f>
        <v/>
      </c>
      <c r="G59" s="2">
        <f>IF($D59="","",IFERROR(INDEX(Units_Owners!$D$5:$D$504,MATCH($D59,Units_Owners!$A$5:$A$504,0)),""))</f>
        <v/>
      </c>
      <c r="H59" s="12">
        <f>Setup!$B$7</f>
        <v/>
      </c>
      <c r="I59" s="12">
        <f>Setup!$B$8</f>
        <v/>
      </c>
      <c r="J59" s="13">
        <f>IF($D59="","",IFERROR(INDEX(Units_Owners!$J$5:$J$504,MATCH($D59,Units_Owners!$A$5:$A$504,0)),0)+SUMIFS(Ledger!$F:$F,Ledger!$B:$B,$D59,Ledger!$D:$D,"&lt;"&amp;$H59)-SUMIFS(Ledger!$G:$G,Ledger!$B:$B,$D59,Ledger!$D:$D,"&lt;"&amp;$H59))</f>
        <v/>
      </c>
      <c r="K59" s="13">
        <f>IF($D59="","",IFERROR(INDEX(Units_Owners!$H$5:$H$504,MATCH($D59,Units_Owners!$A$5:$A$504,0)),Setup!$B$10))</f>
        <v/>
      </c>
      <c r="L59" s="13">
        <f>IF($D59="","",Setup!$B$11)</f>
        <v/>
      </c>
      <c r="M59" s="13">
        <f>IF($D59="","",IF(AND(TODAY()&gt;=Setup!$B$9,$P59&gt;0),Setup!$B$12,0))</f>
        <v/>
      </c>
      <c r="N59" s="13">
        <f>IF($D59="","",SUM($J59:$M59))</f>
        <v/>
      </c>
      <c r="O59" s="13">
        <f>IF($A59="","",SUMIFS(Payments!$F:$F,Payments!$D:$D,$A59))</f>
        <v/>
      </c>
      <c r="P59" s="13">
        <f>IF($D59="","",MAX(0,$N59-$O59))</f>
        <v/>
      </c>
      <c r="Q59" s="2">
        <f>IF($D59="","",IF(IFERROR(INDEX(Units_Owners!$I$5:$I$504,MATCH($D59,Units_Owners!$A$5:$A$504,0)),"No")&lt;&gt;"Yes","Skip - Inactive",IF($P59=0,"Paid",IF(TODAY()&gt;$I59,"Past Due","Open"))))</f>
        <v/>
      </c>
      <c r="R59" s="12" t="n"/>
      <c r="S59" s="2" t="n"/>
    </row>
    <row r="60">
      <c r="A60" s="2">
        <f>IF($D60="","","INV-"&amp;$B60&amp;"-"&amp;$C60&amp;"-"&amp;TEXT(ROW(A56),"0000"))</f>
        <v/>
      </c>
      <c r="B60" s="2">
        <f>Setup!$B$5</f>
        <v/>
      </c>
      <c r="C60" s="2">
        <f>Setup!$B$6</f>
        <v/>
      </c>
      <c r="D60" s="2">
        <f>IFERROR(INDEX(Units_Owners!$A$5:$A$504,ROWS($A$5:A60)),"")</f>
        <v/>
      </c>
      <c r="E60" s="2">
        <f>IF($D60="","",IFERROR(INDEX(Units_Owners!$B$5:$B$504,MATCH($D60,Units_Owners!$A$5:$A$504,0)),""))</f>
        <v/>
      </c>
      <c r="F60" s="2">
        <f>IF($D60="","",IFERROR(INDEX(Units_Owners!$C$5:$C$504,MATCH($D60,Units_Owners!$A$5:$A$504,0)),""))</f>
        <v/>
      </c>
      <c r="G60" s="2">
        <f>IF($D60="","",IFERROR(INDEX(Units_Owners!$D$5:$D$504,MATCH($D60,Units_Owners!$A$5:$A$504,0)),""))</f>
        <v/>
      </c>
      <c r="H60" s="12">
        <f>Setup!$B$7</f>
        <v/>
      </c>
      <c r="I60" s="12">
        <f>Setup!$B$8</f>
        <v/>
      </c>
      <c r="J60" s="13">
        <f>IF($D60="","",IFERROR(INDEX(Units_Owners!$J$5:$J$504,MATCH($D60,Units_Owners!$A$5:$A$504,0)),0)+SUMIFS(Ledger!$F:$F,Ledger!$B:$B,$D60,Ledger!$D:$D,"&lt;"&amp;$H60)-SUMIFS(Ledger!$G:$G,Ledger!$B:$B,$D60,Ledger!$D:$D,"&lt;"&amp;$H60))</f>
        <v/>
      </c>
      <c r="K60" s="13">
        <f>IF($D60="","",IFERROR(INDEX(Units_Owners!$H$5:$H$504,MATCH($D60,Units_Owners!$A$5:$A$504,0)),Setup!$B$10))</f>
        <v/>
      </c>
      <c r="L60" s="13">
        <f>IF($D60="","",Setup!$B$11)</f>
        <v/>
      </c>
      <c r="M60" s="13">
        <f>IF($D60="","",IF(AND(TODAY()&gt;=Setup!$B$9,$P60&gt;0),Setup!$B$12,0))</f>
        <v/>
      </c>
      <c r="N60" s="13">
        <f>IF($D60="","",SUM($J60:$M60))</f>
        <v/>
      </c>
      <c r="O60" s="13">
        <f>IF($A60="","",SUMIFS(Payments!$F:$F,Payments!$D:$D,$A60))</f>
        <v/>
      </c>
      <c r="P60" s="13">
        <f>IF($D60="","",MAX(0,$N60-$O60))</f>
        <v/>
      </c>
      <c r="Q60" s="2">
        <f>IF($D60="","",IF(IFERROR(INDEX(Units_Owners!$I$5:$I$504,MATCH($D60,Units_Owners!$A$5:$A$504,0)),"No")&lt;&gt;"Yes","Skip - Inactive",IF($P60=0,"Paid",IF(TODAY()&gt;$I60,"Past Due","Open"))))</f>
        <v/>
      </c>
      <c r="R60" s="14" t="n"/>
      <c r="S60" s="6" t="n"/>
    </row>
    <row r="61">
      <c r="A61" s="2">
        <f>IF($D61="","","INV-"&amp;$B61&amp;"-"&amp;$C61&amp;"-"&amp;TEXT(ROW(A57),"0000"))</f>
        <v/>
      </c>
      <c r="B61" s="2">
        <f>Setup!$B$5</f>
        <v/>
      </c>
      <c r="C61" s="2">
        <f>Setup!$B$6</f>
        <v/>
      </c>
      <c r="D61" s="2">
        <f>IFERROR(INDEX(Units_Owners!$A$5:$A$504,ROWS($A$5:A61)),"")</f>
        <v/>
      </c>
      <c r="E61" s="2">
        <f>IF($D61="","",IFERROR(INDEX(Units_Owners!$B$5:$B$504,MATCH($D61,Units_Owners!$A$5:$A$504,0)),""))</f>
        <v/>
      </c>
      <c r="F61" s="2">
        <f>IF($D61="","",IFERROR(INDEX(Units_Owners!$C$5:$C$504,MATCH($D61,Units_Owners!$A$5:$A$504,0)),""))</f>
        <v/>
      </c>
      <c r="G61" s="2">
        <f>IF($D61="","",IFERROR(INDEX(Units_Owners!$D$5:$D$504,MATCH($D61,Units_Owners!$A$5:$A$504,0)),""))</f>
        <v/>
      </c>
      <c r="H61" s="12">
        <f>Setup!$B$7</f>
        <v/>
      </c>
      <c r="I61" s="12">
        <f>Setup!$B$8</f>
        <v/>
      </c>
      <c r="J61" s="13">
        <f>IF($D61="","",IFERROR(INDEX(Units_Owners!$J$5:$J$504,MATCH($D61,Units_Owners!$A$5:$A$504,0)),0)+SUMIFS(Ledger!$F:$F,Ledger!$B:$B,$D61,Ledger!$D:$D,"&lt;"&amp;$H61)-SUMIFS(Ledger!$G:$G,Ledger!$B:$B,$D61,Ledger!$D:$D,"&lt;"&amp;$H61))</f>
        <v/>
      </c>
      <c r="K61" s="13">
        <f>IF($D61="","",IFERROR(INDEX(Units_Owners!$H$5:$H$504,MATCH($D61,Units_Owners!$A$5:$A$504,0)),Setup!$B$10))</f>
        <v/>
      </c>
      <c r="L61" s="13">
        <f>IF($D61="","",Setup!$B$11)</f>
        <v/>
      </c>
      <c r="M61" s="13">
        <f>IF($D61="","",IF(AND(TODAY()&gt;=Setup!$B$9,$P61&gt;0),Setup!$B$12,0))</f>
        <v/>
      </c>
      <c r="N61" s="13">
        <f>IF($D61="","",SUM($J61:$M61))</f>
        <v/>
      </c>
      <c r="O61" s="13">
        <f>IF($A61="","",SUMIFS(Payments!$F:$F,Payments!$D:$D,$A61))</f>
        <v/>
      </c>
      <c r="P61" s="13">
        <f>IF($D61="","",MAX(0,$N61-$O61))</f>
        <v/>
      </c>
      <c r="Q61" s="2">
        <f>IF($D61="","",IF(IFERROR(INDEX(Units_Owners!$I$5:$I$504,MATCH($D61,Units_Owners!$A$5:$A$504,0)),"No")&lt;&gt;"Yes","Skip - Inactive",IF($P61=0,"Paid",IF(TODAY()&gt;$I61,"Past Due","Open"))))</f>
        <v/>
      </c>
      <c r="R61" s="12" t="n"/>
      <c r="S61" s="2" t="n"/>
    </row>
    <row r="62">
      <c r="A62" s="2">
        <f>IF($D62="","","INV-"&amp;$B62&amp;"-"&amp;$C62&amp;"-"&amp;TEXT(ROW(A58),"0000"))</f>
        <v/>
      </c>
      <c r="B62" s="2">
        <f>Setup!$B$5</f>
        <v/>
      </c>
      <c r="C62" s="2">
        <f>Setup!$B$6</f>
        <v/>
      </c>
      <c r="D62" s="2">
        <f>IFERROR(INDEX(Units_Owners!$A$5:$A$504,ROWS($A$5:A62)),"")</f>
        <v/>
      </c>
      <c r="E62" s="2">
        <f>IF($D62="","",IFERROR(INDEX(Units_Owners!$B$5:$B$504,MATCH($D62,Units_Owners!$A$5:$A$504,0)),""))</f>
        <v/>
      </c>
      <c r="F62" s="2">
        <f>IF($D62="","",IFERROR(INDEX(Units_Owners!$C$5:$C$504,MATCH($D62,Units_Owners!$A$5:$A$504,0)),""))</f>
        <v/>
      </c>
      <c r="G62" s="2">
        <f>IF($D62="","",IFERROR(INDEX(Units_Owners!$D$5:$D$504,MATCH($D62,Units_Owners!$A$5:$A$504,0)),""))</f>
        <v/>
      </c>
      <c r="H62" s="12">
        <f>Setup!$B$7</f>
        <v/>
      </c>
      <c r="I62" s="12">
        <f>Setup!$B$8</f>
        <v/>
      </c>
      <c r="J62" s="13">
        <f>IF($D62="","",IFERROR(INDEX(Units_Owners!$J$5:$J$504,MATCH($D62,Units_Owners!$A$5:$A$504,0)),0)+SUMIFS(Ledger!$F:$F,Ledger!$B:$B,$D62,Ledger!$D:$D,"&lt;"&amp;$H62)-SUMIFS(Ledger!$G:$G,Ledger!$B:$B,$D62,Ledger!$D:$D,"&lt;"&amp;$H62))</f>
        <v/>
      </c>
      <c r="K62" s="13">
        <f>IF($D62="","",IFERROR(INDEX(Units_Owners!$H$5:$H$504,MATCH($D62,Units_Owners!$A$5:$A$504,0)),Setup!$B$10))</f>
        <v/>
      </c>
      <c r="L62" s="13">
        <f>IF($D62="","",Setup!$B$11)</f>
        <v/>
      </c>
      <c r="M62" s="13">
        <f>IF($D62="","",IF(AND(TODAY()&gt;=Setup!$B$9,$P62&gt;0),Setup!$B$12,0))</f>
        <v/>
      </c>
      <c r="N62" s="13">
        <f>IF($D62="","",SUM($J62:$M62))</f>
        <v/>
      </c>
      <c r="O62" s="13">
        <f>IF($A62="","",SUMIFS(Payments!$F:$F,Payments!$D:$D,$A62))</f>
        <v/>
      </c>
      <c r="P62" s="13">
        <f>IF($D62="","",MAX(0,$N62-$O62))</f>
        <v/>
      </c>
      <c r="Q62" s="2">
        <f>IF($D62="","",IF(IFERROR(INDEX(Units_Owners!$I$5:$I$504,MATCH($D62,Units_Owners!$A$5:$A$504,0)),"No")&lt;&gt;"Yes","Skip - Inactive",IF($P62=0,"Paid",IF(TODAY()&gt;$I62,"Past Due","Open"))))</f>
        <v/>
      </c>
      <c r="R62" s="14" t="n"/>
      <c r="S62" s="6" t="n"/>
    </row>
    <row r="63">
      <c r="A63" s="2">
        <f>IF($D63="","","INV-"&amp;$B63&amp;"-"&amp;$C63&amp;"-"&amp;TEXT(ROW(A59),"0000"))</f>
        <v/>
      </c>
      <c r="B63" s="2">
        <f>Setup!$B$5</f>
        <v/>
      </c>
      <c r="C63" s="2">
        <f>Setup!$B$6</f>
        <v/>
      </c>
      <c r="D63" s="2">
        <f>IFERROR(INDEX(Units_Owners!$A$5:$A$504,ROWS($A$5:A63)),"")</f>
        <v/>
      </c>
      <c r="E63" s="2">
        <f>IF($D63="","",IFERROR(INDEX(Units_Owners!$B$5:$B$504,MATCH($D63,Units_Owners!$A$5:$A$504,0)),""))</f>
        <v/>
      </c>
      <c r="F63" s="2">
        <f>IF($D63="","",IFERROR(INDEX(Units_Owners!$C$5:$C$504,MATCH($D63,Units_Owners!$A$5:$A$504,0)),""))</f>
        <v/>
      </c>
      <c r="G63" s="2">
        <f>IF($D63="","",IFERROR(INDEX(Units_Owners!$D$5:$D$504,MATCH($D63,Units_Owners!$A$5:$A$504,0)),""))</f>
        <v/>
      </c>
      <c r="H63" s="12">
        <f>Setup!$B$7</f>
        <v/>
      </c>
      <c r="I63" s="12">
        <f>Setup!$B$8</f>
        <v/>
      </c>
      <c r="J63" s="13">
        <f>IF($D63="","",IFERROR(INDEX(Units_Owners!$J$5:$J$504,MATCH($D63,Units_Owners!$A$5:$A$504,0)),0)+SUMIFS(Ledger!$F:$F,Ledger!$B:$B,$D63,Ledger!$D:$D,"&lt;"&amp;$H63)-SUMIFS(Ledger!$G:$G,Ledger!$B:$B,$D63,Ledger!$D:$D,"&lt;"&amp;$H63))</f>
        <v/>
      </c>
      <c r="K63" s="13">
        <f>IF($D63="","",IFERROR(INDEX(Units_Owners!$H$5:$H$504,MATCH($D63,Units_Owners!$A$5:$A$504,0)),Setup!$B$10))</f>
        <v/>
      </c>
      <c r="L63" s="13">
        <f>IF($D63="","",Setup!$B$11)</f>
        <v/>
      </c>
      <c r="M63" s="13">
        <f>IF($D63="","",IF(AND(TODAY()&gt;=Setup!$B$9,$P63&gt;0),Setup!$B$12,0))</f>
        <v/>
      </c>
      <c r="N63" s="13">
        <f>IF($D63="","",SUM($J63:$M63))</f>
        <v/>
      </c>
      <c r="O63" s="13">
        <f>IF($A63="","",SUMIFS(Payments!$F:$F,Payments!$D:$D,$A63))</f>
        <v/>
      </c>
      <c r="P63" s="13">
        <f>IF($D63="","",MAX(0,$N63-$O63))</f>
        <v/>
      </c>
      <c r="Q63" s="2">
        <f>IF($D63="","",IF(IFERROR(INDEX(Units_Owners!$I$5:$I$504,MATCH($D63,Units_Owners!$A$5:$A$504,0)),"No")&lt;&gt;"Yes","Skip - Inactive",IF($P63=0,"Paid",IF(TODAY()&gt;$I63,"Past Due","Open"))))</f>
        <v/>
      </c>
      <c r="R63" s="12" t="n"/>
      <c r="S63" s="2" t="n"/>
    </row>
    <row r="64">
      <c r="A64" s="2">
        <f>IF($D64="","","INV-"&amp;$B64&amp;"-"&amp;$C64&amp;"-"&amp;TEXT(ROW(A60),"0000"))</f>
        <v/>
      </c>
      <c r="B64" s="2">
        <f>Setup!$B$5</f>
        <v/>
      </c>
      <c r="C64" s="2">
        <f>Setup!$B$6</f>
        <v/>
      </c>
      <c r="D64" s="2">
        <f>IFERROR(INDEX(Units_Owners!$A$5:$A$504,ROWS($A$5:A64)),"")</f>
        <v/>
      </c>
      <c r="E64" s="2">
        <f>IF($D64="","",IFERROR(INDEX(Units_Owners!$B$5:$B$504,MATCH($D64,Units_Owners!$A$5:$A$504,0)),""))</f>
        <v/>
      </c>
      <c r="F64" s="2">
        <f>IF($D64="","",IFERROR(INDEX(Units_Owners!$C$5:$C$504,MATCH($D64,Units_Owners!$A$5:$A$504,0)),""))</f>
        <v/>
      </c>
      <c r="G64" s="2">
        <f>IF($D64="","",IFERROR(INDEX(Units_Owners!$D$5:$D$504,MATCH($D64,Units_Owners!$A$5:$A$504,0)),""))</f>
        <v/>
      </c>
      <c r="H64" s="12">
        <f>Setup!$B$7</f>
        <v/>
      </c>
      <c r="I64" s="12">
        <f>Setup!$B$8</f>
        <v/>
      </c>
      <c r="J64" s="13">
        <f>IF($D64="","",IFERROR(INDEX(Units_Owners!$J$5:$J$504,MATCH($D64,Units_Owners!$A$5:$A$504,0)),0)+SUMIFS(Ledger!$F:$F,Ledger!$B:$B,$D64,Ledger!$D:$D,"&lt;"&amp;$H64)-SUMIFS(Ledger!$G:$G,Ledger!$B:$B,$D64,Ledger!$D:$D,"&lt;"&amp;$H64))</f>
        <v/>
      </c>
      <c r="K64" s="13">
        <f>IF($D64="","",IFERROR(INDEX(Units_Owners!$H$5:$H$504,MATCH($D64,Units_Owners!$A$5:$A$504,0)),Setup!$B$10))</f>
        <v/>
      </c>
      <c r="L64" s="13">
        <f>IF($D64="","",Setup!$B$11)</f>
        <v/>
      </c>
      <c r="M64" s="13">
        <f>IF($D64="","",IF(AND(TODAY()&gt;=Setup!$B$9,$P64&gt;0),Setup!$B$12,0))</f>
        <v/>
      </c>
      <c r="N64" s="13">
        <f>IF($D64="","",SUM($J64:$M64))</f>
        <v/>
      </c>
      <c r="O64" s="13">
        <f>IF($A64="","",SUMIFS(Payments!$F:$F,Payments!$D:$D,$A64))</f>
        <v/>
      </c>
      <c r="P64" s="13">
        <f>IF($D64="","",MAX(0,$N64-$O64))</f>
        <v/>
      </c>
      <c r="Q64" s="2">
        <f>IF($D64="","",IF(IFERROR(INDEX(Units_Owners!$I$5:$I$504,MATCH($D64,Units_Owners!$A$5:$A$504,0)),"No")&lt;&gt;"Yes","Skip - Inactive",IF($P64=0,"Paid",IF(TODAY()&gt;$I64,"Past Due","Open"))))</f>
        <v/>
      </c>
      <c r="R64" s="14" t="n"/>
      <c r="S64" s="6" t="n"/>
    </row>
    <row r="65">
      <c r="A65" s="2">
        <f>IF($D65="","","INV-"&amp;$B65&amp;"-"&amp;$C65&amp;"-"&amp;TEXT(ROW(A61),"0000"))</f>
        <v/>
      </c>
      <c r="B65" s="2">
        <f>Setup!$B$5</f>
        <v/>
      </c>
      <c r="C65" s="2">
        <f>Setup!$B$6</f>
        <v/>
      </c>
      <c r="D65" s="2">
        <f>IFERROR(INDEX(Units_Owners!$A$5:$A$504,ROWS($A$5:A65)),"")</f>
        <v/>
      </c>
      <c r="E65" s="2">
        <f>IF($D65="","",IFERROR(INDEX(Units_Owners!$B$5:$B$504,MATCH($D65,Units_Owners!$A$5:$A$504,0)),""))</f>
        <v/>
      </c>
      <c r="F65" s="2">
        <f>IF($D65="","",IFERROR(INDEX(Units_Owners!$C$5:$C$504,MATCH($D65,Units_Owners!$A$5:$A$504,0)),""))</f>
        <v/>
      </c>
      <c r="G65" s="2">
        <f>IF($D65="","",IFERROR(INDEX(Units_Owners!$D$5:$D$504,MATCH($D65,Units_Owners!$A$5:$A$504,0)),""))</f>
        <v/>
      </c>
      <c r="H65" s="12">
        <f>Setup!$B$7</f>
        <v/>
      </c>
      <c r="I65" s="12">
        <f>Setup!$B$8</f>
        <v/>
      </c>
      <c r="J65" s="13">
        <f>IF($D65="","",IFERROR(INDEX(Units_Owners!$J$5:$J$504,MATCH($D65,Units_Owners!$A$5:$A$504,0)),0)+SUMIFS(Ledger!$F:$F,Ledger!$B:$B,$D65,Ledger!$D:$D,"&lt;"&amp;$H65)-SUMIFS(Ledger!$G:$G,Ledger!$B:$B,$D65,Ledger!$D:$D,"&lt;"&amp;$H65))</f>
        <v/>
      </c>
      <c r="K65" s="13">
        <f>IF($D65="","",IFERROR(INDEX(Units_Owners!$H$5:$H$504,MATCH($D65,Units_Owners!$A$5:$A$504,0)),Setup!$B$10))</f>
        <v/>
      </c>
      <c r="L65" s="13">
        <f>IF($D65="","",Setup!$B$11)</f>
        <v/>
      </c>
      <c r="M65" s="13">
        <f>IF($D65="","",IF(AND(TODAY()&gt;=Setup!$B$9,$P65&gt;0),Setup!$B$12,0))</f>
        <v/>
      </c>
      <c r="N65" s="13">
        <f>IF($D65="","",SUM($J65:$M65))</f>
        <v/>
      </c>
      <c r="O65" s="13">
        <f>IF($A65="","",SUMIFS(Payments!$F:$F,Payments!$D:$D,$A65))</f>
        <v/>
      </c>
      <c r="P65" s="13">
        <f>IF($D65="","",MAX(0,$N65-$O65))</f>
        <v/>
      </c>
      <c r="Q65" s="2">
        <f>IF($D65="","",IF(IFERROR(INDEX(Units_Owners!$I$5:$I$504,MATCH($D65,Units_Owners!$A$5:$A$504,0)),"No")&lt;&gt;"Yes","Skip - Inactive",IF($P65=0,"Paid",IF(TODAY()&gt;$I65,"Past Due","Open"))))</f>
        <v/>
      </c>
      <c r="R65" s="12" t="n"/>
      <c r="S65" s="2" t="n"/>
    </row>
    <row r="66">
      <c r="A66" s="2">
        <f>IF($D66="","","INV-"&amp;$B66&amp;"-"&amp;$C66&amp;"-"&amp;TEXT(ROW(A62),"0000"))</f>
        <v/>
      </c>
      <c r="B66" s="2">
        <f>Setup!$B$5</f>
        <v/>
      </c>
      <c r="C66" s="2">
        <f>Setup!$B$6</f>
        <v/>
      </c>
      <c r="D66" s="2">
        <f>IFERROR(INDEX(Units_Owners!$A$5:$A$504,ROWS($A$5:A66)),"")</f>
        <v/>
      </c>
      <c r="E66" s="2">
        <f>IF($D66="","",IFERROR(INDEX(Units_Owners!$B$5:$B$504,MATCH($D66,Units_Owners!$A$5:$A$504,0)),""))</f>
        <v/>
      </c>
      <c r="F66" s="2">
        <f>IF($D66="","",IFERROR(INDEX(Units_Owners!$C$5:$C$504,MATCH($D66,Units_Owners!$A$5:$A$504,0)),""))</f>
        <v/>
      </c>
      <c r="G66" s="2">
        <f>IF($D66="","",IFERROR(INDEX(Units_Owners!$D$5:$D$504,MATCH($D66,Units_Owners!$A$5:$A$504,0)),""))</f>
        <v/>
      </c>
      <c r="H66" s="12">
        <f>Setup!$B$7</f>
        <v/>
      </c>
      <c r="I66" s="12">
        <f>Setup!$B$8</f>
        <v/>
      </c>
      <c r="J66" s="13">
        <f>IF($D66="","",IFERROR(INDEX(Units_Owners!$J$5:$J$504,MATCH($D66,Units_Owners!$A$5:$A$504,0)),0)+SUMIFS(Ledger!$F:$F,Ledger!$B:$B,$D66,Ledger!$D:$D,"&lt;"&amp;$H66)-SUMIFS(Ledger!$G:$G,Ledger!$B:$B,$D66,Ledger!$D:$D,"&lt;"&amp;$H66))</f>
        <v/>
      </c>
      <c r="K66" s="13">
        <f>IF($D66="","",IFERROR(INDEX(Units_Owners!$H$5:$H$504,MATCH($D66,Units_Owners!$A$5:$A$504,0)),Setup!$B$10))</f>
        <v/>
      </c>
      <c r="L66" s="13">
        <f>IF($D66="","",Setup!$B$11)</f>
        <v/>
      </c>
      <c r="M66" s="13">
        <f>IF($D66="","",IF(AND(TODAY()&gt;=Setup!$B$9,$P66&gt;0),Setup!$B$12,0))</f>
        <v/>
      </c>
      <c r="N66" s="13">
        <f>IF($D66="","",SUM($J66:$M66))</f>
        <v/>
      </c>
      <c r="O66" s="13">
        <f>IF($A66="","",SUMIFS(Payments!$F:$F,Payments!$D:$D,$A66))</f>
        <v/>
      </c>
      <c r="P66" s="13">
        <f>IF($D66="","",MAX(0,$N66-$O66))</f>
        <v/>
      </c>
      <c r="Q66" s="2">
        <f>IF($D66="","",IF(IFERROR(INDEX(Units_Owners!$I$5:$I$504,MATCH($D66,Units_Owners!$A$5:$A$504,0)),"No")&lt;&gt;"Yes","Skip - Inactive",IF($P66=0,"Paid",IF(TODAY()&gt;$I66,"Past Due","Open"))))</f>
        <v/>
      </c>
      <c r="R66" s="14" t="n"/>
      <c r="S66" s="6" t="n"/>
    </row>
    <row r="67">
      <c r="A67" s="2">
        <f>IF($D67="","","INV-"&amp;$B67&amp;"-"&amp;$C67&amp;"-"&amp;TEXT(ROW(A63),"0000"))</f>
        <v/>
      </c>
      <c r="B67" s="2">
        <f>Setup!$B$5</f>
        <v/>
      </c>
      <c r="C67" s="2">
        <f>Setup!$B$6</f>
        <v/>
      </c>
      <c r="D67" s="2">
        <f>IFERROR(INDEX(Units_Owners!$A$5:$A$504,ROWS($A$5:A67)),"")</f>
        <v/>
      </c>
      <c r="E67" s="2">
        <f>IF($D67="","",IFERROR(INDEX(Units_Owners!$B$5:$B$504,MATCH($D67,Units_Owners!$A$5:$A$504,0)),""))</f>
        <v/>
      </c>
      <c r="F67" s="2">
        <f>IF($D67="","",IFERROR(INDEX(Units_Owners!$C$5:$C$504,MATCH($D67,Units_Owners!$A$5:$A$504,0)),""))</f>
        <v/>
      </c>
      <c r="G67" s="2">
        <f>IF($D67="","",IFERROR(INDEX(Units_Owners!$D$5:$D$504,MATCH($D67,Units_Owners!$A$5:$A$504,0)),""))</f>
        <v/>
      </c>
      <c r="H67" s="12">
        <f>Setup!$B$7</f>
        <v/>
      </c>
      <c r="I67" s="12">
        <f>Setup!$B$8</f>
        <v/>
      </c>
      <c r="J67" s="13">
        <f>IF($D67="","",IFERROR(INDEX(Units_Owners!$J$5:$J$504,MATCH($D67,Units_Owners!$A$5:$A$504,0)),0)+SUMIFS(Ledger!$F:$F,Ledger!$B:$B,$D67,Ledger!$D:$D,"&lt;"&amp;$H67)-SUMIFS(Ledger!$G:$G,Ledger!$B:$B,$D67,Ledger!$D:$D,"&lt;"&amp;$H67))</f>
        <v/>
      </c>
      <c r="K67" s="13">
        <f>IF($D67="","",IFERROR(INDEX(Units_Owners!$H$5:$H$504,MATCH($D67,Units_Owners!$A$5:$A$504,0)),Setup!$B$10))</f>
        <v/>
      </c>
      <c r="L67" s="13">
        <f>IF($D67="","",Setup!$B$11)</f>
        <v/>
      </c>
      <c r="M67" s="13">
        <f>IF($D67="","",IF(AND(TODAY()&gt;=Setup!$B$9,$P67&gt;0),Setup!$B$12,0))</f>
        <v/>
      </c>
      <c r="N67" s="13">
        <f>IF($D67="","",SUM($J67:$M67))</f>
        <v/>
      </c>
      <c r="O67" s="13">
        <f>IF($A67="","",SUMIFS(Payments!$F:$F,Payments!$D:$D,$A67))</f>
        <v/>
      </c>
      <c r="P67" s="13">
        <f>IF($D67="","",MAX(0,$N67-$O67))</f>
        <v/>
      </c>
      <c r="Q67" s="2">
        <f>IF($D67="","",IF(IFERROR(INDEX(Units_Owners!$I$5:$I$504,MATCH($D67,Units_Owners!$A$5:$A$504,0)),"No")&lt;&gt;"Yes","Skip - Inactive",IF($P67=0,"Paid",IF(TODAY()&gt;$I67,"Past Due","Open"))))</f>
        <v/>
      </c>
      <c r="R67" s="12" t="n"/>
      <c r="S67" s="2" t="n"/>
    </row>
    <row r="68">
      <c r="A68" s="2">
        <f>IF($D68="","","INV-"&amp;$B68&amp;"-"&amp;$C68&amp;"-"&amp;TEXT(ROW(A64),"0000"))</f>
        <v/>
      </c>
      <c r="B68" s="2">
        <f>Setup!$B$5</f>
        <v/>
      </c>
      <c r="C68" s="2">
        <f>Setup!$B$6</f>
        <v/>
      </c>
      <c r="D68" s="2">
        <f>IFERROR(INDEX(Units_Owners!$A$5:$A$504,ROWS($A$5:A68)),"")</f>
        <v/>
      </c>
      <c r="E68" s="2">
        <f>IF($D68="","",IFERROR(INDEX(Units_Owners!$B$5:$B$504,MATCH($D68,Units_Owners!$A$5:$A$504,0)),""))</f>
        <v/>
      </c>
      <c r="F68" s="2">
        <f>IF($D68="","",IFERROR(INDEX(Units_Owners!$C$5:$C$504,MATCH($D68,Units_Owners!$A$5:$A$504,0)),""))</f>
        <v/>
      </c>
      <c r="G68" s="2">
        <f>IF($D68="","",IFERROR(INDEX(Units_Owners!$D$5:$D$504,MATCH($D68,Units_Owners!$A$5:$A$504,0)),""))</f>
        <v/>
      </c>
      <c r="H68" s="12">
        <f>Setup!$B$7</f>
        <v/>
      </c>
      <c r="I68" s="12">
        <f>Setup!$B$8</f>
        <v/>
      </c>
      <c r="J68" s="13">
        <f>IF($D68="","",IFERROR(INDEX(Units_Owners!$J$5:$J$504,MATCH($D68,Units_Owners!$A$5:$A$504,0)),0)+SUMIFS(Ledger!$F:$F,Ledger!$B:$B,$D68,Ledger!$D:$D,"&lt;"&amp;$H68)-SUMIFS(Ledger!$G:$G,Ledger!$B:$B,$D68,Ledger!$D:$D,"&lt;"&amp;$H68))</f>
        <v/>
      </c>
      <c r="K68" s="13">
        <f>IF($D68="","",IFERROR(INDEX(Units_Owners!$H$5:$H$504,MATCH($D68,Units_Owners!$A$5:$A$504,0)),Setup!$B$10))</f>
        <v/>
      </c>
      <c r="L68" s="13">
        <f>IF($D68="","",Setup!$B$11)</f>
        <v/>
      </c>
      <c r="M68" s="13">
        <f>IF($D68="","",IF(AND(TODAY()&gt;=Setup!$B$9,$P68&gt;0),Setup!$B$12,0))</f>
        <v/>
      </c>
      <c r="N68" s="13">
        <f>IF($D68="","",SUM($J68:$M68))</f>
        <v/>
      </c>
      <c r="O68" s="13">
        <f>IF($A68="","",SUMIFS(Payments!$F:$F,Payments!$D:$D,$A68))</f>
        <v/>
      </c>
      <c r="P68" s="13">
        <f>IF($D68="","",MAX(0,$N68-$O68))</f>
        <v/>
      </c>
      <c r="Q68" s="2">
        <f>IF($D68="","",IF(IFERROR(INDEX(Units_Owners!$I$5:$I$504,MATCH($D68,Units_Owners!$A$5:$A$504,0)),"No")&lt;&gt;"Yes","Skip - Inactive",IF($P68=0,"Paid",IF(TODAY()&gt;$I68,"Past Due","Open"))))</f>
        <v/>
      </c>
      <c r="R68" s="14" t="n"/>
      <c r="S68" s="6" t="n"/>
    </row>
    <row r="69">
      <c r="A69" s="2">
        <f>IF($D69="","","INV-"&amp;$B69&amp;"-"&amp;$C69&amp;"-"&amp;TEXT(ROW(A65),"0000"))</f>
        <v/>
      </c>
      <c r="B69" s="2">
        <f>Setup!$B$5</f>
        <v/>
      </c>
      <c r="C69" s="2">
        <f>Setup!$B$6</f>
        <v/>
      </c>
      <c r="D69" s="2">
        <f>IFERROR(INDEX(Units_Owners!$A$5:$A$504,ROWS($A$5:A69)),"")</f>
        <v/>
      </c>
      <c r="E69" s="2">
        <f>IF($D69="","",IFERROR(INDEX(Units_Owners!$B$5:$B$504,MATCH($D69,Units_Owners!$A$5:$A$504,0)),""))</f>
        <v/>
      </c>
      <c r="F69" s="2">
        <f>IF($D69="","",IFERROR(INDEX(Units_Owners!$C$5:$C$504,MATCH($D69,Units_Owners!$A$5:$A$504,0)),""))</f>
        <v/>
      </c>
      <c r="G69" s="2">
        <f>IF($D69="","",IFERROR(INDEX(Units_Owners!$D$5:$D$504,MATCH($D69,Units_Owners!$A$5:$A$504,0)),""))</f>
        <v/>
      </c>
      <c r="H69" s="12">
        <f>Setup!$B$7</f>
        <v/>
      </c>
      <c r="I69" s="12">
        <f>Setup!$B$8</f>
        <v/>
      </c>
      <c r="J69" s="13">
        <f>IF($D69="","",IFERROR(INDEX(Units_Owners!$J$5:$J$504,MATCH($D69,Units_Owners!$A$5:$A$504,0)),0)+SUMIFS(Ledger!$F:$F,Ledger!$B:$B,$D69,Ledger!$D:$D,"&lt;"&amp;$H69)-SUMIFS(Ledger!$G:$G,Ledger!$B:$B,$D69,Ledger!$D:$D,"&lt;"&amp;$H69))</f>
        <v/>
      </c>
      <c r="K69" s="13">
        <f>IF($D69="","",IFERROR(INDEX(Units_Owners!$H$5:$H$504,MATCH($D69,Units_Owners!$A$5:$A$504,0)),Setup!$B$10))</f>
        <v/>
      </c>
      <c r="L69" s="13">
        <f>IF($D69="","",Setup!$B$11)</f>
        <v/>
      </c>
      <c r="M69" s="13">
        <f>IF($D69="","",IF(AND(TODAY()&gt;=Setup!$B$9,$P69&gt;0),Setup!$B$12,0))</f>
        <v/>
      </c>
      <c r="N69" s="13">
        <f>IF($D69="","",SUM($J69:$M69))</f>
        <v/>
      </c>
      <c r="O69" s="13">
        <f>IF($A69="","",SUMIFS(Payments!$F:$F,Payments!$D:$D,$A69))</f>
        <v/>
      </c>
      <c r="P69" s="13">
        <f>IF($D69="","",MAX(0,$N69-$O69))</f>
        <v/>
      </c>
      <c r="Q69" s="2">
        <f>IF($D69="","",IF(IFERROR(INDEX(Units_Owners!$I$5:$I$504,MATCH($D69,Units_Owners!$A$5:$A$504,0)),"No")&lt;&gt;"Yes","Skip - Inactive",IF($P69=0,"Paid",IF(TODAY()&gt;$I69,"Past Due","Open"))))</f>
        <v/>
      </c>
      <c r="R69" s="12" t="n"/>
      <c r="S69" s="2" t="n"/>
    </row>
    <row r="70">
      <c r="A70" s="2">
        <f>IF($D70="","","INV-"&amp;$B70&amp;"-"&amp;$C70&amp;"-"&amp;TEXT(ROW(A66),"0000"))</f>
        <v/>
      </c>
      <c r="B70" s="2">
        <f>Setup!$B$5</f>
        <v/>
      </c>
      <c r="C70" s="2">
        <f>Setup!$B$6</f>
        <v/>
      </c>
      <c r="D70" s="2">
        <f>IFERROR(INDEX(Units_Owners!$A$5:$A$504,ROWS($A$5:A70)),"")</f>
        <v/>
      </c>
      <c r="E70" s="2">
        <f>IF($D70="","",IFERROR(INDEX(Units_Owners!$B$5:$B$504,MATCH($D70,Units_Owners!$A$5:$A$504,0)),""))</f>
        <v/>
      </c>
      <c r="F70" s="2">
        <f>IF($D70="","",IFERROR(INDEX(Units_Owners!$C$5:$C$504,MATCH($D70,Units_Owners!$A$5:$A$504,0)),""))</f>
        <v/>
      </c>
      <c r="G70" s="2">
        <f>IF($D70="","",IFERROR(INDEX(Units_Owners!$D$5:$D$504,MATCH($D70,Units_Owners!$A$5:$A$504,0)),""))</f>
        <v/>
      </c>
      <c r="H70" s="12">
        <f>Setup!$B$7</f>
        <v/>
      </c>
      <c r="I70" s="12">
        <f>Setup!$B$8</f>
        <v/>
      </c>
      <c r="J70" s="13">
        <f>IF($D70="","",IFERROR(INDEX(Units_Owners!$J$5:$J$504,MATCH($D70,Units_Owners!$A$5:$A$504,0)),0)+SUMIFS(Ledger!$F:$F,Ledger!$B:$B,$D70,Ledger!$D:$D,"&lt;"&amp;$H70)-SUMIFS(Ledger!$G:$G,Ledger!$B:$B,$D70,Ledger!$D:$D,"&lt;"&amp;$H70))</f>
        <v/>
      </c>
      <c r="K70" s="13">
        <f>IF($D70="","",IFERROR(INDEX(Units_Owners!$H$5:$H$504,MATCH($D70,Units_Owners!$A$5:$A$504,0)),Setup!$B$10))</f>
        <v/>
      </c>
      <c r="L70" s="13">
        <f>IF($D70="","",Setup!$B$11)</f>
        <v/>
      </c>
      <c r="M70" s="13">
        <f>IF($D70="","",IF(AND(TODAY()&gt;=Setup!$B$9,$P70&gt;0),Setup!$B$12,0))</f>
        <v/>
      </c>
      <c r="N70" s="13">
        <f>IF($D70="","",SUM($J70:$M70))</f>
        <v/>
      </c>
      <c r="O70" s="13">
        <f>IF($A70="","",SUMIFS(Payments!$F:$F,Payments!$D:$D,$A70))</f>
        <v/>
      </c>
      <c r="P70" s="13">
        <f>IF($D70="","",MAX(0,$N70-$O70))</f>
        <v/>
      </c>
      <c r="Q70" s="2">
        <f>IF($D70="","",IF(IFERROR(INDEX(Units_Owners!$I$5:$I$504,MATCH($D70,Units_Owners!$A$5:$A$504,0)),"No")&lt;&gt;"Yes","Skip - Inactive",IF($P70=0,"Paid",IF(TODAY()&gt;$I70,"Past Due","Open"))))</f>
        <v/>
      </c>
      <c r="R70" s="14" t="n"/>
      <c r="S70" s="6" t="n"/>
    </row>
    <row r="71">
      <c r="A71" s="2">
        <f>IF($D71="","","INV-"&amp;$B71&amp;"-"&amp;$C71&amp;"-"&amp;TEXT(ROW(A67),"0000"))</f>
        <v/>
      </c>
      <c r="B71" s="2">
        <f>Setup!$B$5</f>
        <v/>
      </c>
      <c r="C71" s="2">
        <f>Setup!$B$6</f>
        <v/>
      </c>
      <c r="D71" s="2">
        <f>IFERROR(INDEX(Units_Owners!$A$5:$A$504,ROWS($A$5:A71)),"")</f>
        <v/>
      </c>
      <c r="E71" s="2">
        <f>IF($D71="","",IFERROR(INDEX(Units_Owners!$B$5:$B$504,MATCH($D71,Units_Owners!$A$5:$A$504,0)),""))</f>
        <v/>
      </c>
      <c r="F71" s="2">
        <f>IF($D71="","",IFERROR(INDEX(Units_Owners!$C$5:$C$504,MATCH($D71,Units_Owners!$A$5:$A$504,0)),""))</f>
        <v/>
      </c>
      <c r="G71" s="2">
        <f>IF($D71="","",IFERROR(INDEX(Units_Owners!$D$5:$D$504,MATCH($D71,Units_Owners!$A$5:$A$504,0)),""))</f>
        <v/>
      </c>
      <c r="H71" s="12">
        <f>Setup!$B$7</f>
        <v/>
      </c>
      <c r="I71" s="12">
        <f>Setup!$B$8</f>
        <v/>
      </c>
      <c r="J71" s="13">
        <f>IF($D71="","",IFERROR(INDEX(Units_Owners!$J$5:$J$504,MATCH($D71,Units_Owners!$A$5:$A$504,0)),0)+SUMIFS(Ledger!$F:$F,Ledger!$B:$B,$D71,Ledger!$D:$D,"&lt;"&amp;$H71)-SUMIFS(Ledger!$G:$G,Ledger!$B:$B,$D71,Ledger!$D:$D,"&lt;"&amp;$H71))</f>
        <v/>
      </c>
      <c r="K71" s="13">
        <f>IF($D71="","",IFERROR(INDEX(Units_Owners!$H$5:$H$504,MATCH($D71,Units_Owners!$A$5:$A$504,0)),Setup!$B$10))</f>
        <v/>
      </c>
      <c r="L71" s="13">
        <f>IF($D71="","",Setup!$B$11)</f>
        <v/>
      </c>
      <c r="M71" s="13">
        <f>IF($D71="","",IF(AND(TODAY()&gt;=Setup!$B$9,$P71&gt;0),Setup!$B$12,0))</f>
        <v/>
      </c>
      <c r="N71" s="13">
        <f>IF($D71="","",SUM($J71:$M71))</f>
        <v/>
      </c>
      <c r="O71" s="13">
        <f>IF($A71="","",SUMIFS(Payments!$F:$F,Payments!$D:$D,$A71))</f>
        <v/>
      </c>
      <c r="P71" s="13">
        <f>IF($D71="","",MAX(0,$N71-$O71))</f>
        <v/>
      </c>
      <c r="Q71" s="2">
        <f>IF($D71="","",IF(IFERROR(INDEX(Units_Owners!$I$5:$I$504,MATCH($D71,Units_Owners!$A$5:$A$504,0)),"No")&lt;&gt;"Yes","Skip - Inactive",IF($P71=0,"Paid",IF(TODAY()&gt;$I71,"Past Due","Open"))))</f>
        <v/>
      </c>
      <c r="R71" s="12" t="n"/>
      <c r="S71" s="2" t="n"/>
    </row>
    <row r="72">
      <c r="A72" s="2">
        <f>IF($D72="","","INV-"&amp;$B72&amp;"-"&amp;$C72&amp;"-"&amp;TEXT(ROW(A68),"0000"))</f>
        <v/>
      </c>
      <c r="B72" s="2">
        <f>Setup!$B$5</f>
        <v/>
      </c>
      <c r="C72" s="2">
        <f>Setup!$B$6</f>
        <v/>
      </c>
      <c r="D72" s="2">
        <f>IFERROR(INDEX(Units_Owners!$A$5:$A$504,ROWS($A$5:A72)),"")</f>
        <v/>
      </c>
      <c r="E72" s="2">
        <f>IF($D72="","",IFERROR(INDEX(Units_Owners!$B$5:$B$504,MATCH($D72,Units_Owners!$A$5:$A$504,0)),""))</f>
        <v/>
      </c>
      <c r="F72" s="2">
        <f>IF($D72="","",IFERROR(INDEX(Units_Owners!$C$5:$C$504,MATCH($D72,Units_Owners!$A$5:$A$504,0)),""))</f>
        <v/>
      </c>
      <c r="G72" s="2">
        <f>IF($D72="","",IFERROR(INDEX(Units_Owners!$D$5:$D$504,MATCH($D72,Units_Owners!$A$5:$A$504,0)),""))</f>
        <v/>
      </c>
      <c r="H72" s="12">
        <f>Setup!$B$7</f>
        <v/>
      </c>
      <c r="I72" s="12">
        <f>Setup!$B$8</f>
        <v/>
      </c>
      <c r="J72" s="13">
        <f>IF($D72="","",IFERROR(INDEX(Units_Owners!$J$5:$J$504,MATCH($D72,Units_Owners!$A$5:$A$504,0)),0)+SUMIFS(Ledger!$F:$F,Ledger!$B:$B,$D72,Ledger!$D:$D,"&lt;"&amp;$H72)-SUMIFS(Ledger!$G:$G,Ledger!$B:$B,$D72,Ledger!$D:$D,"&lt;"&amp;$H72))</f>
        <v/>
      </c>
      <c r="K72" s="13">
        <f>IF($D72="","",IFERROR(INDEX(Units_Owners!$H$5:$H$504,MATCH($D72,Units_Owners!$A$5:$A$504,0)),Setup!$B$10))</f>
        <v/>
      </c>
      <c r="L72" s="13">
        <f>IF($D72="","",Setup!$B$11)</f>
        <v/>
      </c>
      <c r="M72" s="13">
        <f>IF($D72="","",IF(AND(TODAY()&gt;=Setup!$B$9,$P72&gt;0),Setup!$B$12,0))</f>
        <v/>
      </c>
      <c r="N72" s="13">
        <f>IF($D72="","",SUM($J72:$M72))</f>
        <v/>
      </c>
      <c r="O72" s="13">
        <f>IF($A72="","",SUMIFS(Payments!$F:$F,Payments!$D:$D,$A72))</f>
        <v/>
      </c>
      <c r="P72" s="13">
        <f>IF($D72="","",MAX(0,$N72-$O72))</f>
        <v/>
      </c>
      <c r="Q72" s="2">
        <f>IF($D72="","",IF(IFERROR(INDEX(Units_Owners!$I$5:$I$504,MATCH($D72,Units_Owners!$A$5:$A$504,0)),"No")&lt;&gt;"Yes","Skip - Inactive",IF($P72=0,"Paid",IF(TODAY()&gt;$I72,"Past Due","Open"))))</f>
        <v/>
      </c>
      <c r="R72" s="14" t="n"/>
      <c r="S72" s="6" t="n"/>
    </row>
    <row r="73">
      <c r="A73" s="2">
        <f>IF($D73="","","INV-"&amp;$B73&amp;"-"&amp;$C73&amp;"-"&amp;TEXT(ROW(A69),"0000"))</f>
        <v/>
      </c>
      <c r="B73" s="2">
        <f>Setup!$B$5</f>
        <v/>
      </c>
      <c r="C73" s="2">
        <f>Setup!$B$6</f>
        <v/>
      </c>
      <c r="D73" s="2">
        <f>IFERROR(INDEX(Units_Owners!$A$5:$A$504,ROWS($A$5:A73)),"")</f>
        <v/>
      </c>
      <c r="E73" s="2">
        <f>IF($D73="","",IFERROR(INDEX(Units_Owners!$B$5:$B$504,MATCH($D73,Units_Owners!$A$5:$A$504,0)),""))</f>
        <v/>
      </c>
      <c r="F73" s="2">
        <f>IF($D73="","",IFERROR(INDEX(Units_Owners!$C$5:$C$504,MATCH($D73,Units_Owners!$A$5:$A$504,0)),""))</f>
        <v/>
      </c>
      <c r="G73" s="2">
        <f>IF($D73="","",IFERROR(INDEX(Units_Owners!$D$5:$D$504,MATCH($D73,Units_Owners!$A$5:$A$504,0)),""))</f>
        <v/>
      </c>
      <c r="H73" s="12">
        <f>Setup!$B$7</f>
        <v/>
      </c>
      <c r="I73" s="12">
        <f>Setup!$B$8</f>
        <v/>
      </c>
      <c r="J73" s="13">
        <f>IF($D73="","",IFERROR(INDEX(Units_Owners!$J$5:$J$504,MATCH($D73,Units_Owners!$A$5:$A$504,0)),0)+SUMIFS(Ledger!$F:$F,Ledger!$B:$B,$D73,Ledger!$D:$D,"&lt;"&amp;$H73)-SUMIFS(Ledger!$G:$G,Ledger!$B:$B,$D73,Ledger!$D:$D,"&lt;"&amp;$H73))</f>
        <v/>
      </c>
      <c r="K73" s="13">
        <f>IF($D73="","",IFERROR(INDEX(Units_Owners!$H$5:$H$504,MATCH($D73,Units_Owners!$A$5:$A$504,0)),Setup!$B$10))</f>
        <v/>
      </c>
      <c r="L73" s="13">
        <f>IF($D73="","",Setup!$B$11)</f>
        <v/>
      </c>
      <c r="M73" s="13">
        <f>IF($D73="","",IF(AND(TODAY()&gt;=Setup!$B$9,$P73&gt;0),Setup!$B$12,0))</f>
        <v/>
      </c>
      <c r="N73" s="13">
        <f>IF($D73="","",SUM($J73:$M73))</f>
        <v/>
      </c>
      <c r="O73" s="13">
        <f>IF($A73="","",SUMIFS(Payments!$F:$F,Payments!$D:$D,$A73))</f>
        <v/>
      </c>
      <c r="P73" s="13">
        <f>IF($D73="","",MAX(0,$N73-$O73))</f>
        <v/>
      </c>
      <c r="Q73" s="2">
        <f>IF($D73="","",IF(IFERROR(INDEX(Units_Owners!$I$5:$I$504,MATCH($D73,Units_Owners!$A$5:$A$504,0)),"No")&lt;&gt;"Yes","Skip - Inactive",IF($P73=0,"Paid",IF(TODAY()&gt;$I73,"Past Due","Open"))))</f>
        <v/>
      </c>
      <c r="R73" s="12" t="n"/>
      <c r="S73" s="2" t="n"/>
    </row>
    <row r="74">
      <c r="A74" s="2">
        <f>IF($D74="","","INV-"&amp;$B74&amp;"-"&amp;$C74&amp;"-"&amp;TEXT(ROW(A70),"0000"))</f>
        <v/>
      </c>
      <c r="B74" s="2">
        <f>Setup!$B$5</f>
        <v/>
      </c>
      <c r="C74" s="2">
        <f>Setup!$B$6</f>
        <v/>
      </c>
      <c r="D74" s="2">
        <f>IFERROR(INDEX(Units_Owners!$A$5:$A$504,ROWS($A$5:A74)),"")</f>
        <v/>
      </c>
      <c r="E74" s="2">
        <f>IF($D74="","",IFERROR(INDEX(Units_Owners!$B$5:$B$504,MATCH($D74,Units_Owners!$A$5:$A$504,0)),""))</f>
        <v/>
      </c>
      <c r="F74" s="2">
        <f>IF($D74="","",IFERROR(INDEX(Units_Owners!$C$5:$C$504,MATCH($D74,Units_Owners!$A$5:$A$504,0)),""))</f>
        <v/>
      </c>
      <c r="G74" s="2">
        <f>IF($D74="","",IFERROR(INDEX(Units_Owners!$D$5:$D$504,MATCH($D74,Units_Owners!$A$5:$A$504,0)),""))</f>
        <v/>
      </c>
      <c r="H74" s="12">
        <f>Setup!$B$7</f>
        <v/>
      </c>
      <c r="I74" s="12">
        <f>Setup!$B$8</f>
        <v/>
      </c>
      <c r="J74" s="13">
        <f>IF($D74="","",IFERROR(INDEX(Units_Owners!$J$5:$J$504,MATCH($D74,Units_Owners!$A$5:$A$504,0)),0)+SUMIFS(Ledger!$F:$F,Ledger!$B:$B,$D74,Ledger!$D:$D,"&lt;"&amp;$H74)-SUMIFS(Ledger!$G:$G,Ledger!$B:$B,$D74,Ledger!$D:$D,"&lt;"&amp;$H74))</f>
        <v/>
      </c>
      <c r="K74" s="13">
        <f>IF($D74="","",IFERROR(INDEX(Units_Owners!$H$5:$H$504,MATCH($D74,Units_Owners!$A$5:$A$504,0)),Setup!$B$10))</f>
        <v/>
      </c>
      <c r="L74" s="13">
        <f>IF($D74="","",Setup!$B$11)</f>
        <v/>
      </c>
      <c r="M74" s="13">
        <f>IF($D74="","",IF(AND(TODAY()&gt;=Setup!$B$9,$P74&gt;0),Setup!$B$12,0))</f>
        <v/>
      </c>
      <c r="N74" s="13">
        <f>IF($D74="","",SUM($J74:$M74))</f>
        <v/>
      </c>
      <c r="O74" s="13">
        <f>IF($A74="","",SUMIFS(Payments!$F:$F,Payments!$D:$D,$A74))</f>
        <v/>
      </c>
      <c r="P74" s="13">
        <f>IF($D74="","",MAX(0,$N74-$O74))</f>
        <v/>
      </c>
      <c r="Q74" s="2">
        <f>IF($D74="","",IF(IFERROR(INDEX(Units_Owners!$I$5:$I$504,MATCH($D74,Units_Owners!$A$5:$A$504,0)),"No")&lt;&gt;"Yes","Skip - Inactive",IF($P74=0,"Paid",IF(TODAY()&gt;$I74,"Past Due","Open"))))</f>
        <v/>
      </c>
      <c r="R74" s="14" t="n"/>
      <c r="S74" s="6" t="n"/>
    </row>
    <row r="75">
      <c r="A75" s="2">
        <f>IF($D75="","","INV-"&amp;$B75&amp;"-"&amp;$C75&amp;"-"&amp;TEXT(ROW(A71),"0000"))</f>
        <v/>
      </c>
      <c r="B75" s="2">
        <f>Setup!$B$5</f>
        <v/>
      </c>
      <c r="C75" s="2">
        <f>Setup!$B$6</f>
        <v/>
      </c>
      <c r="D75" s="2">
        <f>IFERROR(INDEX(Units_Owners!$A$5:$A$504,ROWS($A$5:A75)),"")</f>
        <v/>
      </c>
      <c r="E75" s="2">
        <f>IF($D75="","",IFERROR(INDEX(Units_Owners!$B$5:$B$504,MATCH($D75,Units_Owners!$A$5:$A$504,0)),""))</f>
        <v/>
      </c>
      <c r="F75" s="2">
        <f>IF($D75="","",IFERROR(INDEX(Units_Owners!$C$5:$C$504,MATCH($D75,Units_Owners!$A$5:$A$504,0)),""))</f>
        <v/>
      </c>
      <c r="G75" s="2">
        <f>IF($D75="","",IFERROR(INDEX(Units_Owners!$D$5:$D$504,MATCH($D75,Units_Owners!$A$5:$A$504,0)),""))</f>
        <v/>
      </c>
      <c r="H75" s="12">
        <f>Setup!$B$7</f>
        <v/>
      </c>
      <c r="I75" s="12">
        <f>Setup!$B$8</f>
        <v/>
      </c>
      <c r="J75" s="13">
        <f>IF($D75="","",IFERROR(INDEX(Units_Owners!$J$5:$J$504,MATCH($D75,Units_Owners!$A$5:$A$504,0)),0)+SUMIFS(Ledger!$F:$F,Ledger!$B:$B,$D75,Ledger!$D:$D,"&lt;"&amp;$H75)-SUMIFS(Ledger!$G:$G,Ledger!$B:$B,$D75,Ledger!$D:$D,"&lt;"&amp;$H75))</f>
        <v/>
      </c>
      <c r="K75" s="13">
        <f>IF($D75="","",IFERROR(INDEX(Units_Owners!$H$5:$H$504,MATCH($D75,Units_Owners!$A$5:$A$504,0)),Setup!$B$10))</f>
        <v/>
      </c>
      <c r="L75" s="13">
        <f>IF($D75="","",Setup!$B$11)</f>
        <v/>
      </c>
      <c r="M75" s="13">
        <f>IF($D75="","",IF(AND(TODAY()&gt;=Setup!$B$9,$P75&gt;0),Setup!$B$12,0))</f>
        <v/>
      </c>
      <c r="N75" s="13">
        <f>IF($D75="","",SUM($J75:$M75))</f>
        <v/>
      </c>
      <c r="O75" s="13">
        <f>IF($A75="","",SUMIFS(Payments!$F:$F,Payments!$D:$D,$A75))</f>
        <v/>
      </c>
      <c r="P75" s="13">
        <f>IF($D75="","",MAX(0,$N75-$O75))</f>
        <v/>
      </c>
      <c r="Q75" s="2">
        <f>IF($D75="","",IF(IFERROR(INDEX(Units_Owners!$I$5:$I$504,MATCH($D75,Units_Owners!$A$5:$A$504,0)),"No")&lt;&gt;"Yes","Skip - Inactive",IF($P75=0,"Paid",IF(TODAY()&gt;$I75,"Past Due","Open"))))</f>
        <v/>
      </c>
      <c r="R75" s="12" t="n"/>
      <c r="S75" s="2" t="n"/>
    </row>
    <row r="76">
      <c r="A76" s="2">
        <f>IF($D76="","","INV-"&amp;$B76&amp;"-"&amp;$C76&amp;"-"&amp;TEXT(ROW(A72),"0000"))</f>
        <v/>
      </c>
      <c r="B76" s="2">
        <f>Setup!$B$5</f>
        <v/>
      </c>
      <c r="C76" s="2">
        <f>Setup!$B$6</f>
        <v/>
      </c>
      <c r="D76" s="2">
        <f>IFERROR(INDEX(Units_Owners!$A$5:$A$504,ROWS($A$5:A76)),"")</f>
        <v/>
      </c>
      <c r="E76" s="2">
        <f>IF($D76="","",IFERROR(INDEX(Units_Owners!$B$5:$B$504,MATCH($D76,Units_Owners!$A$5:$A$504,0)),""))</f>
        <v/>
      </c>
      <c r="F76" s="2">
        <f>IF($D76="","",IFERROR(INDEX(Units_Owners!$C$5:$C$504,MATCH($D76,Units_Owners!$A$5:$A$504,0)),""))</f>
        <v/>
      </c>
      <c r="G76" s="2">
        <f>IF($D76="","",IFERROR(INDEX(Units_Owners!$D$5:$D$504,MATCH($D76,Units_Owners!$A$5:$A$504,0)),""))</f>
        <v/>
      </c>
      <c r="H76" s="12">
        <f>Setup!$B$7</f>
        <v/>
      </c>
      <c r="I76" s="12">
        <f>Setup!$B$8</f>
        <v/>
      </c>
      <c r="J76" s="13">
        <f>IF($D76="","",IFERROR(INDEX(Units_Owners!$J$5:$J$504,MATCH($D76,Units_Owners!$A$5:$A$504,0)),0)+SUMIFS(Ledger!$F:$F,Ledger!$B:$B,$D76,Ledger!$D:$D,"&lt;"&amp;$H76)-SUMIFS(Ledger!$G:$G,Ledger!$B:$B,$D76,Ledger!$D:$D,"&lt;"&amp;$H76))</f>
        <v/>
      </c>
      <c r="K76" s="13">
        <f>IF($D76="","",IFERROR(INDEX(Units_Owners!$H$5:$H$504,MATCH($D76,Units_Owners!$A$5:$A$504,0)),Setup!$B$10))</f>
        <v/>
      </c>
      <c r="L76" s="13">
        <f>IF($D76="","",Setup!$B$11)</f>
        <v/>
      </c>
      <c r="M76" s="13">
        <f>IF($D76="","",IF(AND(TODAY()&gt;=Setup!$B$9,$P76&gt;0),Setup!$B$12,0))</f>
        <v/>
      </c>
      <c r="N76" s="13">
        <f>IF($D76="","",SUM($J76:$M76))</f>
        <v/>
      </c>
      <c r="O76" s="13">
        <f>IF($A76="","",SUMIFS(Payments!$F:$F,Payments!$D:$D,$A76))</f>
        <v/>
      </c>
      <c r="P76" s="13">
        <f>IF($D76="","",MAX(0,$N76-$O76))</f>
        <v/>
      </c>
      <c r="Q76" s="2">
        <f>IF($D76="","",IF(IFERROR(INDEX(Units_Owners!$I$5:$I$504,MATCH($D76,Units_Owners!$A$5:$A$504,0)),"No")&lt;&gt;"Yes","Skip - Inactive",IF($P76=0,"Paid",IF(TODAY()&gt;$I76,"Past Due","Open"))))</f>
        <v/>
      </c>
      <c r="R76" s="14" t="n"/>
      <c r="S76" s="6" t="n"/>
    </row>
    <row r="77">
      <c r="A77" s="2">
        <f>IF($D77="","","INV-"&amp;$B77&amp;"-"&amp;$C77&amp;"-"&amp;TEXT(ROW(A73),"0000"))</f>
        <v/>
      </c>
      <c r="B77" s="2">
        <f>Setup!$B$5</f>
        <v/>
      </c>
      <c r="C77" s="2">
        <f>Setup!$B$6</f>
        <v/>
      </c>
      <c r="D77" s="2">
        <f>IFERROR(INDEX(Units_Owners!$A$5:$A$504,ROWS($A$5:A77)),"")</f>
        <v/>
      </c>
      <c r="E77" s="2">
        <f>IF($D77="","",IFERROR(INDEX(Units_Owners!$B$5:$B$504,MATCH($D77,Units_Owners!$A$5:$A$504,0)),""))</f>
        <v/>
      </c>
      <c r="F77" s="2">
        <f>IF($D77="","",IFERROR(INDEX(Units_Owners!$C$5:$C$504,MATCH($D77,Units_Owners!$A$5:$A$504,0)),""))</f>
        <v/>
      </c>
      <c r="G77" s="2">
        <f>IF($D77="","",IFERROR(INDEX(Units_Owners!$D$5:$D$504,MATCH($D77,Units_Owners!$A$5:$A$504,0)),""))</f>
        <v/>
      </c>
      <c r="H77" s="12">
        <f>Setup!$B$7</f>
        <v/>
      </c>
      <c r="I77" s="12">
        <f>Setup!$B$8</f>
        <v/>
      </c>
      <c r="J77" s="13">
        <f>IF($D77="","",IFERROR(INDEX(Units_Owners!$J$5:$J$504,MATCH($D77,Units_Owners!$A$5:$A$504,0)),0)+SUMIFS(Ledger!$F:$F,Ledger!$B:$B,$D77,Ledger!$D:$D,"&lt;"&amp;$H77)-SUMIFS(Ledger!$G:$G,Ledger!$B:$B,$D77,Ledger!$D:$D,"&lt;"&amp;$H77))</f>
        <v/>
      </c>
      <c r="K77" s="13">
        <f>IF($D77="","",IFERROR(INDEX(Units_Owners!$H$5:$H$504,MATCH($D77,Units_Owners!$A$5:$A$504,0)),Setup!$B$10))</f>
        <v/>
      </c>
      <c r="L77" s="13">
        <f>IF($D77="","",Setup!$B$11)</f>
        <v/>
      </c>
      <c r="M77" s="13">
        <f>IF($D77="","",IF(AND(TODAY()&gt;=Setup!$B$9,$P77&gt;0),Setup!$B$12,0))</f>
        <v/>
      </c>
      <c r="N77" s="13">
        <f>IF($D77="","",SUM($J77:$M77))</f>
        <v/>
      </c>
      <c r="O77" s="13">
        <f>IF($A77="","",SUMIFS(Payments!$F:$F,Payments!$D:$D,$A77))</f>
        <v/>
      </c>
      <c r="P77" s="13">
        <f>IF($D77="","",MAX(0,$N77-$O77))</f>
        <v/>
      </c>
      <c r="Q77" s="2">
        <f>IF($D77="","",IF(IFERROR(INDEX(Units_Owners!$I$5:$I$504,MATCH($D77,Units_Owners!$A$5:$A$504,0)),"No")&lt;&gt;"Yes","Skip - Inactive",IF($P77=0,"Paid",IF(TODAY()&gt;$I77,"Past Due","Open"))))</f>
        <v/>
      </c>
      <c r="R77" s="12" t="n"/>
      <c r="S77" s="2" t="n"/>
    </row>
    <row r="78">
      <c r="A78" s="2">
        <f>IF($D78="","","INV-"&amp;$B78&amp;"-"&amp;$C78&amp;"-"&amp;TEXT(ROW(A74),"0000"))</f>
        <v/>
      </c>
      <c r="B78" s="2">
        <f>Setup!$B$5</f>
        <v/>
      </c>
      <c r="C78" s="2">
        <f>Setup!$B$6</f>
        <v/>
      </c>
      <c r="D78" s="2">
        <f>IFERROR(INDEX(Units_Owners!$A$5:$A$504,ROWS($A$5:A78)),"")</f>
        <v/>
      </c>
      <c r="E78" s="2">
        <f>IF($D78="","",IFERROR(INDEX(Units_Owners!$B$5:$B$504,MATCH($D78,Units_Owners!$A$5:$A$504,0)),""))</f>
        <v/>
      </c>
      <c r="F78" s="2">
        <f>IF($D78="","",IFERROR(INDEX(Units_Owners!$C$5:$C$504,MATCH($D78,Units_Owners!$A$5:$A$504,0)),""))</f>
        <v/>
      </c>
      <c r="G78" s="2">
        <f>IF($D78="","",IFERROR(INDEX(Units_Owners!$D$5:$D$504,MATCH($D78,Units_Owners!$A$5:$A$504,0)),""))</f>
        <v/>
      </c>
      <c r="H78" s="12">
        <f>Setup!$B$7</f>
        <v/>
      </c>
      <c r="I78" s="12">
        <f>Setup!$B$8</f>
        <v/>
      </c>
      <c r="J78" s="13">
        <f>IF($D78="","",IFERROR(INDEX(Units_Owners!$J$5:$J$504,MATCH($D78,Units_Owners!$A$5:$A$504,0)),0)+SUMIFS(Ledger!$F:$F,Ledger!$B:$B,$D78,Ledger!$D:$D,"&lt;"&amp;$H78)-SUMIFS(Ledger!$G:$G,Ledger!$B:$B,$D78,Ledger!$D:$D,"&lt;"&amp;$H78))</f>
        <v/>
      </c>
      <c r="K78" s="13">
        <f>IF($D78="","",IFERROR(INDEX(Units_Owners!$H$5:$H$504,MATCH($D78,Units_Owners!$A$5:$A$504,0)),Setup!$B$10))</f>
        <v/>
      </c>
      <c r="L78" s="13">
        <f>IF($D78="","",Setup!$B$11)</f>
        <v/>
      </c>
      <c r="M78" s="13">
        <f>IF($D78="","",IF(AND(TODAY()&gt;=Setup!$B$9,$P78&gt;0),Setup!$B$12,0))</f>
        <v/>
      </c>
      <c r="N78" s="13">
        <f>IF($D78="","",SUM($J78:$M78))</f>
        <v/>
      </c>
      <c r="O78" s="13">
        <f>IF($A78="","",SUMIFS(Payments!$F:$F,Payments!$D:$D,$A78))</f>
        <v/>
      </c>
      <c r="P78" s="13">
        <f>IF($D78="","",MAX(0,$N78-$O78))</f>
        <v/>
      </c>
      <c r="Q78" s="2">
        <f>IF($D78="","",IF(IFERROR(INDEX(Units_Owners!$I$5:$I$504,MATCH($D78,Units_Owners!$A$5:$A$504,0)),"No")&lt;&gt;"Yes","Skip - Inactive",IF($P78=0,"Paid",IF(TODAY()&gt;$I78,"Past Due","Open"))))</f>
        <v/>
      </c>
      <c r="R78" s="14" t="n"/>
      <c r="S78" s="6" t="n"/>
    </row>
    <row r="79">
      <c r="A79" s="2">
        <f>IF($D79="","","INV-"&amp;$B79&amp;"-"&amp;$C79&amp;"-"&amp;TEXT(ROW(A75),"0000"))</f>
        <v/>
      </c>
      <c r="B79" s="2">
        <f>Setup!$B$5</f>
        <v/>
      </c>
      <c r="C79" s="2">
        <f>Setup!$B$6</f>
        <v/>
      </c>
      <c r="D79" s="2">
        <f>IFERROR(INDEX(Units_Owners!$A$5:$A$504,ROWS($A$5:A79)),"")</f>
        <v/>
      </c>
      <c r="E79" s="2">
        <f>IF($D79="","",IFERROR(INDEX(Units_Owners!$B$5:$B$504,MATCH($D79,Units_Owners!$A$5:$A$504,0)),""))</f>
        <v/>
      </c>
      <c r="F79" s="2">
        <f>IF($D79="","",IFERROR(INDEX(Units_Owners!$C$5:$C$504,MATCH($D79,Units_Owners!$A$5:$A$504,0)),""))</f>
        <v/>
      </c>
      <c r="G79" s="2">
        <f>IF($D79="","",IFERROR(INDEX(Units_Owners!$D$5:$D$504,MATCH($D79,Units_Owners!$A$5:$A$504,0)),""))</f>
        <v/>
      </c>
      <c r="H79" s="12">
        <f>Setup!$B$7</f>
        <v/>
      </c>
      <c r="I79" s="12">
        <f>Setup!$B$8</f>
        <v/>
      </c>
      <c r="J79" s="13">
        <f>IF($D79="","",IFERROR(INDEX(Units_Owners!$J$5:$J$504,MATCH($D79,Units_Owners!$A$5:$A$504,0)),0)+SUMIFS(Ledger!$F:$F,Ledger!$B:$B,$D79,Ledger!$D:$D,"&lt;"&amp;$H79)-SUMIFS(Ledger!$G:$G,Ledger!$B:$B,$D79,Ledger!$D:$D,"&lt;"&amp;$H79))</f>
        <v/>
      </c>
      <c r="K79" s="13">
        <f>IF($D79="","",IFERROR(INDEX(Units_Owners!$H$5:$H$504,MATCH($D79,Units_Owners!$A$5:$A$504,0)),Setup!$B$10))</f>
        <v/>
      </c>
      <c r="L79" s="13">
        <f>IF($D79="","",Setup!$B$11)</f>
        <v/>
      </c>
      <c r="M79" s="13">
        <f>IF($D79="","",IF(AND(TODAY()&gt;=Setup!$B$9,$P79&gt;0),Setup!$B$12,0))</f>
        <v/>
      </c>
      <c r="N79" s="13">
        <f>IF($D79="","",SUM($J79:$M79))</f>
        <v/>
      </c>
      <c r="O79" s="13">
        <f>IF($A79="","",SUMIFS(Payments!$F:$F,Payments!$D:$D,$A79))</f>
        <v/>
      </c>
      <c r="P79" s="13">
        <f>IF($D79="","",MAX(0,$N79-$O79))</f>
        <v/>
      </c>
      <c r="Q79" s="2">
        <f>IF($D79="","",IF(IFERROR(INDEX(Units_Owners!$I$5:$I$504,MATCH($D79,Units_Owners!$A$5:$A$504,0)),"No")&lt;&gt;"Yes","Skip - Inactive",IF($P79=0,"Paid",IF(TODAY()&gt;$I79,"Past Due","Open"))))</f>
        <v/>
      </c>
      <c r="R79" s="12" t="n"/>
      <c r="S79" s="2" t="n"/>
    </row>
    <row r="80">
      <c r="A80" s="2">
        <f>IF($D80="","","INV-"&amp;$B80&amp;"-"&amp;$C80&amp;"-"&amp;TEXT(ROW(A76),"0000"))</f>
        <v/>
      </c>
      <c r="B80" s="2">
        <f>Setup!$B$5</f>
        <v/>
      </c>
      <c r="C80" s="2">
        <f>Setup!$B$6</f>
        <v/>
      </c>
      <c r="D80" s="2">
        <f>IFERROR(INDEX(Units_Owners!$A$5:$A$504,ROWS($A$5:A80)),"")</f>
        <v/>
      </c>
      <c r="E80" s="2">
        <f>IF($D80="","",IFERROR(INDEX(Units_Owners!$B$5:$B$504,MATCH($D80,Units_Owners!$A$5:$A$504,0)),""))</f>
        <v/>
      </c>
      <c r="F80" s="2">
        <f>IF($D80="","",IFERROR(INDEX(Units_Owners!$C$5:$C$504,MATCH($D80,Units_Owners!$A$5:$A$504,0)),""))</f>
        <v/>
      </c>
      <c r="G80" s="2">
        <f>IF($D80="","",IFERROR(INDEX(Units_Owners!$D$5:$D$504,MATCH($D80,Units_Owners!$A$5:$A$504,0)),""))</f>
        <v/>
      </c>
      <c r="H80" s="12">
        <f>Setup!$B$7</f>
        <v/>
      </c>
      <c r="I80" s="12">
        <f>Setup!$B$8</f>
        <v/>
      </c>
      <c r="J80" s="13">
        <f>IF($D80="","",IFERROR(INDEX(Units_Owners!$J$5:$J$504,MATCH($D80,Units_Owners!$A$5:$A$504,0)),0)+SUMIFS(Ledger!$F:$F,Ledger!$B:$B,$D80,Ledger!$D:$D,"&lt;"&amp;$H80)-SUMIFS(Ledger!$G:$G,Ledger!$B:$B,$D80,Ledger!$D:$D,"&lt;"&amp;$H80))</f>
        <v/>
      </c>
      <c r="K80" s="13">
        <f>IF($D80="","",IFERROR(INDEX(Units_Owners!$H$5:$H$504,MATCH($D80,Units_Owners!$A$5:$A$504,0)),Setup!$B$10))</f>
        <v/>
      </c>
      <c r="L80" s="13">
        <f>IF($D80="","",Setup!$B$11)</f>
        <v/>
      </c>
      <c r="M80" s="13">
        <f>IF($D80="","",IF(AND(TODAY()&gt;=Setup!$B$9,$P80&gt;0),Setup!$B$12,0))</f>
        <v/>
      </c>
      <c r="N80" s="13">
        <f>IF($D80="","",SUM($J80:$M80))</f>
        <v/>
      </c>
      <c r="O80" s="13">
        <f>IF($A80="","",SUMIFS(Payments!$F:$F,Payments!$D:$D,$A80))</f>
        <v/>
      </c>
      <c r="P80" s="13">
        <f>IF($D80="","",MAX(0,$N80-$O80))</f>
        <v/>
      </c>
      <c r="Q80" s="2">
        <f>IF($D80="","",IF(IFERROR(INDEX(Units_Owners!$I$5:$I$504,MATCH($D80,Units_Owners!$A$5:$A$504,0)),"No")&lt;&gt;"Yes","Skip - Inactive",IF($P80=0,"Paid",IF(TODAY()&gt;$I80,"Past Due","Open"))))</f>
        <v/>
      </c>
      <c r="R80" s="14" t="n"/>
      <c r="S80" s="6" t="n"/>
    </row>
    <row r="81">
      <c r="A81" s="2">
        <f>IF($D81="","","INV-"&amp;$B81&amp;"-"&amp;$C81&amp;"-"&amp;TEXT(ROW(A77),"0000"))</f>
        <v/>
      </c>
      <c r="B81" s="2">
        <f>Setup!$B$5</f>
        <v/>
      </c>
      <c r="C81" s="2">
        <f>Setup!$B$6</f>
        <v/>
      </c>
      <c r="D81" s="2">
        <f>IFERROR(INDEX(Units_Owners!$A$5:$A$504,ROWS($A$5:A81)),"")</f>
        <v/>
      </c>
      <c r="E81" s="2">
        <f>IF($D81="","",IFERROR(INDEX(Units_Owners!$B$5:$B$504,MATCH($D81,Units_Owners!$A$5:$A$504,0)),""))</f>
        <v/>
      </c>
      <c r="F81" s="2">
        <f>IF($D81="","",IFERROR(INDEX(Units_Owners!$C$5:$C$504,MATCH($D81,Units_Owners!$A$5:$A$504,0)),""))</f>
        <v/>
      </c>
      <c r="G81" s="2">
        <f>IF($D81="","",IFERROR(INDEX(Units_Owners!$D$5:$D$504,MATCH($D81,Units_Owners!$A$5:$A$504,0)),""))</f>
        <v/>
      </c>
      <c r="H81" s="12">
        <f>Setup!$B$7</f>
        <v/>
      </c>
      <c r="I81" s="12">
        <f>Setup!$B$8</f>
        <v/>
      </c>
      <c r="J81" s="13">
        <f>IF($D81="","",IFERROR(INDEX(Units_Owners!$J$5:$J$504,MATCH($D81,Units_Owners!$A$5:$A$504,0)),0)+SUMIFS(Ledger!$F:$F,Ledger!$B:$B,$D81,Ledger!$D:$D,"&lt;"&amp;$H81)-SUMIFS(Ledger!$G:$G,Ledger!$B:$B,$D81,Ledger!$D:$D,"&lt;"&amp;$H81))</f>
        <v/>
      </c>
      <c r="K81" s="13">
        <f>IF($D81="","",IFERROR(INDEX(Units_Owners!$H$5:$H$504,MATCH($D81,Units_Owners!$A$5:$A$504,0)),Setup!$B$10))</f>
        <v/>
      </c>
      <c r="L81" s="13">
        <f>IF($D81="","",Setup!$B$11)</f>
        <v/>
      </c>
      <c r="M81" s="13">
        <f>IF($D81="","",IF(AND(TODAY()&gt;=Setup!$B$9,$P81&gt;0),Setup!$B$12,0))</f>
        <v/>
      </c>
      <c r="N81" s="13">
        <f>IF($D81="","",SUM($J81:$M81))</f>
        <v/>
      </c>
      <c r="O81" s="13">
        <f>IF($A81="","",SUMIFS(Payments!$F:$F,Payments!$D:$D,$A81))</f>
        <v/>
      </c>
      <c r="P81" s="13">
        <f>IF($D81="","",MAX(0,$N81-$O81))</f>
        <v/>
      </c>
      <c r="Q81" s="2">
        <f>IF($D81="","",IF(IFERROR(INDEX(Units_Owners!$I$5:$I$504,MATCH($D81,Units_Owners!$A$5:$A$504,0)),"No")&lt;&gt;"Yes","Skip - Inactive",IF($P81=0,"Paid",IF(TODAY()&gt;$I81,"Past Due","Open"))))</f>
        <v/>
      </c>
      <c r="R81" s="12" t="n"/>
      <c r="S81" s="2" t="n"/>
    </row>
    <row r="82">
      <c r="A82" s="2">
        <f>IF($D82="","","INV-"&amp;$B82&amp;"-"&amp;$C82&amp;"-"&amp;TEXT(ROW(A78),"0000"))</f>
        <v/>
      </c>
      <c r="B82" s="2">
        <f>Setup!$B$5</f>
        <v/>
      </c>
      <c r="C82" s="2">
        <f>Setup!$B$6</f>
        <v/>
      </c>
      <c r="D82" s="2">
        <f>IFERROR(INDEX(Units_Owners!$A$5:$A$504,ROWS($A$5:A82)),"")</f>
        <v/>
      </c>
      <c r="E82" s="2">
        <f>IF($D82="","",IFERROR(INDEX(Units_Owners!$B$5:$B$504,MATCH($D82,Units_Owners!$A$5:$A$504,0)),""))</f>
        <v/>
      </c>
      <c r="F82" s="2">
        <f>IF($D82="","",IFERROR(INDEX(Units_Owners!$C$5:$C$504,MATCH($D82,Units_Owners!$A$5:$A$504,0)),""))</f>
        <v/>
      </c>
      <c r="G82" s="2">
        <f>IF($D82="","",IFERROR(INDEX(Units_Owners!$D$5:$D$504,MATCH($D82,Units_Owners!$A$5:$A$504,0)),""))</f>
        <v/>
      </c>
      <c r="H82" s="12">
        <f>Setup!$B$7</f>
        <v/>
      </c>
      <c r="I82" s="12">
        <f>Setup!$B$8</f>
        <v/>
      </c>
      <c r="J82" s="13">
        <f>IF($D82="","",IFERROR(INDEX(Units_Owners!$J$5:$J$504,MATCH($D82,Units_Owners!$A$5:$A$504,0)),0)+SUMIFS(Ledger!$F:$F,Ledger!$B:$B,$D82,Ledger!$D:$D,"&lt;"&amp;$H82)-SUMIFS(Ledger!$G:$G,Ledger!$B:$B,$D82,Ledger!$D:$D,"&lt;"&amp;$H82))</f>
        <v/>
      </c>
      <c r="K82" s="13">
        <f>IF($D82="","",IFERROR(INDEX(Units_Owners!$H$5:$H$504,MATCH($D82,Units_Owners!$A$5:$A$504,0)),Setup!$B$10))</f>
        <v/>
      </c>
      <c r="L82" s="13">
        <f>IF($D82="","",Setup!$B$11)</f>
        <v/>
      </c>
      <c r="M82" s="13">
        <f>IF($D82="","",IF(AND(TODAY()&gt;=Setup!$B$9,$P82&gt;0),Setup!$B$12,0))</f>
        <v/>
      </c>
      <c r="N82" s="13">
        <f>IF($D82="","",SUM($J82:$M82))</f>
        <v/>
      </c>
      <c r="O82" s="13">
        <f>IF($A82="","",SUMIFS(Payments!$F:$F,Payments!$D:$D,$A82))</f>
        <v/>
      </c>
      <c r="P82" s="13">
        <f>IF($D82="","",MAX(0,$N82-$O82))</f>
        <v/>
      </c>
      <c r="Q82" s="2">
        <f>IF($D82="","",IF(IFERROR(INDEX(Units_Owners!$I$5:$I$504,MATCH($D82,Units_Owners!$A$5:$A$504,0)),"No")&lt;&gt;"Yes","Skip - Inactive",IF($P82=0,"Paid",IF(TODAY()&gt;$I82,"Past Due","Open"))))</f>
        <v/>
      </c>
      <c r="R82" s="14" t="n"/>
      <c r="S82" s="6" t="n"/>
    </row>
    <row r="83">
      <c r="A83" s="2">
        <f>IF($D83="","","INV-"&amp;$B83&amp;"-"&amp;$C83&amp;"-"&amp;TEXT(ROW(A79),"0000"))</f>
        <v/>
      </c>
      <c r="B83" s="2">
        <f>Setup!$B$5</f>
        <v/>
      </c>
      <c r="C83" s="2">
        <f>Setup!$B$6</f>
        <v/>
      </c>
      <c r="D83" s="2">
        <f>IFERROR(INDEX(Units_Owners!$A$5:$A$504,ROWS($A$5:A83)),"")</f>
        <v/>
      </c>
      <c r="E83" s="2">
        <f>IF($D83="","",IFERROR(INDEX(Units_Owners!$B$5:$B$504,MATCH($D83,Units_Owners!$A$5:$A$504,0)),""))</f>
        <v/>
      </c>
      <c r="F83" s="2">
        <f>IF($D83="","",IFERROR(INDEX(Units_Owners!$C$5:$C$504,MATCH($D83,Units_Owners!$A$5:$A$504,0)),""))</f>
        <v/>
      </c>
      <c r="G83" s="2">
        <f>IF($D83="","",IFERROR(INDEX(Units_Owners!$D$5:$D$504,MATCH($D83,Units_Owners!$A$5:$A$504,0)),""))</f>
        <v/>
      </c>
      <c r="H83" s="12">
        <f>Setup!$B$7</f>
        <v/>
      </c>
      <c r="I83" s="12">
        <f>Setup!$B$8</f>
        <v/>
      </c>
      <c r="J83" s="13">
        <f>IF($D83="","",IFERROR(INDEX(Units_Owners!$J$5:$J$504,MATCH($D83,Units_Owners!$A$5:$A$504,0)),0)+SUMIFS(Ledger!$F:$F,Ledger!$B:$B,$D83,Ledger!$D:$D,"&lt;"&amp;$H83)-SUMIFS(Ledger!$G:$G,Ledger!$B:$B,$D83,Ledger!$D:$D,"&lt;"&amp;$H83))</f>
        <v/>
      </c>
      <c r="K83" s="13">
        <f>IF($D83="","",IFERROR(INDEX(Units_Owners!$H$5:$H$504,MATCH($D83,Units_Owners!$A$5:$A$504,0)),Setup!$B$10))</f>
        <v/>
      </c>
      <c r="L83" s="13">
        <f>IF($D83="","",Setup!$B$11)</f>
        <v/>
      </c>
      <c r="M83" s="13">
        <f>IF($D83="","",IF(AND(TODAY()&gt;=Setup!$B$9,$P83&gt;0),Setup!$B$12,0))</f>
        <v/>
      </c>
      <c r="N83" s="13">
        <f>IF($D83="","",SUM($J83:$M83))</f>
        <v/>
      </c>
      <c r="O83" s="13">
        <f>IF($A83="","",SUMIFS(Payments!$F:$F,Payments!$D:$D,$A83))</f>
        <v/>
      </c>
      <c r="P83" s="13">
        <f>IF($D83="","",MAX(0,$N83-$O83))</f>
        <v/>
      </c>
      <c r="Q83" s="2">
        <f>IF($D83="","",IF(IFERROR(INDEX(Units_Owners!$I$5:$I$504,MATCH($D83,Units_Owners!$A$5:$A$504,0)),"No")&lt;&gt;"Yes","Skip - Inactive",IF($P83=0,"Paid",IF(TODAY()&gt;$I83,"Past Due","Open"))))</f>
        <v/>
      </c>
      <c r="R83" s="12" t="n"/>
      <c r="S83" s="2" t="n"/>
    </row>
    <row r="84">
      <c r="A84" s="2">
        <f>IF($D84="","","INV-"&amp;$B84&amp;"-"&amp;$C84&amp;"-"&amp;TEXT(ROW(A80),"0000"))</f>
        <v/>
      </c>
      <c r="B84" s="2">
        <f>Setup!$B$5</f>
        <v/>
      </c>
      <c r="C84" s="2">
        <f>Setup!$B$6</f>
        <v/>
      </c>
      <c r="D84" s="2">
        <f>IFERROR(INDEX(Units_Owners!$A$5:$A$504,ROWS($A$5:A84)),"")</f>
        <v/>
      </c>
      <c r="E84" s="2">
        <f>IF($D84="","",IFERROR(INDEX(Units_Owners!$B$5:$B$504,MATCH($D84,Units_Owners!$A$5:$A$504,0)),""))</f>
        <v/>
      </c>
      <c r="F84" s="2">
        <f>IF($D84="","",IFERROR(INDEX(Units_Owners!$C$5:$C$504,MATCH($D84,Units_Owners!$A$5:$A$504,0)),""))</f>
        <v/>
      </c>
      <c r="G84" s="2">
        <f>IF($D84="","",IFERROR(INDEX(Units_Owners!$D$5:$D$504,MATCH($D84,Units_Owners!$A$5:$A$504,0)),""))</f>
        <v/>
      </c>
      <c r="H84" s="12">
        <f>Setup!$B$7</f>
        <v/>
      </c>
      <c r="I84" s="12">
        <f>Setup!$B$8</f>
        <v/>
      </c>
      <c r="J84" s="13">
        <f>IF($D84="","",IFERROR(INDEX(Units_Owners!$J$5:$J$504,MATCH($D84,Units_Owners!$A$5:$A$504,0)),0)+SUMIFS(Ledger!$F:$F,Ledger!$B:$B,$D84,Ledger!$D:$D,"&lt;"&amp;$H84)-SUMIFS(Ledger!$G:$G,Ledger!$B:$B,$D84,Ledger!$D:$D,"&lt;"&amp;$H84))</f>
        <v/>
      </c>
      <c r="K84" s="13">
        <f>IF($D84="","",IFERROR(INDEX(Units_Owners!$H$5:$H$504,MATCH($D84,Units_Owners!$A$5:$A$504,0)),Setup!$B$10))</f>
        <v/>
      </c>
      <c r="L84" s="13">
        <f>IF($D84="","",Setup!$B$11)</f>
        <v/>
      </c>
      <c r="M84" s="13">
        <f>IF($D84="","",IF(AND(TODAY()&gt;=Setup!$B$9,$P84&gt;0),Setup!$B$12,0))</f>
        <v/>
      </c>
      <c r="N84" s="13">
        <f>IF($D84="","",SUM($J84:$M84))</f>
        <v/>
      </c>
      <c r="O84" s="13">
        <f>IF($A84="","",SUMIFS(Payments!$F:$F,Payments!$D:$D,$A84))</f>
        <v/>
      </c>
      <c r="P84" s="13">
        <f>IF($D84="","",MAX(0,$N84-$O84))</f>
        <v/>
      </c>
      <c r="Q84" s="2">
        <f>IF($D84="","",IF(IFERROR(INDEX(Units_Owners!$I$5:$I$504,MATCH($D84,Units_Owners!$A$5:$A$504,0)),"No")&lt;&gt;"Yes","Skip - Inactive",IF($P84=0,"Paid",IF(TODAY()&gt;$I84,"Past Due","Open"))))</f>
        <v/>
      </c>
      <c r="R84" s="14" t="n"/>
      <c r="S84" s="6" t="n"/>
    </row>
    <row r="85">
      <c r="A85" s="2">
        <f>IF($D85="","","INV-"&amp;$B85&amp;"-"&amp;$C85&amp;"-"&amp;TEXT(ROW(A81),"0000"))</f>
        <v/>
      </c>
      <c r="B85" s="2">
        <f>Setup!$B$5</f>
        <v/>
      </c>
      <c r="C85" s="2">
        <f>Setup!$B$6</f>
        <v/>
      </c>
      <c r="D85" s="2">
        <f>IFERROR(INDEX(Units_Owners!$A$5:$A$504,ROWS($A$5:A85)),"")</f>
        <v/>
      </c>
      <c r="E85" s="2">
        <f>IF($D85="","",IFERROR(INDEX(Units_Owners!$B$5:$B$504,MATCH($D85,Units_Owners!$A$5:$A$504,0)),""))</f>
        <v/>
      </c>
      <c r="F85" s="2">
        <f>IF($D85="","",IFERROR(INDEX(Units_Owners!$C$5:$C$504,MATCH($D85,Units_Owners!$A$5:$A$504,0)),""))</f>
        <v/>
      </c>
      <c r="G85" s="2">
        <f>IF($D85="","",IFERROR(INDEX(Units_Owners!$D$5:$D$504,MATCH($D85,Units_Owners!$A$5:$A$504,0)),""))</f>
        <v/>
      </c>
      <c r="H85" s="12">
        <f>Setup!$B$7</f>
        <v/>
      </c>
      <c r="I85" s="12">
        <f>Setup!$B$8</f>
        <v/>
      </c>
      <c r="J85" s="13">
        <f>IF($D85="","",IFERROR(INDEX(Units_Owners!$J$5:$J$504,MATCH($D85,Units_Owners!$A$5:$A$504,0)),0)+SUMIFS(Ledger!$F:$F,Ledger!$B:$B,$D85,Ledger!$D:$D,"&lt;"&amp;$H85)-SUMIFS(Ledger!$G:$G,Ledger!$B:$B,$D85,Ledger!$D:$D,"&lt;"&amp;$H85))</f>
        <v/>
      </c>
      <c r="K85" s="13">
        <f>IF($D85="","",IFERROR(INDEX(Units_Owners!$H$5:$H$504,MATCH($D85,Units_Owners!$A$5:$A$504,0)),Setup!$B$10))</f>
        <v/>
      </c>
      <c r="L85" s="13">
        <f>IF($D85="","",Setup!$B$11)</f>
        <v/>
      </c>
      <c r="M85" s="13">
        <f>IF($D85="","",IF(AND(TODAY()&gt;=Setup!$B$9,$P85&gt;0),Setup!$B$12,0))</f>
        <v/>
      </c>
      <c r="N85" s="13">
        <f>IF($D85="","",SUM($J85:$M85))</f>
        <v/>
      </c>
      <c r="O85" s="13">
        <f>IF($A85="","",SUMIFS(Payments!$F:$F,Payments!$D:$D,$A85))</f>
        <v/>
      </c>
      <c r="P85" s="13">
        <f>IF($D85="","",MAX(0,$N85-$O85))</f>
        <v/>
      </c>
      <c r="Q85" s="2">
        <f>IF($D85="","",IF(IFERROR(INDEX(Units_Owners!$I$5:$I$504,MATCH($D85,Units_Owners!$A$5:$A$504,0)),"No")&lt;&gt;"Yes","Skip - Inactive",IF($P85=0,"Paid",IF(TODAY()&gt;$I85,"Past Due","Open"))))</f>
        <v/>
      </c>
      <c r="R85" s="12" t="n"/>
      <c r="S85" s="2" t="n"/>
    </row>
    <row r="86">
      <c r="A86" s="2">
        <f>IF($D86="","","INV-"&amp;$B86&amp;"-"&amp;$C86&amp;"-"&amp;TEXT(ROW(A82),"0000"))</f>
        <v/>
      </c>
      <c r="B86" s="2">
        <f>Setup!$B$5</f>
        <v/>
      </c>
      <c r="C86" s="2">
        <f>Setup!$B$6</f>
        <v/>
      </c>
      <c r="D86" s="2">
        <f>IFERROR(INDEX(Units_Owners!$A$5:$A$504,ROWS($A$5:A86)),"")</f>
        <v/>
      </c>
      <c r="E86" s="2">
        <f>IF($D86="","",IFERROR(INDEX(Units_Owners!$B$5:$B$504,MATCH($D86,Units_Owners!$A$5:$A$504,0)),""))</f>
        <v/>
      </c>
      <c r="F86" s="2">
        <f>IF($D86="","",IFERROR(INDEX(Units_Owners!$C$5:$C$504,MATCH($D86,Units_Owners!$A$5:$A$504,0)),""))</f>
        <v/>
      </c>
      <c r="G86" s="2">
        <f>IF($D86="","",IFERROR(INDEX(Units_Owners!$D$5:$D$504,MATCH($D86,Units_Owners!$A$5:$A$504,0)),""))</f>
        <v/>
      </c>
      <c r="H86" s="12">
        <f>Setup!$B$7</f>
        <v/>
      </c>
      <c r="I86" s="12">
        <f>Setup!$B$8</f>
        <v/>
      </c>
      <c r="J86" s="13">
        <f>IF($D86="","",IFERROR(INDEX(Units_Owners!$J$5:$J$504,MATCH($D86,Units_Owners!$A$5:$A$504,0)),0)+SUMIFS(Ledger!$F:$F,Ledger!$B:$B,$D86,Ledger!$D:$D,"&lt;"&amp;$H86)-SUMIFS(Ledger!$G:$G,Ledger!$B:$B,$D86,Ledger!$D:$D,"&lt;"&amp;$H86))</f>
        <v/>
      </c>
      <c r="K86" s="13">
        <f>IF($D86="","",IFERROR(INDEX(Units_Owners!$H$5:$H$504,MATCH($D86,Units_Owners!$A$5:$A$504,0)),Setup!$B$10))</f>
        <v/>
      </c>
      <c r="L86" s="13">
        <f>IF($D86="","",Setup!$B$11)</f>
        <v/>
      </c>
      <c r="M86" s="13">
        <f>IF($D86="","",IF(AND(TODAY()&gt;=Setup!$B$9,$P86&gt;0),Setup!$B$12,0))</f>
        <v/>
      </c>
      <c r="N86" s="13">
        <f>IF($D86="","",SUM($J86:$M86))</f>
        <v/>
      </c>
      <c r="O86" s="13">
        <f>IF($A86="","",SUMIFS(Payments!$F:$F,Payments!$D:$D,$A86))</f>
        <v/>
      </c>
      <c r="P86" s="13">
        <f>IF($D86="","",MAX(0,$N86-$O86))</f>
        <v/>
      </c>
      <c r="Q86" s="2">
        <f>IF($D86="","",IF(IFERROR(INDEX(Units_Owners!$I$5:$I$504,MATCH($D86,Units_Owners!$A$5:$A$504,0)),"No")&lt;&gt;"Yes","Skip - Inactive",IF($P86=0,"Paid",IF(TODAY()&gt;$I86,"Past Due","Open"))))</f>
        <v/>
      </c>
      <c r="R86" s="14" t="n"/>
      <c r="S86" s="6" t="n"/>
    </row>
    <row r="87">
      <c r="A87" s="2">
        <f>IF($D87="","","INV-"&amp;$B87&amp;"-"&amp;$C87&amp;"-"&amp;TEXT(ROW(A83),"0000"))</f>
        <v/>
      </c>
      <c r="B87" s="2">
        <f>Setup!$B$5</f>
        <v/>
      </c>
      <c r="C87" s="2">
        <f>Setup!$B$6</f>
        <v/>
      </c>
      <c r="D87" s="2">
        <f>IFERROR(INDEX(Units_Owners!$A$5:$A$504,ROWS($A$5:A87)),"")</f>
        <v/>
      </c>
      <c r="E87" s="2">
        <f>IF($D87="","",IFERROR(INDEX(Units_Owners!$B$5:$B$504,MATCH($D87,Units_Owners!$A$5:$A$504,0)),""))</f>
        <v/>
      </c>
      <c r="F87" s="2">
        <f>IF($D87="","",IFERROR(INDEX(Units_Owners!$C$5:$C$504,MATCH($D87,Units_Owners!$A$5:$A$504,0)),""))</f>
        <v/>
      </c>
      <c r="G87" s="2">
        <f>IF($D87="","",IFERROR(INDEX(Units_Owners!$D$5:$D$504,MATCH($D87,Units_Owners!$A$5:$A$504,0)),""))</f>
        <v/>
      </c>
      <c r="H87" s="12">
        <f>Setup!$B$7</f>
        <v/>
      </c>
      <c r="I87" s="12">
        <f>Setup!$B$8</f>
        <v/>
      </c>
      <c r="J87" s="13">
        <f>IF($D87="","",IFERROR(INDEX(Units_Owners!$J$5:$J$504,MATCH($D87,Units_Owners!$A$5:$A$504,0)),0)+SUMIFS(Ledger!$F:$F,Ledger!$B:$B,$D87,Ledger!$D:$D,"&lt;"&amp;$H87)-SUMIFS(Ledger!$G:$G,Ledger!$B:$B,$D87,Ledger!$D:$D,"&lt;"&amp;$H87))</f>
        <v/>
      </c>
      <c r="K87" s="13">
        <f>IF($D87="","",IFERROR(INDEX(Units_Owners!$H$5:$H$504,MATCH($D87,Units_Owners!$A$5:$A$504,0)),Setup!$B$10))</f>
        <v/>
      </c>
      <c r="L87" s="13">
        <f>IF($D87="","",Setup!$B$11)</f>
        <v/>
      </c>
      <c r="M87" s="13">
        <f>IF($D87="","",IF(AND(TODAY()&gt;=Setup!$B$9,$P87&gt;0),Setup!$B$12,0))</f>
        <v/>
      </c>
      <c r="N87" s="13">
        <f>IF($D87="","",SUM($J87:$M87))</f>
        <v/>
      </c>
      <c r="O87" s="13">
        <f>IF($A87="","",SUMIFS(Payments!$F:$F,Payments!$D:$D,$A87))</f>
        <v/>
      </c>
      <c r="P87" s="13">
        <f>IF($D87="","",MAX(0,$N87-$O87))</f>
        <v/>
      </c>
      <c r="Q87" s="2">
        <f>IF($D87="","",IF(IFERROR(INDEX(Units_Owners!$I$5:$I$504,MATCH($D87,Units_Owners!$A$5:$A$504,0)),"No")&lt;&gt;"Yes","Skip - Inactive",IF($P87=0,"Paid",IF(TODAY()&gt;$I87,"Past Due","Open"))))</f>
        <v/>
      </c>
      <c r="R87" s="12" t="n"/>
      <c r="S87" s="2" t="n"/>
    </row>
    <row r="88">
      <c r="A88" s="2">
        <f>IF($D88="","","INV-"&amp;$B88&amp;"-"&amp;$C88&amp;"-"&amp;TEXT(ROW(A84),"0000"))</f>
        <v/>
      </c>
      <c r="B88" s="2">
        <f>Setup!$B$5</f>
        <v/>
      </c>
      <c r="C88" s="2">
        <f>Setup!$B$6</f>
        <v/>
      </c>
      <c r="D88" s="2">
        <f>IFERROR(INDEX(Units_Owners!$A$5:$A$504,ROWS($A$5:A88)),"")</f>
        <v/>
      </c>
      <c r="E88" s="2">
        <f>IF($D88="","",IFERROR(INDEX(Units_Owners!$B$5:$B$504,MATCH($D88,Units_Owners!$A$5:$A$504,0)),""))</f>
        <v/>
      </c>
      <c r="F88" s="2">
        <f>IF($D88="","",IFERROR(INDEX(Units_Owners!$C$5:$C$504,MATCH($D88,Units_Owners!$A$5:$A$504,0)),""))</f>
        <v/>
      </c>
      <c r="G88" s="2">
        <f>IF($D88="","",IFERROR(INDEX(Units_Owners!$D$5:$D$504,MATCH($D88,Units_Owners!$A$5:$A$504,0)),""))</f>
        <v/>
      </c>
      <c r="H88" s="12">
        <f>Setup!$B$7</f>
        <v/>
      </c>
      <c r="I88" s="12">
        <f>Setup!$B$8</f>
        <v/>
      </c>
      <c r="J88" s="13">
        <f>IF($D88="","",IFERROR(INDEX(Units_Owners!$J$5:$J$504,MATCH($D88,Units_Owners!$A$5:$A$504,0)),0)+SUMIFS(Ledger!$F:$F,Ledger!$B:$B,$D88,Ledger!$D:$D,"&lt;"&amp;$H88)-SUMIFS(Ledger!$G:$G,Ledger!$B:$B,$D88,Ledger!$D:$D,"&lt;"&amp;$H88))</f>
        <v/>
      </c>
      <c r="K88" s="13">
        <f>IF($D88="","",IFERROR(INDEX(Units_Owners!$H$5:$H$504,MATCH($D88,Units_Owners!$A$5:$A$504,0)),Setup!$B$10))</f>
        <v/>
      </c>
      <c r="L88" s="13">
        <f>IF($D88="","",Setup!$B$11)</f>
        <v/>
      </c>
      <c r="M88" s="13">
        <f>IF($D88="","",IF(AND(TODAY()&gt;=Setup!$B$9,$P88&gt;0),Setup!$B$12,0))</f>
        <v/>
      </c>
      <c r="N88" s="13">
        <f>IF($D88="","",SUM($J88:$M88))</f>
        <v/>
      </c>
      <c r="O88" s="13">
        <f>IF($A88="","",SUMIFS(Payments!$F:$F,Payments!$D:$D,$A88))</f>
        <v/>
      </c>
      <c r="P88" s="13">
        <f>IF($D88="","",MAX(0,$N88-$O88))</f>
        <v/>
      </c>
      <c r="Q88" s="2">
        <f>IF($D88="","",IF(IFERROR(INDEX(Units_Owners!$I$5:$I$504,MATCH($D88,Units_Owners!$A$5:$A$504,0)),"No")&lt;&gt;"Yes","Skip - Inactive",IF($P88=0,"Paid",IF(TODAY()&gt;$I88,"Past Due","Open"))))</f>
        <v/>
      </c>
      <c r="R88" s="14" t="n"/>
      <c r="S88" s="6" t="n"/>
    </row>
    <row r="89">
      <c r="A89" s="2">
        <f>IF($D89="","","INV-"&amp;$B89&amp;"-"&amp;$C89&amp;"-"&amp;TEXT(ROW(A85),"0000"))</f>
        <v/>
      </c>
      <c r="B89" s="2">
        <f>Setup!$B$5</f>
        <v/>
      </c>
      <c r="C89" s="2">
        <f>Setup!$B$6</f>
        <v/>
      </c>
      <c r="D89" s="2">
        <f>IFERROR(INDEX(Units_Owners!$A$5:$A$504,ROWS($A$5:A89)),"")</f>
        <v/>
      </c>
      <c r="E89" s="2">
        <f>IF($D89="","",IFERROR(INDEX(Units_Owners!$B$5:$B$504,MATCH($D89,Units_Owners!$A$5:$A$504,0)),""))</f>
        <v/>
      </c>
      <c r="F89" s="2">
        <f>IF($D89="","",IFERROR(INDEX(Units_Owners!$C$5:$C$504,MATCH($D89,Units_Owners!$A$5:$A$504,0)),""))</f>
        <v/>
      </c>
      <c r="G89" s="2">
        <f>IF($D89="","",IFERROR(INDEX(Units_Owners!$D$5:$D$504,MATCH($D89,Units_Owners!$A$5:$A$504,0)),""))</f>
        <v/>
      </c>
      <c r="H89" s="12">
        <f>Setup!$B$7</f>
        <v/>
      </c>
      <c r="I89" s="12">
        <f>Setup!$B$8</f>
        <v/>
      </c>
      <c r="J89" s="13">
        <f>IF($D89="","",IFERROR(INDEX(Units_Owners!$J$5:$J$504,MATCH($D89,Units_Owners!$A$5:$A$504,0)),0)+SUMIFS(Ledger!$F:$F,Ledger!$B:$B,$D89,Ledger!$D:$D,"&lt;"&amp;$H89)-SUMIFS(Ledger!$G:$G,Ledger!$B:$B,$D89,Ledger!$D:$D,"&lt;"&amp;$H89))</f>
        <v/>
      </c>
      <c r="K89" s="13">
        <f>IF($D89="","",IFERROR(INDEX(Units_Owners!$H$5:$H$504,MATCH($D89,Units_Owners!$A$5:$A$504,0)),Setup!$B$10))</f>
        <v/>
      </c>
      <c r="L89" s="13">
        <f>IF($D89="","",Setup!$B$11)</f>
        <v/>
      </c>
      <c r="M89" s="13">
        <f>IF($D89="","",IF(AND(TODAY()&gt;=Setup!$B$9,$P89&gt;0),Setup!$B$12,0))</f>
        <v/>
      </c>
      <c r="N89" s="13">
        <f>IF($D89="","",SUM($J89:$M89))</f>
        <v/>
      </c>
      <c r="O89" s="13">
        <f>IF($A89="","",SUMIFS(Payments!$F:$F,Payments!$D:$D,$A89))</f>
        <v/>
      </c>
      <c r="P89" s="13">
        <f>IF($D89="","",MAX(0,$N89-$O89))</f>
        <v/>
      </c>
      <c r="Q89" s="2">
        <f>IF($D89="","",IF(IFERROR(INDEX(Units_Owners!$I$5:$I$504,MATCH($D89,Units_Owners!$A$5:$A$504,0)),"No")&lt;&gt;"Yes","Skip - Inactive",IF($P89=0,"Paid",IF(TODAY()&gt;$I89,"Past Due","Open"))))</f>
        <v/>
      </c>
      <c r="R89" s="12" t="n"/>
      <c r="S89" s="2" t="n"/>
    </row>
    <row r="90">
      <c r="A90" s="2">
        <f>IF($D90="","","INV-"&amp;$B90&amp;"-"&amp;$C90&amp;"-"&amp;TEXT(ROW(A86),"0000"))</f>
        <v/>
      </c>
      <c r="B90" s="2">
        <f>Setup!$B$5</f>
        <v/>
      </c>
      <c r="C90" s="2">
        <f>Setup!$B$6</f>
        <v/>
      </c>
      <c r="D90" s="2">
        <f>IFERROR(INDEX(Units_Owners!$A$5:$A$504,ROWS($A$5:A90)),"")</f>
        <v/>
      </c>
      <c r="E90" s="2">
        <f>IF($D90="","",IFERROR(INDEX(Units_Owners!$B$5:$B$504,MATCH($D90,Units_Owners!$A$5:$A$504,0)),""))</f>
        <v/>
      </c>
      <c r="F90" s="2">
        <f>IF($D90="","",IFERROR(INDEX(Units_Owners!$C$5:$C$504,MATCH($D90,Units_Owners!$A$5:$A$504,0)),""))</f>
        <v/>
      </c>
      <c r="G90" s="2">
        <f>IF($D90="","",IFERROR(INDEX(Units_Owners!$D$5:$D$504,MATCH($D90,Units_Owners!$A$5:$A$504,0)),""))</f>
        <v/>
      </c>
      <c r="H90" s="12">
        <f>Setup!$B$7</f>
        <v/>
      </c>
      <c r="I90" s="12">
        <f>Setup!$B$8</f>
        <v/>
      </c>
      <c r="J90" s="13">
        <f>IF($D90="","",IFERROR(INDEX(Units_Owners!$J$5:$J$504,MATCH($D90,Units_Owners!$A$5:$A$504,0)),0)+SUMIFS(Ledger!$F:$F,Ledger!$B:$B,$D90,Ledger!$D:$D,"&lt;"&amp;$H90)-SUMIFS(Ledger!$G:$G,Ledger!$B:$B,$D90,Ledger!$D:$D,"&lt;"&amp;$H90))</f>
        <v/>
      </c>
      <c r="K90" s="13">
        <f>IF($D90="","",IFERROR(INDEX(Units_Owners!$H$5:$H$504,MATCH($D90,Units_Owners!$A$5:$A$504,0)),Setup!$B$10))</f>
        <v/>
      </c>
      <c r="L90" s="13">
        <f>IF($D90="","",Setup!$B$11)</f>
        <v/>
      </c>
      <c r="M90" s="13">
        <f>IF($D90="","",IF(AND(TODAY()&gt;=Setup!$B$9,$P90&gt;0),Setup!$B$12,0))</f>
        <v/>
      </c>
      <c r="N90" s="13">
        <f>IF($D90="","",SUM($J90:$M90))</f>
        <v/>
      </c>
      <c r="O90" s="13">
        <f>IF($A90="","",SUMIFS(Payments!$F:$F,Payments!$D:$D,$A90))</f>
        <v/>
      </c>
      <c r="P90" s="13">
        <f>IF($D90="","",MAX(0,$N90-$O90))</f>
        <v/>
      </c>
      <c r="Q90" s="2">
        <f>IF($D90="","",IF(IFERROR(INDEX(Units_Owners!$I$5:$I$504,MATCH($D90,Units_Owners!$A$5:$A$504,0)),"No")&lt;&gt;"Yes","Skip - Inactive",IF($P90=0,"Paid",IF(TODAY()&gt;$I90,"Past Due","Open"))))</f>
        <v/>
      </c>
      <c r="R90" s="14" t="n"/>
      <c r="S90" s="6" t="n"/>
    </row>
    <row r="91">
      <c r="A91" s="2">
        <f>IF($D91="","","INV-"&amp;$B91&amp;"-"&amp;$C91&amp;"-"&amp;TEXT(ROW(A87),"0000"))</f>
        <v/>
      </c>
      <c r="B91" s="2">
        <f>Setup!$B$5</f>
        <v/>
      </c>
      <c r="C91" s="2">
        <f>Setup!$B$6</f>
        <v/>
      </c>
      <c r="D91" s="2">
        <f>IFERROR(INDEX(Units_Owners!$A$5:$A$504,ROWS($A$5:A91)),"")</f>
        <v/>
      </c>
      <c r="E91" s="2">
        <f>IF($D91="","",IFERROR(INDEX(Units_Owners!$B$5:$B$504,MATCH($D91,Units_Owners!$A$5:$A$504,0)),""))</f>
        <v/>
      </c>
      <c r="F91" s="2">
        <f>IF($D91="","",IFERROR(INDEX(Units_Owners!$C$5:$C$504,MATCH($D91,Units_Owners!$A$5:$A$504,0)),""))</f>
        <v/>
      </c>
      <c r="G91" s="2">
        <f>IF($D91="","",IFERROR(INDEX(Units_Owners!$D$5:$D$504,MATCH($D91,Units_Owners!$A$5:$A$504,0)),""))</f>
        <v/>
      </c>
      <c r="H91" s="12">
        <f>Setup!$B$7</f>
        <v/>
      </c>
      <c r="I91" s="12">
        <f>Setup!$B$8</f>
        <v/>
      </c>
      <c r="J91" s="13">
        <f>IF($D91="","",IFERROR(INDEX(Units_Owners!$J$5:$J$504,MATCH($D91,Units_Owners!$A$5:$A$504,0)),0)+SUMIFS(Ledger!$F:$F,Ledger!$B:$B,$D91,Ledger!$D:$D,"&lt;"&amp;$H91)-SUMIFS(Ledger!$G:$G,Ledger!$B:$B,$D91,Ledger!$D:$D,"&lt;"&amp;$H91))</f>
        <v/>
      </c>
      <c r="K91" s="13">
        <f>IF($D91="","",IFERROR(INDEX(Units_Owners!$H$5:$H$504,MATCH($D91,Units_Owners!$A$5:$A$504,0)),Setup!$B$10))</f>
        <v/>
      </c>
      <c r="L91" s="13">
        <f>IF($D91="","",Setup!$B$11)</f>
        <v/>
      </c>
      <c r="M91" s="13">
        <f>IF($D91="","",IF(AND(TODAY()&gt;=Setup!$B$9,$P91&gt;0),Setup!$B$12,0))</f>
        <v/>
      </c>
      <c r="N91" s="13">
        <f>IF($D91="","",SUM($J91:$M91))</f>
        <v/>
      </c>
      <c r="O91" s="13">
        <f>IF($A91="","",SUMIFS(Payments!$F:$F,Payments!$D:$D,$A91))</f>
        <v/>
      </c>
      <c r="P91" s="13">
        <f>IF($D91="","",MAX(0,$N91-$O91))</f>
        <v/>
      </c>
      <c r="Q91" s="2">
        <f>IF($D91="","",IF(IFERROR(INDEX(Units_Owners!$I$5:$I$504,MATCH($D91,Units_Owners!$A$5:$A$504,0)),"No")&lt;&gt;"Yes","Skip - Inactive",IF($P91=0,"Paid",IF(TODAY()&gt;$I91,"Past Due","Open"))))</f>
        <v/>
      </c>
      <c r="R91" s="12" t="n"/>
      <c r="S91" s="2" t="n"/>
    </row>
    <row r="92">
      <c r="A92" s="2">
        <f>IF($D92="","","INV-"&amp;$B92&amp;"-"&amp;$C92&amp;"-"&amp;TEXT(ROW(A88),"0000"))</f>
        <v/>
      </c>
      <c r="B92" s="2">
        <f>Setup!$B$5</f>
        <v/>
      </c>
      <c r="C92" s="2">
        <f>Setup!$B$6</f>
        <v/>
      </c>
      <c r="D92" s="2">
        <f>IFERROR(INDEX(Units_Owners!$A$5:$A$504,ROWS($A$5:A92)),"")</f>
        <v/>
      </c>
      <c r="E92" s="2">
        <f>IF($D92="","",IFERROR(INDEX(Units_Owners!$B$5:$B$504,MATCH($D92,Units_Owners!$A$5:$A$504,0)),""))</f>
        <v/>
      </c>
      <c r="F92" s="2">
        <f>IF($D92="","",IFERROR(INDEX(Units_Owners!$C$5:$C$504,MATCH($D92,Units_Owners!$A$5:$A$504,0)),""))</f>
        <v/>
      </c>
      <c r="G92" s="2">
        <f>IF($D92="","",IFERROR(INDEX(Units_Owners!$D$5:$D$504,MATCH($D92,Units_Owners!$A$5:$A$504,0)),""))</f>
        <v/>
      </c>
      <c r="H92" s="12">
        <f>Setup!$B$7</f>
        <v/>
      </c>
      <c r="I92" s="12">
        <f>Setup!$B$8</f>
        <v/>
      </c>
      <c r="J92" s="13">
        <f>IF($D92="","",IFERROR(INDEX(Units_Owners!$J$5:$J$504,MATCH($D92,Units_Owners!$A$5:$A$504,0)),0)+SUMIFS(Ledger!$F:$F,Ledger!$B:$B,$D92,Ledger!$D:$D,"&lt;"&amp;$H92)-SUMIFS(Ledger!$G:$G,Ledger!$B:$B,$D92,Ledger!$D:$D,"&lt;"&amp;$H92))</f>
        <v/>
      </c>
      <c r="K92" s="13">
        <f>IF($D92="","",IFERROR(INDEX(Units_Owners!$H$5:$H$504,MATCH($D92,Units_Owners!$A$5:$A$504,0)),Setup!$B$10))</f>
        <v/>
      </c>
      <c r="L92" s="13">
        <f>IF($D92="","",Setup!$B$11)</f>
        <v/>
      </c>
      <c r="M92" s="13">
        <f>IF($D92="","",IF(AND(TODAY()&gt;=Setup!$B$9,$P92&gt;0),Setup!$B$12,0))</f>
        <v/>
      </c>
      <c r="N92" s="13">
        <f>IF($D92="","",SUM($J92:$M92))</f>
        <v/>
      </c>
      <c r="O92" s="13">
        <f>IF($A92="","",SUMIFS(Payments!$F:$F,Payments!$D:$D,$A92))</f>
        <v/>
      </c>
      <c r="P92" s="13">
        <f>IF($D92="","",MAX(0,$N92-$O92))</f>
        <v/>
      </c>
      <c r="Q92" s="2">
        <f>IF($D92="","",IF(IFERROR(INDEX(Units_Owners!$I$5:$I$504,MATCH($D92,Units_Owners!$A$5:$A$504,0)),"No")&lt;&gt;"Yes","Skip - Inactive",IF($P92=0,"Paid",IF(TODAY()&gt;$I92,"Past Due","Open"))))</f>
        <v/>
      </c>
      <c r="R92" s="14" t="n"/>
      <c r="S92" s="6" t="n"/>
    </row>
    <row r="93">
      <c r="A93" s="2">
        <f>IF($D93="","","INV-"&amp;$B93&amp;"-"&amp;$C93&amp;"-"&amp;TEXT(ROW(A89),"0000"))</f>
        <v/>
      </c>
      <c r="B93" s="2">
        <f>Setup!$B$5</f>
        <v/>
      </c>
      <c r="C93" s="2">
        <f>Setup!$B$6</f>
        <v/>
      </c>
      <c r="D93" s="2">
        <f>IFERROR(INDEX(Units_Owners!$A$5:$A$504,ROWS($A$5:A93)),"")</f>
        <v/>
      </c>
      <c r="E93" s="2">
        <f>IF($D93="","",IFERROR(INDEX(Units_Owners!$B$5:$B$504,MATCH($D93,Units_Owners!$A$5:$A$504,0)),""))</f>
        <v/>
      </c>
      <c r="F93" s="2">
        <f>IF($D93="","",IFERROR(INDEX(Units_Owners!$C$5:$C$504,MATCH($D93,Units_Owners!$A$5:$A$504,0)),""))</f>
        <v/>
      </c>
      <c r="G93" s="2">
        <f>IF($D93="","",IFERROR(INDEX(Units_Owners!$D$5:$D$504,MATCH($D93,Units_Owners!$A$5:$A$504,0)),""))</f>
        <v/>
      </c>
      <c r="H93" s="12">
        <f>Setup!$B$7</f>
        <v/>
      </c>
      <c r="I93" s="12">
        <f>Setup!$B$8</f>
        <v/>
      </c>
      <c r="J93" s="13">
        <f>IF($D93="","",IFERROR(INDEX(Units_Owners!$J$5:$J$504,MATCH($D93,Units_Owners!$A$5:$A$504,0)),0)+SUMIFS(Ledger!$F:$F,Ledger!$B:$B,$D93,Ledger!$D:$D,"&lt;"&amp;$H93)-SUMIFS(Ledger!$G:$G,Ledger!$B:$B,$D93,Ledger!$D:$D,"&lt;"&amp;$H93))</f>
        <v/>
      </c>
      <c r="K93" s="13">
        <f>IF($D93="","",IFERROR(INDEX(Units_Owners!$H$5:$H$504,MATCH($D93,Units_Owners!$A$5:$A$504,0)),Setup!$B$10))</f>
        <v/>
      </c>
      <c r="L93" s="13">
        <f>IF($D93="","",Setup!$B$11)</f>
        <v/>
      </c>
      <c r="M93" s="13">
        <f>IF($D93="","",IF(AND(TODAY()&gt;=Setup!$B$9,$P93&gt;0),Setup!$B$12,0))</f>
        <v/>
      </c>
      <c r="N93" s="13">
        <f>IF($D93="","",SUM($J93:$M93))</f>
        <v/>
      </c>
      <c r="O93" s="13">
        <f>IF($A93="","",SUMIFS(Payments!$F:$F,Payments!$D:$D,$A93))</f>
        <v/>
      </c>
      <c r="P93" s="13">
        <f>IF($D93="","",MAX(0,$N93-$O93))</f>
        <v/>
      </c>
      <c r="Q93" s="2">
        <f>IF($D93="","",IF(IFERROR(INDEX(Units_Owners!$I$5:$I$504,MATCH($D93,Units_Owners!$A$5:$A$504,0)),"No")&lt;&gt;"Yes","Skip - Inactive",IF($P93=0,"Paid",IF(TODAY()&gt;$I93,"Past Due","Open"))))</f>
        <v/>
      </c>
      <c r="R93" s="12" t="n"/>
      <c r="S93" s="2" t="n"/>
    </row>
    <row r="94">
      <c r="A94" s="2">
        <f>IF($D94="","","INV-"&amp;$B94&amp;"-"&amp;$C94&amp;"-"&amp;TEXT(ROW(A90),"0000"))</f>
        <v/>
      </c>
      <c r="B94" s="2">
        <f>Setup!$B$5</f>
        <v/>
      </c>
      <c r="C94" s="2">
        <f>Setup!$B$6</f>
        <v/>
      </c>
      <c r="D94" s="2">
        <f>IFERROR(INDEX(Units_Owners!$A$5:$A$504,ROWS($A$5:A94)),"")</f>
        <v/>
      </c>
      <c r="E94" s="2">
        <f>IF($D94="","",IFERROR(INDEX(Units_Owners!$B$5:$B$504,MATCH($D94,Units_Owners!$A$5:$A$504,0)),""))</f>
        <v/>
      </c>
      <c r="F94" s="2">
        <f>IF($D94="","",IFERROR(INDEX(Units_Owners!$C$5:$C$504,MATCH($D94,Units_Owners!$A$5:$A$504,0)),""))</f>
        <v/>
      </c>
      <c r="G94" s="2">
        <f>IF($D94="","",IFERROR(INDEX(Units_Owners!$D$5:$D$504,MATCH($D94,Units_Owners!$A$5:$A$504,0)),""))</f>
        <v/>
      </c>
      <c r="H94" s="12">
        <f>Setup!$B$7</f>
        <v/>
      </c>
      <c r="I94" s="12">
        <f>Setup!$B$8</f>
        <v/>
      </c>
      <c r="J94" s="13">
        <f>IF($D94="","",IFERROR(INDEX(Units_Owners!$J$5:$J$504,MATCH($D94,Units_Owners!$A$5:$A$504,0)),0)+SUMIFS(Ledger!$F:$F,Ledger!$B:$B,$D94,Ledger!$D:$D,"&lt;"&amp;$H94)-SUMIFS(Ledger!$G:$G,Ledger!$B:$B,$D94,Ledger!$D:$D,"&lt;"&amp;$H94))</f>
        <v/>
      </c>
      <c r="K94" s="13">
        <f>IF($D94="","",IFERROR(INDEX(Units_Owners!$H$5:$H$504,MATCH($D94,Units_Owners!$A$5:$A$504,0)),Setup!$B$10))</f>
        <v/>
      </c>
      <c r="L94" s="13">
        <f>IF($D94="","",Setup!$B$11)</f>
        <v/>
      </c>
      <c r="M94" s="13">
        <f>IF($D94="","",IF(AND(TODAY()&gt;=Setup!$B$9,$P94&gt;0),Setup!$B$12,0))</f>
        <v/>
      </c>
      <c r="N94" s="13">
        <f>IF($D94="","",SUM($J94:$M94))</f>
        <v/>
      </c>
      <c r="O94" s="13">
        <f>IF($A94="","",SUMIFS(Payments!$F:$F,Payments!$D:$D,$A94))</f>
        <v/>
      </c>
      <c r="P94" s="13">
        <f>IF($D94="","",MAX(0,$N94-$O94))</f>
        <v/>
      </c>
      <c r="Q94" s="2">
        <f>IF($D94="","",IF(IFERROR(INDEX(Units_Owners!$I$5:$I$504,MATCH($D94,Units_Owners!$A$5:$A$504,0)),"No")&lt;&gt;"Yes","Skip - Inactive",IF($P94=0,"Paid",IF(TODAY()&gt;$I94,"Past Due","Open"))))</f>
        <v/>
      </c>
      <c r="R94" s="14" t="n"/>
      <c r="S94" s="6" t="n"/>
    </row>
    <row r="95">
      <c r="A95" s="2">
        <f>IF($D95="","","INV-"&amp;$B95&amp;"-"&amp;$C95&amp;"-"&amp;TEXT(ROW(A91),"0000"))</f>
        <v/>
      </c>
      <c r="B95" s="2">
        <f>Setup!$B$5</f>
        <v/>
      </c>
      <c r="C95" s="2">
        <f>Setup!$B$6</f>
        <v/>
      </c>
      <c r="D95" s="2">
        <f>IFERROR(INDEX(Units_Owners!$A$5:$A$504,ROWS($A$5:A95)),"")</f>
        <v/>
      </c>
      <c r="E95" s="2">
        <f>IF($D95="","",IFERROR(INDEX(Units_Owners!$B$5:$B$504,MATCH($D95,Units_Owners!$A$5:$A$504,0)),""))</f>
        <v/>
      </c>
      <c r="F95" s="2">
        <f>IF($D95="","",IFERROR(INDEX(Units_Owners!$C$5:$C$504,MATCH($D95,Units_Owners!$A$5:$A$504,0)),""))</f>
        <v/>
      </c>
      <c r="G95" s="2">
        <f>IF($D95="","",IFERROR(INDEX(Units_Owners!$D$5:$D$504,MATCH($D95,Units_Owners!$A$5:$A$504,0)),""))</f>
        <v/>
      </c>
      <c r="H95" s="12">
        <f>Setup!$B$7</f>
        <v/>
      </c>
      <c r="I95" s="12">
        <f>Setup!$B$8</f>
        <v/>
      </c>
      <c r="J95" s="13">
        <f>IF($D95="","",IFERROR(INDEX(Units_Owners!$J$5:$J$504,MATCH($D95,Units_Owners!$A$5:$A$504,0)),0)+SUMIFS(Ledger!$F:$F,Ledger!$B:$B,$D95,Ledger!$D:$D,"&lt;"&amp;$H95)-SUMIFS(Ledger!$G:$G,Ledger!$B:$B,$D95,Ledger!$D:$D,"&lt;"&amp;$H95))</f>
        <v/>
      </c>
      <c r="K95" s="13">
        <f>IF($D95="","",IFERROR(INDEX(Units_Owners!$H$5:$H$504,MATCH($D95,Units_Owners!$A$5:$A$504,0)),Setup!$B$10))</f>
        <v/>
      </c>
      <c r="L95" s="13">
        <f>IF($D95="","",Setup!$B$11)</f>
        <v/>
      </c>
      <c r="M95" s="13">
        <f>IF($D95="","",IF(AND(TODAY()&gt;=Setup!$B$9,$P95&gt;0),Setup!$B$12,0))</f>
        <v/>
      </c>
      <c r="N95" s="13">
        <f>IF($D95="","",SUM($J95:$M95))</f>
        <v/>
      </c>
      <c r="O95" s="13">
        <f>IF($A95="","",SUMIFS(Payments!$F:$F,Payments!$D:$D,$A95))</f>
        <v/>
      </c>
      <c r="P95" s="13">
        <f>IF($D95="","",MAX(0,$N95-$O95))</f>
        <v/>
      </c>
      <c r="Q95" s="2">
        <f>IF($D95="","",IF(IFERROR(INDEX(Units_Owners!$I$5:$I$504,MATCH($D95,Units_Owners!$A$5:$A$504,0)),"No")&lt;&gt;"Yes","Skip - Inactive",IF($P95=0,"Paid",IF(TODAY()&gt;$I95,"Past Due","Open"))))</f>
        <v/>
      </c>
      <c r="R95" s="12" t="n"/>
      <c r="S95" s="2" t="n"/>
    </row>
    <row r="96">
      <c r="A96" s="2">
        <f>IF($D96="","","INV-"&amp;$B96&amp;"-"&amp;$C96&amp;"-"&amp;TEXT(ROW(A92),"0000"))</f>
        <v/>
      </c>
      <c r="B96" s="2">
        <f>Setup!$B$5</f>
        <v/>
      </c>
      <c r="C96" s="2">
        <f>Setup!$B$6</f>
        <v/>
      </c>
      <c r="D96" s="2">
        <f>IFERROR(INDEX(Units_Owners!$A$5:$A$504,ROWS($A$5:A96)),"")</f>
        <v/>
      </c>
      <c r="E96" s="2">
        <f>IF($D96="","",IFERROR(INDEX(Units_Owners!$B$5:$B$504,MATCH($D96,Units_Owners!$A$5:$A$504,0)),""))</f>
        <v/>
      </c>
      <c r="F96" s="2">
        <f>IF($D96="","",IFERROR(INDEX(Units_Owners!$C$5:$C$504,MATCH($D96,Units_Owners!$A$5:$A$504,0)),""))</f>
        <v/>
      </c>
      <c r="G96" s="2">
        <f>IF($D96="","",IFERROR(INDEX(Units_Owners!$D$5:$D$504,MATCH($D96,Units_Owners!$A$5:$A$504,0)),""))</f>
        <v/>
      </c>
      <c r="H96" s="12">
        <f>Setup!$B$7</f>
        <v/>
      </c>
      <c r="I96" s="12">
        <f>Setup!$B$8</f>
        <v/>
      </c>
      <c r="J96" s="13">
        <f>IF($D96="","",IFERROR(INDEX(Units_Owners!$J$5:$J$504,MATCH($D96,Units_Owners!$A$5:$A$504,0)),0)+SUMIFS(Ledger!$F:$F,Ledger!$B:$B,$D96,Ledger!$D:$D,"&lt;"&amp;$H96)-SUMIFS(Ledger!$G:$G,Ledger!$B:$B,$D96,Ledger!$D:$D,"&lt;"&amp;$H96))</f>
        <v/>
      </c>
      <c r="K96" s="13">
        <f>IF($D96="","",IFERROR(INDEX(Units_Owners!$H$5:$H$504,MATCH($D96,Units_Owners!$A$5:$A$504,0)),Setup!$B$10))</f>
        <v/>
      </c>
      <c r="L96" s="13">
        <f>IF($D96="","",Setup!$B$11)</f>
        <v/>
      </c>
      <c r="M96" s="13">
        <f>IF($D96="","",IF(AND(TODAY()&gt;=Setup!$B$9,$P96&gt;0),Setup!$B$12,0))</f>
        <v/>
      </c>
      <c r="N96" s="13">
        <f>IF($D96="","",SUM($J96:$M96))</f>
        <v/>
      </c>
      <c r="O96" s="13">
        <f>IF($A96="","",SUMIFS(Payments!$F:$F,Payments!$D:$D,$A96))</f>
        <v/>
      </c>
      <c r="P96" s="13">
        <f>IF($D96="","",MAX(0,$N96-$O96))</f>
        <v/>
      </c>
      <c r="Q96" s="2">
        <f>IF($D96="","",IF(IFERROR(INDEX(Units_Owners!$I$5:$I$504,MATCH($D96,Units_Owners!$A$5:$A$504,0)),"No")&lt;&gt;"Yes","Skip - Inactive",IF($P96=0,"Paid",IF(TODAY()&gt;$I96,"Past Due","Open"))))</f>
        <v/>
      </c>
      <c r="R96" s="14" t="n"/>
      <c r="S96" s="6" t="n"/>
    </row>
    <row r="97">
      <c r="A97" s="2">
        <f>IF($D97="","","INV-"&amp;$B97&amp;"-"&amp;$C97&amp;"-"&amp;TEXT(ROW(A93),"0000"))</f>
        <v/>
      </c>
      <c r="B97" s="2">
        <f>Setup!$B$5</f>
        <v/>
      </c>
      <c r="C97" s="2">
        <f>Setup!$B$6</f>
        <v/>
      </c>
      <c r="D97" s="2">
        <f>IFERROR(INDEX(Units_Owners!$A$5:$A$504,ROWS($A$5:A97)),"")</f>
        <v/>
      </c>
      <c r="E97" s="2">
        <f>IF($D97="","",IFERROR(INDEX(Units_Owners!$B$5:$B$504,MATCH($D97,Units_Owners!$A$5:$A$504,0)),""))</f>
        <v/>
      </c>
      <c r="F97" s="2">
        <f>IF($D97="","",IFERROR(INDEX(Units_Owners!$C$5:$C$504,MATCH($D97,Units_Owners!$A$5:$A$504,0)),""))</f>
        <v/>
      </c>
      <c r="G97" s="2">
        <f>IF($D97="","",IFERROR(INDEX(Units_Owners!$D$5:$D$504,MATCH($D97,Units_Owners!$A$5:$A$504,0)),""))</f>
        <v/>
      </c>
      <c r="H97" s="12">
        <f>Setup!$B$7</f>
        <v/>
      </c>
      <c r="I97" s="12">
        <f>Setup!$B$8</f>
        <v/>
      </c>
      <c r="J97" s="13">
        <f>IF($D97="","",IFERROR(INDEX(Units_Owners!$J$5:$J$504,MATCH($D97,Units_Owners!$A$5:$A$504,0)),0)+SUMIFS(Ledger!$F:$F,Ledger!$B:$B,$D97,Ledger!$D:$D,"&lt;"&amp;$H97)-SUMIFS(Ledger!$G:$G,Ledger!$B:$B,$D97,Ledger!$D:$D,"&lt;"&amp;$H97))</f>
        <v/>
      </c>
      <c r="K97" s="13">
        <f>IF($D97="","",IFERROR(INDEX(Units_Owners!$H$5:$H$504,MATCH($D97,Units_Owners!$A$5:$A$504,0)),Setup!$B$10))</f>
        <v/>
      </c>
      <c r="L97" s="13">
        <f>IF($D97="","",Setup!$B$11)</f>
        <v/>
      </c>
      <c r="M97" s="13">
        <f>IF($D97="","",IF(AND(TODAY()&gt;=Setup!$B$9,$P97&gt;0),Setup!$B$12,0))</f>
        <v/>
      </c>
      <c r="N97" s="13">
        <f>IF($D97="","",SUM($J97:$M97))</f>
        <v/>
      </c>
      <c r="O97" s="13">
        <f>IF($A97="","",SUMIFS(Payments!$F:$F,Payments!$D:$D,$A97))</f>
        <v/>
      </c>
      <c r="P97" s="13">
        <f>IF($D97="","",MAX(0,$N97-$O97))</f>
        <v/>
      </c>
      <c r="Q97" s="2">
        <f>IF($D97="","",IF(IFERROR(INDEX(Units_Owners!$I$5:$I$504,MATCH($D97,Units_Owners!$A$5:$A$504,0)),"No")&lt;&gt;"Yes","Skip - Inactive",IF($P97=0,"Paid",IF(TODAY()&gt;$I97,"Past Due","Open"))))</f>
        <v/>
      </c>
      <c r="R97" s="12" t="n"/>
      <c r="S97" s="2" t="n"/>
    </row>
    <row r="98">
      <c r="A98" s="2">
        <f>IF($D98="","","INV-"&amp;$B98&amp;"-"&amp;$C98&amp;"-"&amp;TEXT(ROW(A94),"0000"))</f>
        <v/>
      </c>
      <c r="B98" s="2">
        <f>Setup!$B$5</f>
        <v/>
      </c>
      <c r="C98" s="2">
        <f>Setup!$B$6</f>
        <v/>
      </c>
      <c r="D98" s="2">
        <f>IFERROR(INDEX(Units_Owners!$A$5:$A$504,ROWS($A$5:A98)),"")</f>
        <v/>
      </c>
      <c r="E98" s="2">
        <f>IF($D98="","",IFERROR(INDEX(Units_Owners!$B$5:$B$504,MATCH($D98,Units_Owners!$A$5:$A$504,0)),""))</f>
        <v/>
      </c>
      <c r="F98" s="2">
        <f>IF($D98="","",IFERROR(INDEX(Units_Owners!$C$5:$C$504,MATCH($D98,Units_Owners!$A$5:$A$504,0)),""))</f>
        <v/>
      </c>
      <c r="G98" s="2">
        <f>IF($D98="","",IFERROR(INDEX(Units_Owners!$D$5:$D$504,MATCH($D98,Units_Owners!$A$5:$A$504,0)),""))</f>
        <v/>
      </c>
      <c r="H98" s="12">
        <f>Setup!$B$7</f>
        <v/>
      </c>
      <c r="I98" s="12">
        <f>Setup!$B$8</f>
        <v/>
      </c>
      <c r="J98" s="13">
        <f>IF($D98="","",IFERROR(INDEX(Units_Owners!$J$5:$J$504,MATCH($D98,Units_Owners!$A$5:$A$504,0)),0)+SUMIFS(Ledger!$F:$F,Ledger!$B:$B,$D98,Ledger!$D:$D,"&lt;"&amp;$H98)-SUMIFS(Ledger!$G:$G,Ledger!$B:$B,$D98,Ledger!$D:$D,"&lt;"&amp;$H98))</f>
        <v/>
      </c>
      <c r="K98" s="13">
        <f>IF($D98="","",IFERROR(INDEX(Units_Owners!$H$5:$H$504,MATCH($D98,Units_Owners!$A$5:$A$504,0)),Setup!$B$10))</f>
        <v/>
      </c>
      <c r="L98" s="13">
        <f>IF($D98="","",Setup!$B$11)</f>
        <v/>
      </c>
      <c r="M98" s="13">
        <f>IF($D98="","",IF(AND(TODAY()&gt;=Setup!$B$9,$P98&gt;0),Setup!$B$12,0))</f>
        <v/>
      </c>
      <c r="N98" s="13">
        <f>IF($D98="","",SUM($J98:$M98))</f>
        <v/>
      </c>
      <c r="O98" s="13">
        <f>IF($A98="","",SUMIFS(Payments!$F:$F,Payments!$D:$D,$A98))</f>
        <v/>
      </c>
      <c r="P98" s="13">
        <f>IF($D98="","",MAX(0,$N98-$O98))</f>
        <v/>
      </c>
      <c r="Q98" s="2">
        <f>IF($D98="","",IF(IFERROR(INDEX(Units_Owners!$I$5:$I$504,MATCH($D98,Units_Owners!$A$5:$A$504,0)),"No")&lt;&gt;"Yes","Skip - Inactive",IF($P98=0,"Paid",IF(TODAY()&gt;$I98,"Past Due","Open"))))</f>
        <v/>
      </c>
      <c r="R98" s="14" t="n"/>
      <c r="S98" s="6" t="n"/>
    </row>
    <row r="99">
      <c r="A99" s="2">
        <f>IF($D99="","","INV-"&amp;$B99&amp;"-"&amp;$C99&amp;"-"&amp;TEXT(ROW(A95),"0000"))</f>
        <v/>
      </c>
      <c r="B99" s="2">
        <f>Setup!$B$5</f>
        <v/>
      </c>
      <c r="C99" s="2">
        <f>Setup!$B$6</f>
        <v/>
      </c>
      <c r="D99" s="2">
        <f>IFERROR(INDEX(Units_Owners!$A$5:$A$504,ROWS($A$5:A99)),"")</f>
        <v/>
      </c>
      <c r="E99" s="2">
        <f>IF($D99="","",IFERROR(INDEX(Units_Owners!$B$5:$B$504,MATCH($D99,Units_Owners!$A$5:$A$504,0)),""))</f>
        <v/>
      </c>
      <c r="F99" s="2">
        <f>IF($D99="","",IFERROR(INDEX(Units_Owners!$C$5:$C$504,MATCH($D99,Units_Owners!$A$5:$A$504,0)),""))</f>
        <v/>
      </c>
      <c r="G99" s="2">
        <f>IF($D99="","",IFERROR(INDEX(Units_Owners!$D$5:$D$504,MATCH($D99,Units_Owners!$A$5:$A$504,0)),""))</f>
        <v/>
      </c>
      <c r="H99" s="12">
        <f>Setup!$B$7</f>
        <v/>
      </c>
      <c r="I99" s="12">
        <f>Setup!$B$8</f>
        <v/>
      </c>
      <c r="J99" s="13">
        <f>IF($D99="","",IFERROR(INDEX(Units_Owners!$J$5:$J$504,MATCH($D99,Units_Owners!$A$5:$A$504,0)),0)+SUMIFS(Ledger!$F:$F,Ledger!$B:$B,$D99,Ledger!$D:$D,"&lt;"&amp;$H99)-SUMIFS(Ledger!$G:$G,Ledger!$B:$B,$D99,Ledger!$D:$D,"&lt;"&amp;$H99))</f>
        <v/>
      </c>
      <c r="K99" s="13">
        <f>IF($D99="","",IFERROR(INDEX(Units_Owners!$H$5:$H$504,MATCH($D99,Units_Owners!$A$5:$A$504,0)),Setup!$B$10))</f>
        <v/>
      </c>
      <c r="L99" s="13">
        <f>IF($D99="","",Setup!$B$11)</f>
        <v/>
      </c>
      <c r="M99" s="13">
        <f>IF($D99="","",IF(AND(TODAY()&gt;=Setup!$B$9,$P99&gt;0),Setup!$B$12,0))</f>
        <v/>
      </c>
      <c r="N99" s="13">
        <f>IF($D99="","",SUM($J99:$M99))</f>
        <v/>
      </c>
      <c r="O99" s="13">
        <f>IF($A99="","",SUMIFS(Payments!$F:$F,Payments!$D:$D,$A99))</f>
        <v/>
      </c>
      <c r="P99" s="13">
        <f>IF($D99="","",MAX(0,$N99-$O99))</f>
        <v/>
      </c>
      <c r="Q99" s="2">
        <f>IF($D99="","",IF(IFERROR(INDEX(Units_Owners!$I$5:$I$504,MATCH($D99,Units_Owners!$A$5:$A$504,0)),"No")&lt;&gt;"Yes","Skip - Inactive",IF($P99=0,"Paid",IF(TODAY()&gt;$I99,"Past Due","Open"))))</f>
        <v/>
      </c>
      <c r="R99" s="12" t="n"/>
      <c r="S99" s="2" t="n"/>
    </row>
    <row r="100">
      <c r="A100" s="2">
        <f>IF($D100="","","INV-"&amp;$B100&amp;"-"&amp;$C100&amp;"-"&amp;TEXT(ROW(A96),"0000"))</f>
        <v/>
      </c>
      <c r="B100" s="2">
        <f>Setup!$B$5</f>
        <v/>
      </c>
      <c r="C100" s="2">
        <f>Setup!$B$6</f>
        <v/>
      </c>
      <c r="D100" s="2">
        <f>IFERROR(INDEX(Units_Owners!$A$5:$A$504,ROWS($A$5:A100)),"")</f>
        <v/>
      </c>
      <c r="E100" s="2">
        <f>IF($D100="","",IFERROR(INDEX(Units_Owners!$B$5:$B$504,MATCH($D100,Units_Owners!$A$5:$A$504,0)),""))</f>
        <v/>
      </c>
      <c r="F100" s="2">
        <f>IF($D100="","",IFERROR(INDEX(Units_Owners!$C$5:$C$504,MATCH($D100,Units_Owners!$A$5:$A$504,0)),""))</f>
        <v/>
      </c>
      <c r="G100" s="2">
        <f>IF($D100="","",IFERROR(INDEX(Units_Owners!$D$5:$D$504,MATCH($D100,Units_Owners!$A$5:$A$504,0)),""))</f>
        <v/>
      </c>
      <c r="H100" s="12">
        <f>Setup!$B$7</f>
        <v/>
      </c>
      <c r="I100" s="12">
        <f>Setup!$B$8</f>
        <v/>
      </c>
      <c r="J100" s="13">
        <f>IF($D100="","",IFERROR(INDEX(Units_Owners!$J$5:$J$504,MATCH($D100,Units_Owners!$A$5:$A$504,0)),0)+SUMIFS(Ledger!$F:$F,Ledger!$B:$B,$D100,Ledger!$D:$D,"&lt;"&amp;$H100)-SUMIFS(Ledger!$G:$G,Ledger!$B:$B,$D100,Ledger!$D:$D,"&lt;"&amp;$H100))</f>
        <v/>
      </c>
      <c r="K100" s="13">
        <f>IF($D100="","",IFERROR(INDEX(Units_Owners!$H$5:$H$504,MATCH($D100,Units_Owners!$A$5:$A$504,0)),Setup!$B$10))</f>
        <v/>
      </c>
      <c r="L100" s="13">
        <f>IF($D100="","",Setup!$B$11)</f>
        <v/>
      </c>
      <c r="M100" s="13">
        <f>IF($D100="","",IF(AND(TODAY()&gt;=Setup!$B$9,$P100&gt;0),Setup!$B$12,0))</f>
        <v/>
      </c>
      <c r="N100" s="13">
        <f>IF($D100="","",SUM($J100:$M100))</f>
        <v/>
      </c>
      <c r="O100" s="13">
        <f>IF($A100="","",SUMIFS(Payments!$F:$F,Payments!$D:$D,$A100))</f>
        <v/>
      </c>
      <c r="P100" s="13">
        <f>IF($D100="","",MAX(0,$N100-$O100))</f>
        <v/>
      </c>
      <c r="Q100" s="2">
        <f>IF($D100="","",IF(IFERROR(INDEX(Units_Owners!$I$5:$I$504,MATCH($D100,Units_Owners!$A$5:$A$504,0)),"No")&lt;&gt;"Yes","Skip - Inactive",IF($P100=0,"Paid",IF(TODAY()&gt;$I100,"Past Due","Open"))))</f>
        <v/>
      </c>
      <c r="R100" s="14" t="n"/>
      <c r="S100" s="6" t="n"/>
    </row>
    <row r="101">
      <c r="A101" s="2">
        <f>IF($D101="","","INV-"&amp;$B101&amp;"-"&amp;$C101&amp;"-"&amp;TEXT(ROW(A97),"0000"))</f>
        <v/>
      </c>
      <c r="B101" s="2">
        <f>Setup!$B$5</f>
        <v/>
      </c>
      <c r="C101" s="2">
        <f>Setup!$B$6</f>
        <v/>
      </c>
      <c r="D101" s="2">
        <f>IFERROR(INDEX(Units_Owners!$A$5:$A$504,ROWS($A$5:A101)),"")</f>
        <v/>
      </c>
      <c r="E101" s="2">
        <f>IF($D101="","",IFERROR(INDEX(Units_Owners!$B$5:$B$504,MATCH($D101,Units_Owners!$A$5:$A$504,0)),""))</f>
        <v/>
      </c>
      <c r="F101" s="2">
        <f>IF($D101="","",IFERROR(INDEX(Units_Owners!$C$5:$C$504,MATCH($D101,Units_Owners!$A$5:$A$504,0)),""))</f>
        <v/>
      </c>
      <c r="G101" s="2">
        <f>IF($D101="","",IFERROR(INDEX(Units_Owners!$D$5:$D$504,MATCH($D101,Units_Owners!$A$5:$A$504,0)),""))</f>
        <v/>
      </c>
      <c r="H101" s="12">
        <f>Setup!$B$7</f>
        <v/>
      </c>
      <c r="I101" s="12">
        <f>Setup!$B$8</f>
        <v/>
      </c>
      <c r="J101" s="13">
        <f>IF($D101="","",IFERROR(INDEX(Units_Owners!$J$5:$J$504,MATCH($D101,Units_Owners!$A$5:$A$504,0)),0)+SUMIFS(Ledger!$F:$F,Ledger!$B:$B,$D101,Ledger!$D:$D,"&lt;"&amp;$H101)-SUMIFS(Ledger!$G:$G,Ledger!$B:$B,$D101,Ledger!$D:$D,"&lt;"&amp;$H101))</f>
        <v/>
      </c>
      <c r="K101" s="13">
        <f>IF($D101="","",IFERROR(INDEX(Units_Owners!$H$5:$H$504,MATCH($D101,Units_Owners!$A$5:$A$504,0)),Setup!$B$10))</f>
        <v/>
      </c>
      <c r="L101" s="13">
        <f>IF($D101="","",Setup!$B$11)</f>
        <v/>
      </c>
      <c r="M101" s="13">
        <f>IF($D101="","",IF(AND(TODAY()&gt;=Setup!$B$9,$P101&gt;0),Setup!$B$12,0))</f>
        <v/>
      </c>
      <c r="N101" s="13">
        <f>IF($D101="","",SUM($J101:$M101))</f>
        <v/>
      </c>
      <c r="O101" s="13">
        <f>IF($A101="","",SUMIFS(Payments!$F:$F,Payments!$D:$D,$A101))</f>
        <v/>
      </c>
      <c r="P101" s="13">
        <f>IF($D101="","",MAX(0,$N101-$O101))</f>
        <v/>
      </c>
      <c r="Q101" s="2">
        <f>IF($D101="","",IF(IFERROR(INDEX(Units_Owners!$I$5:$I$504,MATCH($D101,Units_Owners!$A$5:$A$504,0)),"No")&lt;&gt;"Yes","Skip - Inactive",IF($P101=0,"Paid",IF(TODAY()&gt;$I101,"Past Due","Open"))))</f>
        <v/>
      </c>
      <c r="R101" s="12" t="n"/>
      <c r="S101" s="2" t="n"/>
    </row>
    <row r="102">
      <c r="A102" s="2">
        <f>IF($D102="","","INV-"&amp;$B102&amp;"-"&amp;$C102&amp;"-"&amp;TEXT(ROW(A98),"0000"))</f>
        <v/>
      </c>
      <c r="B102" s="2">
        <f>Setup!$B$5</f>
        <v/>
      </c>
      <c r="C102" s="2">
        <f>Setup!$B$6</f>
        <v/>
      </c>
      <c r="D102" s="2">
        <f>IFERROR(INDEX(Units_Owners!$A$5:$A$504,ROWS($A$5:A102)),"")</f>
        <v/>
      </c>
      <c r="E102" s="2">
        <f>IF($D102="","",IFERROR(INDEX(Units_Owners!$B$5:$B$504,MATCH($D102,Units_Owners!$A$5:$A$504,0)),""))</f>
        <v/>
      </c>
      <c r="F102" s="2">
        <f>IF($D102="","",IFERROR(INDEX(Units_Owners!$C$5:$C$504,MATCH($D102,Units_Owners!$A$5:$A$504,0)),""))</f>
        <v/>
      </c>
      <c r="G102" s="2">
        <f>IF($D102="","",IFERROR(INDEX(Units_Owners!$D$5:$D$504,MATCH($D102,Units_Owners!$A$5:$A$504,0)),""))</f>
        <v/>
      </c>
      <c r="H102" s="12">
        <f>Setup!$B$7</f>
        <v/>
      </c>
      <c r="I102" s="12">
        <f>Setup!$B$8</f>
        <v/>
      </c>
      <c r="J102" s="13">
        <f>IF($D102="","",IFERROR(INDEX(Units_Owners!$J$5:$J$504,MATCH($D102,Units_Owners!$A$5:$A$504,0)),0)+SUMIFS(Ledger!$F:$F,Ledger!$B:$B,$D102,Ledger!$D:$D,"&lt;"&amp;$H102)-SUMIFS(Ledger!$G:$G,Ledger!$B:$B,$D102,Ledger!$D:$D,"&lt;"&amp;$H102))</f>
        <v/>
      </c>
      <c r="K102" s="13">
        <f>IF($D102="","",IFERROR(INDEX(Units_Owners!$H$5:$H$504,MATCH($D102,Units_Owners!$A$5:$A$504,0)),Setup!$B$10))</f>
        <v/>
      </c>
      <c r="L102" s="13">
        <f>IF($D102="","",Setup!$B$11)</f>
        <v/>
      </c>
      <c r="M102" s="13">
        <f>IF($D102="","",IF(AND(TODAY()&gt;=Setup!$B$9,$P102&gt;0),Setup!$B$12,0))</f>
        <v/>
      </c>
      <c r="N102" s="13">
        <f>IF($D102="","",SUM($J102:$M102))</f>
        <v/>
      </c>
      <c r="O102" s="13">
        <f>IF($A102="","",SUMIFS(Payments!$F:$F,Payments!$D:$D,$A102))</f>
        <v/>
      </c>
      <c r="P102" s="13">
        <f>IF($D102="","",MAX(0,$N102-$O102))</f>
        <v/>
      </c>
      <c r="Q102" s="2">
        <f>IF($D102="","",IF(IFERROR(INDEX(Units_Owners!$I$5:$I$504,MATCH($D102,Units_Owners!$A$5:$A$504,0)),"No")&lt;&gt;"Yes","Skip - Inactive",IF($P102=0,"Paid",IF(TODAY()&gt;$I102,"Past Due","Open"))))</f>
        <v/>
      </c>
      <c r="R102" s="14" t="n"/>
      <c r="S102" s="6" t="n"/>
    </row>
    <row r="103">
      <c r="A103" s="2">
        <f>IF($D103="","","INV-"&amp;$B103&amp;"-"&amp;$C103&amp;"-"&amp;TEXT(ROW(A99),"0000"))</f>
        <v/>
      </c>
      <c r="B103" s="2">
        <f>Setup!$B$5</f>
        <v/>
      </c>
      <c r="C103" s="2">
        <f>Setup!$B$6</f>
        <v/>
      </c>
      <c r="D103" s="2">
        <f>IFERROR(INDEX(Units_Owners!$A$5:$A$504,ROWS($A$5:A103)),"")</f>
        <v/>
      </c>
      <c r="E103" s="2">
        <f>IF($D103="","",IFERROR(INDEX(Units_Owners!$B$5:$B$504,MATCH($D103,Units_Owners!$A$5:$A$504,0)),""))</f>
        <v/>
      </c>
      <c r="F103" s="2">
        <f>IF($D103="","",IFERROR(INDEX(Units_Owners!$C$5:$C$504,MATCH($D103,Units_Owners!$A$5:$A$504,0)),""))</f>
        <v/>
      </c>
      <c r="G103" s="2">
        <f>IF($D103="","",IFERROR(INDEX(Units_Owners!$D$5:$D$504,MATCH($D103,Units_Owners!$A$5:$A$504,0)),""))</f>
        <v/>
      </c>
      <c r="H103" s="12">
        <f>Setup!$B$7</f>
        <v/>
      </c>
      <c r="I103" s="12">
        <f>Setup!$B$8</f>
        <v/>
      </c>
      <c r="J103" s="13">
        <f>IF($D103="","",IFERROR(INDEX(Units_Owners!$J$5:$J$504,MATCH($D103,Units_Owners!$A$5:$A$504,0)),0)+SUMIFS(Ledger!$F:$F,Ledger!$B:$B,$D103,Ledger!$D:$D,"&lt;"&amp;$H103)-SUMIFS(Ledger!$G:$G,Ledger!$B:$B,$D103,Ledger!$D:$D,"&lt;"&amp;$H103))</f>
        <v/>
      </c>
      <c r="K103" s="13">
        <f>IF($D103="","",IFERROR(INDEX(Units_Owners!$H$5:$H$504,MATCH($D103,Units_Owners!$A$5:$A$504,0)),Setup!$B$10))</f>
        <v/>
      </c>
      <c r="L103" s="13">
        <f>IF($D103="","",Setup!$B$11)</f>
        <v/>
      </c>
      <c r="M103" s="13">
        <f>IF($D103="","",IF(AND(TODAY()&gt;=Setup!$B$9,$P103&gt;0),Setup!$B$12,0))</f>
        <v/>
      </c>
      <c r="N103" s="13">
        <f>IF($D103="","",SUM($J103:$M103))</f>
        <v/>
      </c>
      <c r="O103" s="13">
        <f>IF($A103="","",SUMIFS(Payments!$F:$F,Payments!$D:$D,$A103))</f>
        <v/>
      </c>
      <c r="P103" s="13">
        <f>IF($D103="","",MAX(0,$N103-$O103))</f>
        <v/>
      </c>
      <c r="Q103" s="2">
        <f>IF($D103="","",IF(IFERROR(INDEX(Units_Owners!$I$5:$I$504,MATCH($D103,Units_Owners!$A$5:$A$504,0)),"No")&lt;&gt;"Yes","Skip - Inactive",IF($P103=0,"Paid",IF(TODAY()&gt;$I103,"Past Due","Open"))))</f>
        <v/>
      </c>
      <c r="R103" s="12" t="n"/>
      <c r="S103" s="2" t="n"/>
    </row>
    <row r="104">
      <c r="A104" s="2">
        <f>IF($D104="","","INV-"&amp;$B104&amp;"-"&amp;$C104&amp;"-"&amp;TEXT(ROW(A100),"0000"))</f>
        <v/>
      </c>
      <c r="B104" s="2">
        <f>Setup!$B$5</f>
        <v/>
      </c>
      <c r="C104" s="2">
        <f>Setup!$B$6</f>
        <v/>
      </c>
      <c r="D104" s="2">
        <f>IFERROR(INDEX(Units_Owners!$A$5:$A$504,ROWS($A$5:A104)),"")</f>
        <v/>
      </c>
      <c r="E104" s="2">
        <f>IF($D104="","",IFERROR(INDEX(Units_Owners!$B$5:$B$504,MATCH($D104,Units_Owners!$A$5:$A$504,0)),""))</f>
        <v/>
      </c>
      <c r="F104" s="2">
        <f>IF($D104="","",IFERROR(INDEX(Units_Owners!$C$5:$C$504,MATCH($D104,Units_Owners!$A$5:$A$504,0)),""))</f>
        <v/>
      </c>
      <c r="G104" s="2">
        <f>IF($D104="","",IFERROR(INDEX(Units_Owners!$D$5:$D$504,MATCH($D104,Units_Owners!$A$5:$A$504,0)),""))</f>
        <v/>
      </c>
      <c r="H104" s="12">
        <f>Setup!$B$7</f>
        <v/>
      </c>
      <c r="I104" s="12">
        <f>Setup!$B$8</f>
        <v/>
      </c>
      <c r="J104" s="13">
        <f>IF($D104="","",IFERROR(INDEX(Units_Owners!$J$5:$J$504,MATCH($D104,Units_Owners!$A$5:$A$504,0)),0)+SUMIFS(Ledger!$F:$F,Ledger!$B:$B,$D104,Ledger!$D:$D,"&lt;"&amp;$H104)-SUMIFS(Ledger!$G:$G,Ledger!$B:$B,$D104,Ledger!$D:$D,"&lt;"&amp;$H104))</f>
        <v/>
      </c>
      <c r="K104" s="13">
        <f>IF($D104="","",IFERROR(INDEX(Units_Owners!$H$5:$H$504,MATCH($D104,Units_Owners!$A$5:$A$504,0)),Setup!$B$10))</f>
        <v/>
      </c>
      <c r="L104" s="13">
        <f>IF($D104="","",Setup!$B$11)</f>
        <v/>
      </c>
      <c r="M104" s="13">
        <f>IF($D104="","",IF(AND(TODAY()&gt;=Setup!$B$9,$P104&gt;0),Setup!$B$12,0))</f>
        <v/>
      </c>
      <c r="N104" s="13">
        <f>IF($D104="","",SUM($J104:$M104))</f>
        <v/>
      </c>
      <c r="O104" s="13">
        <f>IF($A104="","",SUMIFS(Payments!$F:$F,Payments!$D:$D,$A104))</f>
        <v/>
      </c>
      <c r="P104" s="13">
        <f>IF($D104="","",MAX(0,$N104-$O104))</f>
        <v/>
      </c>
      <c r="Q104" s="2">
        <f>IF($D104="","",IF(IFERROR(INDEX(Units_Owners!$I$5:$I$504,MATCH($D104,Units_Owners!$A$5:$A$504,0)),"No")&lt;&gt;"Yes","Skip - Inactive",IF($P104=0,"Paid",IF(TODAY()&gt;$I104,"Past Due","Open"))))</f>
        <v/>
      </c>
      <c r="R104" s="14" t="n"/>
      <c r="S104" s="6" t="n"/>
    </row>
    <row r="105">
      <c r="A105" s="2">
        <f>IF($D105="","","INV-"&amp;$B105&amp;"-"&amp;$C105&amp;"-"&amp;TEXT(ROW(A101),"0000"))</f>
        <v/>
      </c>
      <c r="B105" s="2">
        <f>Setup!$B$5</f>
        <v/>
      </c>
      <c r="C105" s="2">
        <f>Setup!$B$6</f>
        <v/>
      </c>
      <c r="D105" s="2">
        <f>IFERROR(INDEX(Units_Owners!$A$5:$A$504,ROWS($A$5:A105)),"")</f>
        <v/>
      </c>
      <c r="E105" s="2">
        <f>IF($D105="","",IFERROR(INDEX(Units_Owners!$B$5:$B$504,MATCH($D105,Units_Owners!$A$5:$A$504,0)),""))</f>
        <v/>
      </c>
      <c r="F105" s="2">
        <f>IF($D105="","",IFERROR(INDEX(Units_Owners!$C$5:$C$504,MATCH($D105,Units_Owners!$A$5:$A$504,0)),""))</f>
        <v/>
      </c>
      <c r="G105" s="2">
        <f>IF($D105="","",IFERROR(INDEX(Units_Owners!$D$5:$D$504,MATCH($D105,Units_Owners!$A$5:$A$504,0)),""))</f>
        <v/>
      </c>
      <c r="H105" s="12">
        <f>Setup!$B$7</f>
        <v/>
      </c>
      <c r="I105" s="12">
        <f>Setup!$B$8</f>
        <v/>
      </c>
      <c r="J105" s="13">
        <f>IF($D105="","",IFERROR(INDEX(Units_Owners!$J$5:$J$504,MATCH($D105,Units_Owners!$A$5:$A$504,0)),0)+SUMIFS(Ledger!$F:$F,Ledger!$B:$B,$D105,Ledger!$D:$D,"&lt;"&amp;$H105)-SUMIFS(Ledger!$G:$G,Ledger!$B:$B,$D105,Ledger!$D:$D,"&lt;"&amp;$H105))</f>
        <v/>
      </c>
      <c r="K105" s="13">
        <f>IF($D105="","",IFERROR(INDEX(Units_Owners!$H$5:$H$504,MATCH($D105,Units_Owners!$A$5:$A$504,0)),Setup!$B$10))</f>
        <v/>
      </c>
      <c r="L105" s="13">
        <f>IF($D105="","",Setup!$B$11)</f>
        <v/>
      </c>
      <c r="M105" s="13">
        <f>IF($D105="","",IF(AND(TODAY()&gt;=Setup!$B$9,$P105&gt;0),Setup!$B$12,0))</f>
        <v/>
      </c>
      <c r="N105" s="13">
        <f>IF($D105="","",SUM($J105:$M105))</f>
        <v/>
      </c>
      <c r="O105" s="13">
        <f>IF($A105="","",SUMIFS(Payments!$F:$F,Payments!$D:$D,$A105))</f>
        <v/>
      </c>
      <c r="P105" s="13">
        <f>IF($D105="","",MAX(0,$N105-$O105))</f>
        <v/>
      </c>
      <c r="Q105" s="2">
        <f>IF($D105="","",IF(IFERROR(INDEX(Units_Owners!$I$5:$I$504,MATCH($D105,Units_Owners!$A$5:$A$504,0)),"No")&lt;&gt;"Yes","Skip - Inactive",IF($P105=0,"Paid",IF(TODAY()&gt;$I105,"Past Due","Open"))))</f>
        <v/>
      </c>
      <c r="R105" s="12" t="n"/>
      <c r="S105" s="2" t="n"/>
    </row>
    <row r="106">
      <c r="A106" s="2">
        <f>IF($D106="","","INV-"&amp;$B106&amp;"-"&amp;$C106&amp;"-"&amp;TEXT(ROW(A102),"0000"))</f>
        <v/>
      </c>
      <c r="B106" s="2">
        <f>Setup!$B$5</f>
        <v/>
      </c>
      <c r="C106" s="2">
        <f>Setup!$B$6</f>
        <v/>
      </c>
      <c r="D106" s="2">
        <f>IFERROR(INDEX(Units_Owners!$A$5:$A$504,ROWS($A$5:A106)),"")</f>
        <v/>
      </c>
      <c r="E106" s="2">
        <f>IF($D106="","",IFERROR(INDEX(Units_Owners!$B$5:$B$504,MATCH($D106,Units_Owners!$A$5:$A$504,0)),""))</f>
        <v/>
      </c>
      <c r="F106" s="2">
        <f>IF($D106="","",IFERROR(INDEX(Units_Owners!$C$5:$C$504,MATCH($D106,Units_Owners!$A$5:$A$504,0)),""))</f>
        <v/>
      </c>
      <c r="G106" s="2">
        <f>IF($D106="","",IFERROR(INDEX(Units_Owners!$D$5:$D$504,MATCH($D106,Units_Owners!$A$5:$A$504,0)),""))</f>
        <v/>
      </c>
      <c r="H106" s="12">
        <f>Setup!$B$7</f>
        <v/>
      </c>
      <c r="I106" s="12">
        <f>Setup!$B$8</f>
        <v/>
      </c>
      <c r="J106" s="13">
        <f>IF($D106="","",IFERROR(INDEX(Units_Owners!$J$5:$J$504,MATCH($D106,Units_Owners!$A$5:$A$504,0)),0)+SUMIFS(Ledger!$F:$F,Ledger!$B:$B,$D106,Ledger!$D:$D,"&lt;"&amp;$H106)-SUMIFS(Ledger!$G:$G,Ledger!$B:$B,$D106,Ledger!$D:$D,"&lt;"&amp;$H106))</f>
        <v/>
      </c>
      <c r="K106" s="13">
        <f>IF($D106="","",IFERROR(INDEX(Units_Owners!$H$5:$H$504,MATCH($D106,Units_Owners!$A$5:$A$504,0)),Setup!$B$10))</f>
        <v/>
      </c>
      <c r="L106" s="13">
        <f>IF($D106="","",Setup!$B$11)</f>
        <v/>
      </c>
      <c r="M106" s="13">
        <f>IF($D106="","",IF(AND(TODAY()&gt;=Setup!$B$9,$P106&gt;0),Setup!$B$12,0))</f>
        <v/>
      </c>
      <c r="N106" s="13">
        <f>IF($D106="","",SUM($J106:$M106))</f>
        <v/>
      </c>
      <c r="O106" s="13">
        <f>IF($A106="","",SUMIFS(Payments!$F:$F,Payments!$D:$D,$A106))</f>
        <v/>
      </c>
      <c r="P106" s="13">
        <f>IF($D106="","",MAX(0,$N106-$O106))</f>
        <v/>
      </c>
      <c r="Q106" s="2">
        <f>IF($D106="","",IF(IFERROR(INDEX(Units_Owners!$I$5:$I$504,MATCH($D106,Units_Owners!$A$5:$A$504,0)),"No")&lt;&gt;"Yes","Skip - Inactive",IF($P106=0,"Paid",IF(TODAY()&gt;$I106,"Past Due","Open"))))</f>
        <v/>
      </c>
      <c r="R106" s="14" t="n"/>
      <c r="S106" s="6" t="n"/>
    </row>
    <row r="107">
      <c r="A107" s="2">
        <f>IF($D107="","","INV-"&amp;$B107&amp;"-"&amp;$C107&amp;"-"&amp;TEXT(ROW(A103),"0000"))</f>
        <v/>
      </c>
      <c r="B107" s="2">
        <f>Setup!$B$5</f>
        <v/>
      </c>
      <c r="C107" s="2">
        <f>Setup!$B$6</f>
        <v/>
      </c>
      <c r="D107" s="2">
        <f>IFERROR(INDEX(Units_Owners!$A$5:$A$504,ROWS($A$5:A107)),"")</f>
        <v/>
      </c>
      <c r="E107" s="2">
        <f>IF($D107="","",IFERROR(INDEX(Units_Owners!$B$5:$B$504,MATCH($D107,Units_Owners!$A$5:$A$504,0)),""))</f>
        <v/>
      </c>
      <c r="F107" s="2">
        <f>IF($D107="","",IFERROR(INDEX(Units_Owners!$C$5:$C$504,MATCH($D107,Units_Owners!$A$5:$A$504,0)),""))</f>
        <v/>
      </c>
      <c r="G107" s="2">
        <f>IF($D107="","",IFERROR(INDEX(Units_Owners!$D$5:$D$504,MATCH($D107,Units_Owners!$A$5:$A$504,0)),""))</f>
        <v/>
      </c>
      <c r="H107" s="12">
        <f>Setup!$B$7</f>
        <v/>
      </c>
      <c r="I107" s="12">
        <f>Setup!$B$8</f>
        <v/>
      </c>
      <c r="J107" s="13">
        <f>IF($D107="","",IFERROR(INDEX(Units_Owners!$J$5:$J$504,MATCH($D107,Units_Owners!$A$5:$A$504,0)),0)+SUMIFS(Ledger!$F:$F,Ledger!$B:$B,$D107,Ledger!$D:$D,"&lt;"&amp;$H107)-SUMIFS(Ledger!$G:$G,Ledger!$B:$B,$D107,Ledger!$D:$D,"&lt;"&amp;$H107))</f>
        <v/>
      </c>
      <c r="K107" s="13">
        <f>IF($D107="","",IFERROR(INDEX(Units_Owners!$H$5:$H$504,MATCH($D107,Units_Owners!$A$5:$A$504,0)),Setup!$B$10))</f>
        <v/>
      </c>
      <c r="L107" s="13">
        <f>IF($D107="","",Setup!$B$11)</f>
        <v/>
      </c>
      <c r="M107" s="13">
        <f>IF($D107="","",IF(AND(TODAY()&gt;=Setup!$B$9,$P107&gt;0),Setup!$B$12,0))</f>
        <v/>
      </c>
      <c r="N107" s="13">
        <f>IF($D107="","",SUM($J107:$M107))</f>
        <v/>
      </c>
      <c r="O107" s="13">
        <f>IF($A107="","",SUMIFS(Payments!$F:$F,Payments!$D:$D,$A107))</f>
        <v/>
      </c>
      <c r="P107" s="13">
        <f>IF($D107="","",MAX(0,$N107-$O107))</f>
        <v/>
      </c>
      <c r="Q107" s="2">
        <f>IF($D107="","",IF(IFERROR(INDEX(Units_Owners!$I$5:$I$504,MATCH($D107,Units_Owners!$A$5:$A$504,0)),"No")&lt;&gt;"Yes","Skip - Inactive",IF($P107=0,"Paid",IF(TODAY()&gt;$I107,"Past Due","Open"))))</f>
        <v/>
      </c>
      <c r="R107" s="12" t="n"/>
      <c r="S107" s="2" t="n"/>
    </row>
    <row r="108">
      <c r="A108" s="2">
        <f>IF($D108="","","INV-"&amp;$B108&amp;"-"&amp;$C108&amp;"-"&amp;TEXT(ROW(A104),"0000"))</f>
        <v/>
      </c>
      <c r="B108" s="2">
        <f>Setup!$B$5</f>
        <v/>
      </c>
      <c r="C108" s="2">
        <f>Setup!$B$6</f>
        <v/>
      </c>
      <c r="D108" s="2">
        <f>IFERROR(INDEX(Units_Owners!$A$5:$A$504,ROWS($A$5:A108)),"")</f>
        <v/>
      </c>
      <c r="E108" s="2">
        <f>IF($D108="","",IFERROR(INDEX(Units_Owners!$B$5:$B$504,MATCH($D108,Units_Owners!$A$5:$A$504,0)),""))</f>
        <v/>
      </c>
      <c r="F108" s="2">
        <f>IF($D108="","",IFERROR(INDEX(Units_Owners!$C$5:$C$504,MATCH($D108,Units_Owners!$A$5:$A$504,0)),""))</f>
        <v/>
      </c>
      <c r="G108" s="2">
        <f>IF($D108="","",IFERROR(INDEX(Units_Owners!$D$5:$D$504,MATCH($D108,Units_Owners!$A$5:$A$504,0)),""))</f>
        <v/>
      </c>
      <c r="H108" s="12">
        <f>Setup!$B$7</f>
        <v/>
      </c>
      <c r="I108" s="12">
        <f>Setup!$B$8</f>
        <v/>
      </c>
      <c r="J108" s="13">
        <f>IF($D108="","",IFERROR(INDEX(Units_Owners!$J$5:$J$504,MATCH($D108,Units_Owners!$A$5:$A$504,0)),0)+SUMIFS(Ledger!$F:$F,Ledger!$B:$B,$D108,Ledger!$D:$D,"&lt;"&amp;$H108)-SUMIFS(Ledger!$G:$G,Ledger!$B:$B,$D108,Ledger!$D:$D,"&lt;"&amp;$H108))</f>
        <v/>
      </c>
      <c r="K108" s="13">
        <f>IF($D108="","",IFERROR(INDEX(Units_Owners!$H$5:$H$504,MATCH($D108,Units_Owners!$A$5:$A$504,0)),Setup!$B$10))</f>
        <v/>
      </c>
      <c r="L108" s="13">
        <f>IF($D108="","",Setup!$B$11)</f>
        <v/>
      </c>
      <c r="M108" s="13">
        <f>IF($D108="","",IF(AND(TODAY()&gt;=Setup!$B$9,$P108&gt;0),Setup!$B$12,0))</f>
        <v/>
      </c>
      <c r="N108" s="13">
        <f>IF($D108="","",SUM($J108:$M108))</f>
        <v/>
      </c>
      <c r="O108" s="13">
        <f>IF($A108="","",SUMIFS(Payments!$F:$F,Payments!$D:$D,$A108))</f>
        <v/>
      </c>
      <c r="P108" s="13">
        <f>IF($D108="","",MAX(0,$N108-$O108))</f>
        <v/>
      </c>
      <c r="Q108" s="2">
        <f>IF($D108="","",IF(IFERROR(INDEX(Units_Owners!$I$5:$I$504,MATCH($D108,Units_Owners!$A$5:$A$504,0)),"No")&lt;&gt;"Yes","Skip - Inactive",IF($P108=0,"Paid",IF(TODAY()&gt;$I108,"Past Due","Open"))))</f>
        <v/>
      </c>
      <c r="R108" s="14" t="n"/>
      <c r="S108" s="6" t="n"/>
    </row>
    <row r="109">
      <c r="A109" s="2">
        <f>IF($D109="","","INV-"&amp;$B109&amp;"-"&amp;$C109&amp;"-"&amp;TEXT(ROW(A105),"0000"))</f>
        <v/>
      </c>
      <c r="B109" s="2">
        <f>Setup!$B$5</f>
        <v/>
      </c>
      <c r="C109" s="2">
        <f>Setup!$B$6</f>
        <v/>
      </c>
      <c r="D109" s="2">
        <f>IFERROR(INDEX(Units_Owners!$A$5:$A$504,ROWS($A$5:A109)),"")</f>
        <v/>
      </c>
      <c r="E109" s="2">
        <f>IF($D109="","",IFERROR(INDEX(Units_Owners!$B$5:$B$504,MATCH($D109,Units_Owners!$A$5:$A$504,0)),""))</f>
        <v/>
      </c>
      <c r="F109" s="2">
        <f>IF($D109="","",IFERROR(INDEX(Units_Owners!$C$5:$C$504,MATCH($D109,Units_Owners!$A$5:$A$504,0)),""))</f>
        <v/>
      </c>
      <c r="G109" s="2">
        <f>IF($D109="","",IFERROR(INDEX(Units_Owners!$D$5:$D$504,MATCH($D109,Units_Owners!$A$5:$A$504,0)),""))</f>
        <v/>
      </c>
      <c r="H109" s="12">
        <f>Setup!$B$7</f>
        <v/>
      </c>
      <c r="I109" s="12">
        <f>Setup!$B$8</f>
        <v/>
      </c>
      <c r="J109" s="13">
        <f>IF($D109="","",IFERROR(INDEX(Units_Owners!$J$5:$J$504,MATCH($D109,Units_Owners!$A$5:$A$504,0)),0)+SUMIFS(Ledger!$F:$F,Ledger!$B:$B,$D109,Ledger!$D:$D,"&lt;"&amp;$H109)-SUMIFS(Ledger!$G:$G,Ledger!$B:$B,$D109,Ledger!$D:$D,"&lt;"&amp;$H109))</f>
        <v/>
      </c>
      <c r="K109" s="13">
        <f>IF($D109="","",IFERROR(INDEX(Units_Owners!$H$5:$H$504,MATCH($D109,Units_Owners!$A$5:$A$504,0)),Setup!$B$10))</f>
        <v/>
      </c>
      <c r="L109" s="13">
        <f>IF($D109="","",Setup!$B$11)</f>
        <v/>
      </c>
      <c r="M109" s="13">
        <f>IF($D109="","",IF(AND(TODAY()&gt;=Setup!$B$9,$P109&gt;0),Setup!$B$12,0))</f>
        <v/>
      </c>
      <c r="N109" s="13">
        <f>IF($D109="","",SUM($J109:$M109))</f>
        <v/>
      </c>
      <c r="O109" s="13">
        <f>IF($A109="","",SUMIFS(Payments!$F:$F,Payments!$D:$D,$A109))</f>
        <v/>
      </c>
      <c r="P109" s="13">
        <f>IF($D109="","",MAX(0,$N109-$O109))</f>
        <v/>
      </c>
      <c r="Q109" s="2">
        <f>IF($D109="","",IF(IFERROR(INDEX(Units_Owners!$I$5:$I$504,MATCH($D109,Units_Owners!$A$5:$A$504,0)),"No")&lt;&gt;"Yes","Skip - Inactive",IF($P109=0,"Paid",IF(TODAY()&gt;$I109,"Past Due","Open"))))</f>
        <v/>
      </c>
      <c r="R109" s="12" t="n"/>
      <c r="S109" s="2" t="n"/>
    </row>
    <row r="110">
      <c r="A110" s="2">
        <f>IF($D110="","","INV-"&amp;$B110&amp;"-"&amp;$C110&amp;"-"&amp;TEXT(ROW(A106),"0000"))</f>
        <v/>
      </c>
      <c r="B110" s="2">
        <f>Setup!$B$5</f>
        <v/>
      </c>
      <c r="C110" s="2">
        <f>Setup!$B$6</f>
        <v/>
      </c>
      <c r="D110" s="2">
        <f>IFERROR(INDEX(Units_Owners!$A$5:$A$504,ROWS($A$5:A110)),"")</f>
        <v/>
      </c>
      <c r="E110" s="2">
        <f>IF($D110="","",IFERROR(INDEX(Units_Owners!$B$5:$B$504,MATCH($D110,Units_Owners!$A$5:$A$504,0)),""))</f>
        <v/>
      </c>
      <c r="F110" s="2">
        <f>IF($D110="","",IFERROR(INDEX(Units_Owners!$C$5:$C$504,MATCH($D110,Units_Owners!$A$5:$A$504,0)),""))</f>
        <v/>
      </c>
      <c r="G110" s="2">
        <f>IF($D110="","",IFERROR(INDEX(Units_Owners!$D$5:$D$504,MATCH($D110,Units_Owners!$A$5:$A$504,0)),""))</f>
        <v/>
      </c>
      <c r="H110" s="12">
        <f>Setup!$B$7</f>
        <v/>
      </c>
      <c r="I110" s="12">
        <f>Setup!$B$8</f>
        <v/>
      </c>
      <c r="J110" s="13">
        <f>IF($D110="","",IFERROR(INDEX(Units_Owners!$J$5:$J$504,MATCH($D110,Units_Owners!$A$5:$A$504,0)),0)+SUMIFS(Ledger!$F:$F,Ledger!$B:$B,$D110,Ledger!$D:$D,"&lt;"&amp;$H110)-SUMIFS(Ledger!$G:$G,Ledger!$B:$B,$D110,Ledger!$D:$D,"&lt;"&amp;$H110))</f>
        <v/>
      </c>
      <c r="K110" s="13">
        <f>IF($D110="","",IFERROR(INDEX(Units_Owners!$H$5:$H$504,MATCH($D110,Units_Owners!$A$5:$A$504,0)),Setup!$B$10))</f>
        <v/>
      </c>
      <c r="L110" s="13">
        <f>IF($D110="","",Setup!$B$11)</f>
        <v/>
      </c>
      <c r="M110" s="13">
        <f>IF($D110="","",IF(AND(TODAY()&gt;=Setup!$B$9,$P110&gt;0),Setup!$B$12,0))</f>
        <v/>
      </c>
      <c r="N110" s="13">
        <f>IF($D110="","",SUM($J110:$M110))</f>
        <v/>
      </c>
      <c r="O110" s="13">
        <f>IF($A110="","",SUMIFS(Payments!$F:$F,Payments!$D:$D,$A110))</f>
        <v/>
      </c>
      <c r="P110" s="13">
        <f>IF($D110="","",MAX(0,$N110-$O110))</f>
        <v/>
      </c>
      <c r="Q110" s="2">
        <f>IF($D110="","",IF(IFERROR(INDEX(Units_Owners!$I$5:$I$504,MATCH($D110,Units_Owners!$A$5:$A$504,0)),"No")&lt;&gt;"Yes","Skip - Inactive",IF($P110=0,"Paid",IF(TODAY()&gt;$I110,"Past Due","Open"))))</f>
        <v/>
      </c>
      <c r="R110" s="14" t="n"/>
      <c r="S110" s="6" t="n"/>
    </row>
    <row r="111">
      <c r="A111" s="2">
        <f>IF($D111="","","INV-"&amp;$B111&amp;"-"&amp;$C111&amp;"-"&amp;TEXT(ROW(A107),"0000"))</f>
        <v/>
      </c>
      <c r="B111" s="2">
        <f>Setup!$B$5</f>
        <v/>
      </c>
      <c r="C111" s="2">
        <f>Setup!$B$6</f>
        <v/>
      </c>
      <c r="D111" s="2">
        <f>IFERROR(INDEX(Units_Owners!$A$5:$A$504,ROWS($A$5:A111)),"")</f>
        <v/>
      </c>
      <c r="E111" s="2">
        <f>IF($D111="","",IFERROR(INDEX(Units_Owners!$B$5:$B$504,MATCH($D111,Units_Owners!$A$5:$A$504,0)),""))</f>
        <v/>
      </c>
      <c r="F111" s="2">
        <f>IF($D111="","",IFERROR(INDEX(Units_Owners!$C$5:$C$504,MATCH($D111,Units_Owners!$A$5:$A$504,0)),""))</f>
        <v/>
      </c>
      <c r="G111" s="2">
        <f>IF($D111="","",IFERROR(INDEX(Units_Owners!$D$5:$D$504,MATCH($D111,Units_Owners!$A$5:$A$504,0)),""))</f>
        <v/>
      </c>
      <c r="H111" s="12">
        <f>Setup!$B$7</f>
        <v/>
      </c>
      <c r="I111" s="12">
        <f>Setup!$B$8</f>
        <v/>
      </c>
      <c r="J111" s="13">
        <f>IF($D111="","",IFERROR(INDEX(Units_Owners!$J$5:$J$504,MATCH($D111,Units_Owners!$A$5:$A$504,0)),0)+SUMIFS(Ledger!$F:$F,Ledger!$B:$B,$D111,Ledger!$D:$D,"&lt;"&amp;$H111)-SUMIFS(Ledger!$G:$G,Ledger!$B:$B,$D111,Ledger!$D:$D,"&lt;"&amp;$H111))</f>
        <v/>
      </c>
      <c r="K111" s="13">
        <f>IF($D111="","",IFERROR(INDEX(Units_Owners!$H$5:$H$504,MATCH($D111,Units_Owners!$A$5:$A$504,0)),Setup!$B$10))</f>
        <v/>
      </c>
      <c r="L111" s="13">
        <f>IF($D111="","",Setup!$B$11)</f>
        <v/>
      </c>
      <c r="M111" s="13">
        <f>IF($D111="","",IF(AND(TODAY()&gt;=Setup!$B$9,$P111&gt;0),Setup!$B$12,0))</f>
        <v/>
      </c>
      <c r="N111" s="13">
        <f>IF($D111="","",SUM($J111:$M111))</f>
        <v/>
      </c>
      <c r="O111" s="13">
        <f>IF($A111="","",SUMIFS(Payments!$F:$F,Payments!$D:$D,$A111))</f>
        <v/>
      </c>
      <c r="P111" s="13">
        <f>IF($D111="","",MAX(0,$N111-$O111))</f>
        <v/>
      </c>
      <c r="Q111" s="2">
        <f>IF($D111="","",IF(IFERROR(INDEX(Units_Owners!$I$5:$I$504,MATCH($D111,Units_Owners!$A$5:$A$504,0)),"No")&lt;&gt;"Yes","Skip - Inactive",IF($P111=0,"Paid",IF(TODAY()&gt;$I111,"Past Due","Open"))))</f>
        <v/>
      </c>
      <c r="R111" s="12" t="n"/>
      <c r="S111" s="2" t="n"/>
    </row>
    <row r="112">
      <c r="A112" s="2">
        <f>IF($D112="","","INV-"&amp;$B112&amp;"-"&amp;$C112&amp;"-"&amp;TEXT(ROW(A108),"0000"))</f>
        <v/>
      </c>
      <c r="B112" s="2">
        <f>Setup!$B$5</f>
        <v/>
      </c>
      <c r="C112" s="2">
        <f>Setup!$B$6</f>
        <v/>
      </c>
      <c r="D112" s="2">
        <f>IFERROR(INDEX(Units_Owners!$A$5:$A$504,ROWS($A$5:A112)),"")</f>
        <v/>
      </c>
      <c r="E112" s="2">
        <f>IF($D112="","",IFERROR(INDEX(Units_Owners!$B$5:$B$504,MATCH($D112,Units_Owners!$A$5:$A$504,0)),""))</f>
        <v/>
      </c>
      <c r="F112" s="2">
        <f>IF($D112="","",IFERROR(INDEX(Units_Owners!$C$5:$C$504,MATCH($D112,Units_Owners!$A$5:$A$504,0)),""))</f>
        <v/>
      </c>
      <c r="G112" s="2">
        <f>IF($D112="","",IFERROR(INDEX(Units_Owners!$D$5:$D$504,MATCH($D112,Units_Owners!$A$5:$A$504,0)),""))</f>
        <v/>
      </c>
      <c r="H112" s="12">
        <f>Setup!$B$7</f>
        <v/>
      </c>
      <c r="I112" s="12">
        <f>Setup!$B$8</f>
        <v/>
      </c>
      <c r="J112" s="13">
        <f>IF($D112="","",IFERROR(INDEX(Units_Owners!$J$5:$J$504,MATCH($D112,Units_Owners!$A$5:$A$504,0)),0)+SUMIFS(Ledger!$F:$F,Ledger!$B:$B,$D112,Ledger!$D:$D,"&lt;"&amp;$H112)-SUMIFS(Ledger!$G:$G,Ledger!$B:$B,$D112,Ledger!$D:$D,"&lt;"&amp;$H112))</f>
        <v/>
      </c>
      <c r="K112" s="13">
        <f>IF($D112="","",IFERROR(INDEX(Units_Owners!$H$5:$H$504,MATCH($D112,Units_Owners!$A$5:$A$504,0)),Setup!$B$10))</f>
        <v/>
      </c>
      <c r="L112" s="13">
        <f>IF($D112="","",Setup!$B$11)</f>
        <v/>
      </c>
      <c r="M112" s="13">
        <f>IF($D112="","",IF(AND(TODAY()&gt;=Setup!$B$9,$P112&gt;0),Setup!$B$12,0))</f>
        <v/>
      </c>
      <c r="N112" s="13">
        <f>IF($D112="","",SUM($J112:$M112))</f>
        <v/>
      </c>
      <c r="O112" s="13">
        <f>IF($A112="","",SUMIFS(Payments!$F:$F,Payments!$D:$D,$A112))</f>
        <v/>
      </c>
      <c r="P112" s="13">
        <f>IF($D112="","",MAX(0,$N112-$O112))</f>
        <v/>
      </c>
      <c r="Q112" s="2">
        <f>IF($D112="","",IF(IFERROR(INDEX(Units_Owners!$I$5:$I$504,MATCH($D112,Units_Owners!$A$5:$A$504,0)),"No")&lt;&gt;"Yes","Skip - Inactive",IF($P112=0,"Paid",IF(TODAY()&gt;$I112,"Past Due","Open"))))</f>
        <v/>
      </c>
      <c r="R112" s="14" t="n"/>
      <c r="S112" s="6" t="n"/>
    </row>
    <row r="113">
      <c r="A113" s="2">
        <f>IF($D113="","","INV-"&amp;$B113&amp;"-"&amp;$C113&amp;"-"&amp;TEXT(ROW(A109),"0000"))</f>
        <v/>
      </c>
      <c r="B113" s="2">
        <f>Setup!$B$5</f>
        <v/>
      </c>
      <c r="C113" s="2">
        <f>Setup!$B$6</f>
        <v/>
      </c>
      <c r="D113" s="2">
        <f>IFERROR(INDEX(Units_Owners!$A$5:$A$504,ROWS($A$5:A113)),"")</f>
        <v/>
      </c>
      <c r="E113" s="2">
        <f>IF($D113="","",IFERROR(INDEX(Units_Owners!$B$5:$B$504,MATCH($D113,Units_Owners!$A$5:$A$504,0)),""))</f>
        <v/>
      </c>
      <c r="F113" s="2">
        <f>IF($D113="","",IFERROR(INDEX(Units_Owners!$C$5:$C$504,MATCH($D113,Units_Owners!$A$5:$A$504,0)),""))</f>
        <v/>
      </c>
      <c r="G113" s="2">
        <f>IF($D113="","",IFERROR(INDEX(Units_Owners!$D$5:$D$504,MATCH($D113,Units_Owners!$A$5:$A$504,0)),""))</f>
        <v/>
      </c>
      <c r="H113" s="12">
        <f>Setup!$B$7</f>
        <v/>
      </c>
      <c r="I113" s="12">
        <f>Setup!$B$8</f>
        <v/>
      </c>
      <c r="J113" s="13">
        <f>IF($D113="","",IFERROR(INDEX(Units_Owners!$J$5:$J$504,MATCH($D113,Units_Owners!$A$5:$A$504,0)),0)+SUMIFS(Ledger!$F:$F,Ledger!$B:$B,$D113,Ledger!$D:$D,"&lt;"&amp;$H113)-SUMIFS(Ledger!$G:$G,Ledger!$B:$B,$D113,Ledger!$D:$D,"&lt;"&amp;$H113))</f>
        <v/>
      </c>
      <c r="K113" s="13">
        <f>IF($D113="","",IFERROR(INDEX(Units_Owners!$H$5:$H$504,MATCH($D113,Units_Owners!$A$5:$A$504,0)),Setup!$B$10))</f>
        <v/>
      </c>
      <c r="L113" s="13">
        <f>IF($D113="","",Setup!$B$11)</f>
        <v/>
      </c>
      <c r="M113" s="13">
        <f>IF($D113="","",IF(AND(TODAY()&gt;=Setup!$B$9,$P113&gt;0),Setup!$B$12,0))</f>
        <v/>
      </c>
      <c r="N113" s="13">
        <f>IF($D113="","",SUM($J113:$M113))</f>
        <v/>
      </c>
      <c r="O113" s="13">
        <f>IF($A113="","",SUMIFS(Payments!$F:$F,Payments!$D:$D,$A113))</f>
        <v/>
      </c>
      <c r="P113" s="13">
        <f>IF($D113="","",MAX(0,$N113-$O113))</f>
        <v/>
      </c>
      <c r="Q113" s="2">
        <f>IF($D113="","",IF(IFERROR(INDEX(Units_Owners!$I$5:$I$504,MATCH($D113,Units_Owners!$A$5:$A$504,0)),"No")&lt;&gt;"Yes","Skip - Inactive",IF($P113=0,"Paid",IF(TODAY()&gt;$I113,"Past Due","Open"))))</f>
        <v/>
      </c>
      <c r="R113" s="12" t="n"/>
      <c r="S113" s="2" t="n"/>
    </row>
    <row r="114">
      <c r="A114" s="2">
        <f>IF($D114="","","INV-"&amp;$B114&amp;"-"&amp;$C114&amp;"-"&amp;TEXT(ROW(A110),"0000"))</f>
        <v/>
      </c>
      <c r="B114" s="2">
        <f>Setup!$B$5</f>
        <v/>
      </c>
      <c r="C114" s="2">
        <f>Setup!$B$6</f>
        <v/>
      </c>
      <c r="D114" s="2">
        <f>IFERROR(INDEX(Units_Owners!$A$5:$A$504,ROWS($A$5:A114)),"")</f>
        <v/>
      </c>
      <c r="E114" s="2">
        <f>IF($D114="","",IFERROR(INDEX(Units_Owners!$B$5:$B$504,MATCH($D114,Units_Owners!$A$5:$A$504,0)),""))</f>
        <v/>
      </c>
      <c r="F114" s="2">
        <f>IF($D114="","",IFERROR(INDEX(Units_Owners!$C$5:$C$504,MATCH($D114,Units_Owners!$A$5:$A$504,0)),""))</f>
        <v/>
      </c>
      <c r="G114" s="2">
        <f>IF($D114="","",IFERROR(INDEX(Units_Owners!$D$5:$D$504,MATCH($D114,Units_Owners!$A$5:$A$504,0)),""))</f>
        <v/>
      </c>
      <c r="H114" s="12">
        <f>Setup!$B$7</f>
        <v/>
      </c>
      <c r="I114" s="12">
        <f>Setup!$B$8</f>
        <v/>
      </c>
      <c r="J114" s="13">
        <f>IF($D114="","",IFERROR(INDEX(Units_Owners!$J$5:$J$504,MATCH($D114,Units_Owners!$A$5:$A$504,0)),0)+SUMIFS(Ledger!$F:$F,Ledger!$B:$B,$D114,Ledger!$D:$D,"&lt;"&amp;$H114)-SUMIFS(Ledger!$G:$G,Ledger!$B:$B,$D114,Ledger!$D:$D,"&lt;"&amp;$H114))</f>
        <v/>
      </c>
      <c r="K114" s="13">
        <f>IF($D114="","",IFERROR(INDEX(Units_Owners!$H$5:$H$504,MATCH($D114,Units_Owners!$A$5:$A$504,0)),Setup!$B$10))</f>
        <v/>
      </c>
      <c r="L114" s="13">
        <f>IF($D114="","",Setup!$B$11)</f>
        <v/>
      </c>
      <c r="M114" s="13">
        <f>IF($D114="","",IF(AND(TODAY()&gt;=Setup!$B$9,$P114&gt;0),Setup!$B$12,0))</f>
        <v/>
      </c>
      <c r="N114" s="13">
        <f>IF($D114="","",SUM($J114:$M114))</f>
        <v/>
      </c>
      <c r="O114" s="13">
        <f>IF($A114="","",SUMIFS(Payments!$F:$F,Payments!$D:$D,$A114))</f>
        <v/>
      </c>
      <c r="P114" s="13">
        <f>IF($D114="","",MAX(0,$N114-$O114))</f>
        <v/>
      </c>
      <c r="Q114" s="2">
        <f>IF($D114="","",IF(IFERROR(INDEX(Units_Owners!$I$5:$I$504,MATCH($D114,Units_Owners!$A$5:$A$504,0)),"No")&lt;&gt;"Yes","Skip - Inactive",IF($P114=0,"Paid",IF(TODAY()&gt;$I114,"Past Due","Open"))))</f>
        <v/>
      </c>
      <c r="R114" s="14" t="n"/>
      <c r="S114" s="6" t="n"/>
    </row>
    <row r="115">
      <c r="A115" s="2">
        <f>IF($D115="","","INV-"&amp;$B115&amp;"-"&amp;$C115&amp;"-"&amp;TEXT(ROW(A111),"0000"))</f>
        <v/>
      </c>
      <c r="B115" s="2">
        <f>Setup!$B$5</f>
        <v/>
      </c>
      <c r="C115" s="2">
        <f>Setup!$B$6</f>
        <v/>
      </c>
      <c r="D115" s="2">
        <f>IFERROR(INDEX(Units_Owners!$A$5:$A$504,ROWS($A$5:A115)),"")</f>
        <v/>
      </c>
      <c r="E115" s="2">
        <f>IF($D115="","",IFERROR(INDEX(Units_Owners!$B$5:$B$504,MATCH($D115,Units_Owners!$A$5:$A$504,0)),""))</f>
        <v/>
      </c>
      <c r="F115" s="2">
        <f>IF($D115="","",IFERROR(INDEX(Units_Owners!$C$5:$C$504,MATCH($D115,Units_Owners!$A$5:$A$504,0)),""))</f>
        <v/>
      </c>
      <c r="G115" s="2">
        <f>IF($D115="","",IFERROR(INDEX(Units_Owners!$D$5:$D$504,MATCH($D115,Units_Owners!$A$5:$A$504,0)),""))</f>
        <v/>
      </c>
      <c r="H115" s="12">
        <f>Setup!$B$7</f>
        <v/>
      </c>
      <c r="I115" s="12">
        <f>Setup!$B$8</f>
        <v/>
      </c>
      <c r="J115" s="13">
        <f>IF($D115="","",IFERROR(INDEX(Units_Owners!$J$5:$J$504,MATCH($D115,Units_Owners!$A$5:$A$504,0)),0)+SUMIFS(Ledger!$F:$F,Ledger!$B:$B,$D115,Ledger!$D:$D,"&lt;"&amp;$H115)-SUMIFS(Ledger!$G:$G,Ledger!$B:$B,$D115,Ledger!$D:$D,"&lt;"&amp;$H115))</f>
        <v/>
      </c>
      <c r="K115" s="13">
        <f>IF($D115="","",IFERROR(INDEX(Units_Owners!$H$5:$H$504,MATCH($D115,Units_Owners!$A$5:$A$504,0)),Setup!$B$10))</f>
        <v/>
      </c>
      <c r="L115" s="13">
        <f>IF($D115="","",Setup!$B$11)</f>
        <v/>
      </c>
      <c r="M115" s="13">
        <f>IF($D115="","",IF(AND(TODAY()&gt;=Setup!$B$9,$P115&gt;0),Setup!$B$12,0))</f>
        <v/>
      </c>
      <c r="N115" s="13">
        <f>IF($D115="","",SUM($J115:$M115))</f>
        <v/>
      </c>
      <c r="O115" s="13">
        <f>IF($A115="","",SUMIFS(Payments!$F:$F,Payments!$D:$D,$A115))</f>
        <v/>
      </c>
      <c r="P115" s="13">
        <f>IF($D115="","",MAX(0,$N115-$O115))</f>
        <v/>
      </c>
      <c r="Q115" s="2">
        <f>IF($D115="","",IF(IFERROR(INDEX(Units_Owners!$I$5:$I$504,MATCH($D115,Units_Owners!$A$5:$A$504,0)),"No")&lt;&gt;"Yes","Skip - Inactive",IF($P115=0,"Paid",IF(TODAY()&gt;$I115,"Past Due","Open"))))</f>
        <v/>
      </c>
      <c r="R115" s="12" t="n"/>
      <c r="S115" s="2" t="n"/>
    </row>
    <row r="116">
      <c r="A116" s="2">
        <f>IF($D116="","","INV-"&amp;$B116&amp;"-"&amp;$C116&amp;"-"&amp;TEXT(ROW(A112),"0000"))</f>
        <v/>
      </c>
      <c r="B116" s="2">
        <f>Setup!$B$5</f>
        <v/>
      </c>
      <c r="C116" s="2">
        <f>Setup!$B$6</f>
        <v/>
      </c>
      <c r="D116" s="2">
        <f>IFERROR(INDEX(Units_Owners!$A$5:$A$504,ROWS($A$5:A116)),"")</f>
        <v/>
      </c>
      <c r="E116" s="2">
        <f>IF($D116="","",IFERROR(INDEX(Units_Owners!$B$5:$B$504,MATCH($D116,Units_Owners!$A$5:$A$504,0)),""))</f>
        <v/>
      </c>
      <c r="F116" s="2">
        <f>IF($D116="","",IFERROR(INDEX(Units_Owners!$C$5:$C$504,MATCH($D116,Units_Owners!$A$5:$A$504,0)),""))</f>
        <v/>
      </c>
      <c r="G116" s="2">
        <f>IF($D116="","",IFERROR(INDEX(Units_Owners!$D$5:$D$504,MATCH($D116,Units_Owners!$A$5:$A$504,0)),""))</f>
        <v/>
      </c>
      <c r="H116" s="12">
        <f>Setup!$B$7</f>
        <v/>
      </c>
      <c r="I116" s="12">
        <f>Setup!$B$8</f>
        <v/>
      </c>
      <c r="J116" s="13">
        <f>IF($D116="","",IFERROR(INDEX(Units_Owners!$J$5:$J$504,MATCH($D116,Units_Owners!$A$5:$A$504,0)),0)+SUMIFS(Ledger!$F:$F,Ledger!$B:$B,$D116,Ledger!$D:$D,"&lt;"&amp;$H116)-SUMIFS(Ledger!$G:$G,Ledger!$B:$B,$D116,Ledger!$D:$D,"&lt;"&amp;$H116))</f>
        <v/>
      </c>
      <c r="K116" s="13">
        <f>IF($D116="","",IFERROR(INDEX(Units_Owners!$H$5:$H$504,MATCH($D116,Units_Owners!$A$5:$A$504,0)),Setup!$B$10))</f>
        <v/>
      </c>
      <c r="L116" s="13">
        <f>IF($D116="","",Setup!$B$11)</f>
        <v/>
      </c>
      <c r="M116" s="13">
        <f>IF($D116="","",IF(AND(TODAY()&gt;=Setup!$B$9,$P116&gt;0),Setup!$B$12,0))</f>
        <v/>
      </c>
      <c r="N116" s="13">
        <f>IF($D116="","",SUM($J116:$M116))</f>
        <v/>
      </c>
      <c r="O116" s="13">
        <f>IF($A116="","",SUMIFS(Payments!$F:$F,Payments!$D:$D,$A116))</f>
        <v/>
      </c>
      <c r="P116" s="13">
        <f>IF($D116="","",MAX(0,$N116-$O116))</f>
        <v/>
      </c>
      <c r="Q116" s="2">
        <f>IF($D116="","",IF(IFERROR(INDEX(Units_Owners!$I$5:$I$504,MATCH($D116,Units_Owners!$A$5:$A$504,0)),"No")&lt;&gt;"Yes","Skip - Inactive",IF($P116=0,"Paid",IF(TODAY()&gt;$I116,"Past Due","Open"))))</f>
        <v/>
      </c>
      <c r="R116" s="14" t="n"/>
      <c r="S116" s="6" t="n"/>
    </row>
    <row r="117">
      <c r="A117" s="2">
        <f>IF($D117="","","INV-"&amp;$B117&amp;"-"&amp;$C117&amp;"-"&amp;TEXT(ROW(A113),"0000"))</f>
        <v/>
      </c>
      <c r="B117" s="2">
        <f>Setup!$B$5</f>
        <v/>
      </c>
      <c r="C117" s="2">
        <f>Setup!$B$6</f>
        <v/>
      </c>
      <c r="D117" s="2">
        <f>IFERROR(INDEX(Units_Owners!$A$5:$A$504,ROWS($A$5:A117)),"")</f>
        <v/>
      </c>
      <c r="E117" s="2">
        <f>IF($D117="","",IFERROR(INDEX(Units_Owners!$B$5:$B$504,MATCH($D117,Units_Owners!$A$5:$A$504,0)),""))</f>
        <v/>
      </c>
      <c r="F117" s="2">
        <f>IF($D117="","",IFERROR(INDEX(Units_Owners!$C$5:$C$504,MATCH($D117,Units_Owners!$A$5:$A$504,0)),""))</f>
        <v/>
      </c>
      <c r="G117" s="2">
        <f>IF($D117="","",IFERROR(INDEX(Units_Owners!$D$5:$D$504,MATCH($D117,Units_Owners!$A$5:$A$504,0)),""))</f>
        <v/>
      </c>
      <c r="H117" s="12">
        <f>Setup!$B$7</f>
        <v/>
      </c>
      <c r="I117" s="12">
        <f>Setup!$B$8</f>
        <v/>
      </c>
      <c r="J117" s="13">
        <f>IF($D117="","",IFERROR(INDEX(Units_Owners!$J$5:$J$504,MATCH($D117,Units_Owners!$A$5:$A$504,0)),0)+SUMIFS(Ledger!$F:$F,Ledger!$B:$B,$D117,Ledger!$D:$D,"&lt;"&amp;$H117)-SUMIFS(Ledger!$G:$G,Ledger!$B:$B,$D117,Ledger!$D:$D,"&lt;"&amp;$H117))</f>
        <v/>
      </c>
      <c r="K117" s="13">
        <f>IF($D117="","",IFERROR(INDEX(Units_Owners!$H$5:$H$504,MATCH($D117,Units_Owners!$A$5:$A$504,0)),Setup!$B$10))</f>
        <v/>
      </c>
      <c r="L117" s="13">
        <f>IF($D117="","",Setup!$B$11)</f>
        <v/>
      </c>
      <c r="M117" s="13">
        <f>IF($D117="","",IF(AND(TODAY()&gt;=Setup!$B$9,$P117&gt;0),Setup!$B$12,0))</f>
        <v/>
      </c>
      <c r="N117" s="13">
        <f>IF($D117="","",SUM($J117:$M117))</f>
        <v/>
      </c>
      <c r="O117" s="13">
        <f>IF($A117="","",SUMIFS(Payments!$F:$F,Payments!$D:$D,$A117))</f>
        <v/>
      </c>
      <c r="P117" s="13">
        <f>IF($D117="","",MAX(0,$N117-$O117))</f>
        <v/>
      </c>
      <c r="Q117" s="2">
        <f>IF($D117="","",IF(IFERROR(INDEX(Units_Owners!$I$5:$I$504,MATCH($D117,Units_Owners!$A$5:$A$504,0)),"No")&lt;&gt;"Yes","Skip - Inactive",IF($P117=0,"Paid",IF(TODAY()&gt;$I117,"Past Due","Open"))))</f>
        <v/>
      </c>
      <c r="R117" s="12" t="n"/>
      <c r="S117" s="2" t="n"/>
    </row>
    <row r="118">
      <c r="A118" s="2">
        <f>IF($D118="","","INV-"&amp;$B118&amp;"-"&amp;$C118&amp;"-"&amp;TEXT(ROW(A114),"0000"))</f>
        <v/>
      </c>
      <c r="B118" s="2">
        <f>Setup!$B$5</f>
        <v/>
      </c>
      <c r="C118" s="2">
        <f>Setup!$B$6</f>
        <v/>
      </c>
      <c r="D118" s="2">
        <f>IFERROR(INDEX(Units_Owners!$A$5:$A$504,ROWS($A$5:A118)),"")</f>
        <v/>
      </c>
      <c r="E118" s="2">
        <f>IF($D118="","",IFERROR(INDEX(Units_Owners!$B$5:$B$504,MATCH($D118,Units_Owners!$A$5:$A$504,0)),""))</f>
        <v/>
      </c>
      <c r="F118" s="2">
        <f>IF($D118="","",IFERROR(INDEX(Units_Owners!$C$5:$C$504,MATCH($D118,Units_Owners!$A$5:$A$504,0)),""))</f>
        <v/>
      </c>
      <c r="G118" s="2">
        <f>IF($D118="","",IFERROR(INDEX(Units_Owners!$D$5:$D$504,MATCH($D118,Units_Owners!$A$5:$A$504,0)),""))</f>
        <v/>
      </c>
      <c r="H118" s="12">
        <f>Setup!$B$7</f>
        <v/>
      </c>
      <c r="I118" s="12">
        <f>Setup!$B$8</f>
        <v/>
      </c>
      <c r="J118" s="13">
        <f>IF($D118="","",IFERROR(INDEX(Units_Owners!$J$5:$J$504,MATCH($D118,Units_Owners!$A$5:$A$504,0)),0)+SUMIFS(Ledger!$F:$F,Ledger!$B:$B,$D118,Ledger!$D:$D,"&lt;"&amp;$H118)-SUMIFS(Ledger!$G:$G,Ledger!$B:$B,$D118,Ledger!$D:$D,"&lt;"&amp;$H118))</f>
        <v/>
      </c>
      <c r="K118" s="13">
        <f>IF($D118="","",IFERROR(INDEX(Units_Owners!$H$5:$H$504,MATCH($D118,Units_Owners!$A$5:$A$504,0)),Setup!$B$10))</f>
        <v/>
      </c>
      <c r="L118" s="13">
        <f>IF($D118="","",Setup!$B$11)</f>
        <v/>
      </c>
      <c r="M118" s="13">
        <f>IF($D118="","",IF(AND(TODAY()&gt;=Setup!$B$9,$P118&gt;0),Setup!$B$12,0))</f>
        <v/>
      </c>
      <c r="N118" s="13">
        <f>IF($D118="","",SUM($J118:$M118))</f>
        <v/>
      </c>
      <c r="O118" s="13">
        <f>IF($A118="","",SUMIFS(Payments!$F:$F,Payments!$D:$D,$A118))</f>
        <v/>
      </c>
      <c r="P118" s="13">
        <f>IF($D118="","",MAX(0,$N118-$O118))</f>
        <v/>
      </c>
      <c r="Q118" s="2">
        <f>IF($D118="","",IF(IFERROR(INDEX(Units_Owners!$I$5:$I$504,MATCH($D118,Units_Owners!$A$5:$A$504,0)),"No")&lt;&gt;"Yes","Skip - Inactive",IF($P118=0,"Paid",IF(TODAY()&gt;$I118,"Past Due","Open"))))</f>
        <v/>
      </c>
      <c r="R118" s="14" t="n"/>
      <c r="S118" s="6" t="n"/>
    </row>
    <row r="119">
      <c r="A119" s="2">
        <f>IF($D119="","","INV-"&amp;$B119&amp;"-"&amp;$C119&amp;"-"&amp;TEXT(ROW(A115),"0000"))</f>
        <v/>
      </c>
      <c r="B119" s="2">
        <f>Setup!$B$5</f>
        <v/>
      </c>
      <c r="C119" s="2">
        <f>Setup!$B$6</f>
        <v/>
      </c>
      <c r="D119" s="2">
        <f>IFERROR(INDEX(Units_Owners!$A$5:$A$504,ROWS($A$5:A119)),"")</f>
        <v/>
      </c>
      <c r="E119" s="2">
        <f>IF($D119="","",IFERROR(INDEX(Units_Owners!$B$5:$B$504,MATCH($D119,Units_Owners!$A$5:$A$504,0)),""))</f>
        <v/>
      </c>
      <c r="F119" s="2">
        <f>IF($D119="","",IFERROR(INDEX(Units_Owners!$C$5:$C$504,MATCH($D119,Units_Owners!$A$5:$A$504,0)),""))</f>
        <v/>
      </c>
      <c r="G119" s="2">
        <f>IF($D119="","",IFERROR(INDEX(Units_Owners!$D$5:$D$504,MATCH($D119,Units_Owners!$A$5:$A$504,0)),""))</f>
        <v/>
      </c>
      <c r="H119" s="12">
        <f>Setup!$B$7</f>
        <v/>
      </c>
      <c r="I119" s="12">
        <f>Setup!$B$8</f>
        <v/>
      </c>
      <c r="J119" s="13">
        <f>IF($D119="","",IFERROR(INDEX(Units_Owners!$J$5:$J$504,MATCH($D119,Units_Owners!$A$5:$A$504,0)),0)+SUMIFS(Ledger!$F:$F,Ledger!$B:$B,$D119,Ledger!$D:$D,"&lt;"&amp;$H119)-SUMIFS(Ledger!$G:$G,Ledger!$B:$B,$D119,Ledger!$D:$D,"&lt;"&amp;$H119))</f>
        <v/>
      </c>
      <c r="K119" s="13">
        <f>IF($D119="","",IFERROR(INDEX(Units_Owners!$H$5:$H$504,MATCH($D119,Units_Owners!$A$5:$A$504,0)),Setup!$B$10))</f>
        <v/>
      </c>
      <c r="L119" s="13">
        <f>IF($D119="","",Setup!$B$11)</f>
        <v/>
      </c>
      <c r="M119" s="13">
        <f>IF($D119="","",IF(AND(TODAY()&gt;=Setup!$B$9,$P119&gt;0),Setup!$B$12,0))</f>
        <v/>
      </c>
      <c r="N119" s="13">
        <f>IF($D119="","",SUM($J119:$M119))</f>
        <v/>
      </c>
      <c r="O119" s="13">
        <f>IF($A119="","",SUMIFS(Payments!$F:$F,Payments!$D:$D,$A119))</f>
        <v/>
      </c>
      <c r="P119" s="13">
        <f>IF($D119="","",MAX(0,$N119-$O119))</f>
        <v/>
      </c>
      <c r="Q119" s="2">
        <f>IF($D119="","",IF(IFERROR(INDEX(Units_Owners!$I$5:$I$504,MATCH($D119,Units_Owners!$A$5:$A$504,0)),"No")&lt;&gt;"Yes","Skip - Inactive",IF($P119=0,"Paid",IF(TODAY()&gt;$I119,"Past Due","Open"))))</f>
        <v/>
      </c>
      <c r="R119" s="12" t="n"/>
      <c r="S119" s="2" t="n"/>
    </row>
    <row r="120">
      <c r="A120" s="2">
        <f>IF($D120="","","INV-"&amp;$B120&amp;"-"&amp;$C120&amp;"-"&amp;TEXT(ROW(A116),"0000"))</f>
        <v/>
      </c>
      <c r="B120" s="2">
        <f>Setup!$B$5</f>
        <v/>
      </c>
      <c r="C120" s="2">
        <f>Setup!$B$6</f>
        <v/>
      </c>
      <c r="D120" s="2">
        <f>IFERROR(INDEX(Units_Owners!$A$5:$A$504,ROWS($A$5:A120)),"")</f>
        <v/>
      </c>
      <c r="E120" s="2">
        <f>IF($D120="","",IFERROR(INDEX(Units_Owners!$B$5:$B$504,MATCH($D120,Units_Owners!$A$5:$A$504,0)),""))</f>
        <v/>
      </c>
      <c r="F120" s="2">
        <f>IF($D120="","",IFERROR(INDEX(Units_Owners!$C$5:$C$504,MATCH($D120,Units_Owners!$A$5:$A$504,0)),""))</f>
        <v/>
      </c>
      <c r="G120" s="2">
        <f>IF($D120="","",IFERROR(INDEX(Units_Owners!$D$5:$D$504,MATCH($D120,Units_Owners!$A$5:$A$504,0)),""))</f>
        <v/>
      </c>
      <c r="H120" s="12">
        <f>Setup!$B$7</f>
        <v/>
      </c>
      <c r="I120" s="12">
        <f>Setup!$B$8</f>
        <v/>
      </c>
      <c r="J120" s="13">
        <f>IF($D120="","",IFERROR(INDEX(Units_Owners!$J$5:$J$504,MATCH($D120,Units_Owners!$A$5:$A$504,0)),0)+SUMIFS(Ledger!$F:$F,Ledger!$B:$B,$D120,Ledger!$D:$D,"&lt;"&amp;$H120)-SUMIFS(Ledger!$G:$G,Ledger!$B:$B,$D120,Ledger!$D:$D,"&lt;"&amp;$H120))</f>
        <v/>
      </c>
      <c r="K120" s="13">
        <f>IF($D120="","",IFERROR(INDEX(Units_Owners!$H$5:$H$504,MATCH($D120,Units_Owners!$A$5:$A$504,0)),Setup!$B$10))</f>
        <v/>
      </c>
      <c r="L120" s="13">
        <f>IF($D120="","",Setup!$B$11)</f>
        <v/>
      </c>
      <c r="M120" s="13">
        <f>IF($D120="","",IF(AND(TODAY()&gt;=Setup!$B$9,$P120&gt;0),Setup!$B$12,0))</f>
        <v/>
      </c>
      <c r="N120" s="13">
        <f>IF($D120="","",SUM($J120:$M120))</f>
        <v/>
      </c>
      <c r="O120" s="13">
        <f>IF($A120="","",SUMIFS(Payments!$F:$F,Payments!$D:$D,$A120))</f>
        <v/>
      </c>
      <c r="P120" s="13">
        <f>IF($D120="","",MAX(0,$N120-$O120))</f>
        <v/>
      </c>
      <c r="Q120" s="2">
        <f>IF($D120="","",IF(IFERROR(INDEX(Units_Owners!$I$5:$I$504,MATCH($D120,Units_Owners!$A$5:$A$504,0)),"No")&lt;&gt;"Yes","Skip - Inactive",IF($P120=0,"Paid",IF(TODAY()&gt;$I120,"Past Due","Open"))))</f>
        <v/>
      </c>
      <c r="R120" s="14" t="n"/>
      <c r="S120" s="6" t="n"/>
    </row>
    <row r="121">
      <c r="A121" s="2">
        <f>IF($D121="","","INV-"&amp;$B121&amp;"-"&amp;$C121&amp;"-"&amp;TEXT(ROW(A117),"0000"))</f>
        <v/>
      </c>
      <c r="B121" s="2">
        <f>Setup!$B$5</f>
        <v/>
      </c>
      <c r="C121" s="2">
        <f>Setup!$B$6</f>
        <v/>
      </c>
      <c r="D121" s="2">
        <f>IFERROR(INDEX(Units_Owners!$A$5:$A$504,ROWS($A$5:A121)),"")</f>
        <v/>
      </c>
      <c r="E121" s="2">
        <f>IF($D121="","",IFERROR(INDEX(Units_Owners!$B$5:$B$504,MATCH($D121,Units_Owners!$A$5:$A$504,0)),""))</f>
        <v/>
      </c>
      <c r="F121" s="2">
        <f>IF($D121="","",IFERROR(INDEX(Units_Owners!$C$5:$C$504,MATCH($D121,Units_Owners!$A$5:$A$504,0)),""))</f>
        <v/>
      </c>
      <c r="G121" s="2">
        <f>IF($D121="","",IFERROR(INDEX(Units_Owners!$D$5:$D$504,MATCH($D121,Units_Owners!$A$5:$A$504,0)),""))</f>
        <v/>
      </c>
      <c r="H121" s="12">
        <f>Setup!$B$7</f>
        <v/>
      </c>
      <c r="I121" s="12">
        <f>Setup!$B$8</f>
        <v/>
      </c>
      <c r="J121" s="13">
        <f>IF($D121="","",IFERROR(INDEX(Units_Owners!$J$5:$J$504,MATCH($D121,Units_Owners!$A$5:$A$504,0)),0)+SUMIFS(Ledger!$F:$F,Ledger!$B:$B,$D121,Ledger!$D:$D,"&lt;"&amp;$H121)-SUMIFS(Ledger!$G:$G,Ledger!$B:$B,$D121,Ledger!$D:$D,"&lt;"&amp;$H121))</f>
        <v/>
      </c>
      <c r="K121" s="13">
        <f>IF($D121="","",IFERROR(INDEX(Units_Owners!$H$5:$H$504,MATCH($D121,Units_Owners!$A$5:$A$504,0)),Setup!$B$10))</f>
        <v/>
      </c>
      <c r="L121" s="13">
        <f>IF($D121="","",Setup!$B$11)</f>
        <v/>
      </c>
      <c r="M121" s="13">
        <f>IF($D121="","",IF(AND(TODAY()&gt;=Setup!$B$9,$P121&gt;0),Setup!$B$12,0))</f>
        <v/>
      </c>
      <c r="N121" s="13">
        <f>IF($D121="","",SUM($J121:$M121))</f>
        <v/>
      </c>
      <c r="O121" s="13">
        <f>IF($A121="","",SUMIFS(Payments!$F:$F,Payments!$D:$D,$A121))</f>
        <v/>
      </c>
      <c r="P121" s="13">
        <f>IF($D121="","",MAX(0,$N121-$O121))</f>
        <v/>
      </c>
      <c r="Q121" s="2">
        <f>IF($D121="","",IF(IFERROR(INDEX(Units_Owners!$I$5:$I$504,MATCH($D121,Units_Owners!$A$5:$A$504,0)),"No")&lt;&gt;"Yes","Skip - Inactive",IF($P121=0,"Paid",IF(TODAY()&gt;$I121,"Past Due","Open"))))</f>
        <v/>
      </c>
      <c r="R121" s="12" t="n"/>
      <c r="S121" s="2" t="n"/>
    </row>
    <row r="122">
      <c r="A122" s="2">
        <f>IF($D122="","","INV-"&amp;$B122&amp;"-"&amp;$C122&amp;"-"&amp;TEXT(ROW(A118),"0000"))</f>
        <v/>
      </c>
      <c r="B122" s="2">
        <f>Setup!$B$5</f>
        <v/>
      </c>
      <c r="C122" s="2">
        <f>Setup!$B$6</f>
        <v/>
      </c>
      <c r="D122" s="2">
        <f>IFERROR(INDEX(Units_Owners!$A$5:$A$504,ROWS($A$5:A122)),"")</f>
        <v/>
      </c>
      <c r="E122" s="2">
        <f>IF($D122="","",IFERROR(INDEX(Units_Owners!$B$5:$B$504,MATCH($D122,Units_Owners!$A$5:$A$504,0)),""))</f>
        <v/>
      </c>
      <c r="F122" s="2">
        <f>IF($D122="","",IFERROR(INDEX(Units_Owners!$C$5:$C$504,MATCH($D122,Units_Owners!$A$5:$A$504,0)),""))</f>
        <v/>
      </c>
      <c r="G122" s="2">
        <f>IF($D122="","",IFERROR(INDEX(Units_Owners!$D$5:$D$504,MATCH($D122,Units_Owners!$A$5:$A$504,0)),""))</f>
        <v/>
      </c>
      <c r="H122" s="12">
        <f>Setup!$B$7</f>
        <v/>
      </c>
      <c r="I122" s="12">
        <f>Setup!$B$8</f>
        <v/>
      </c>
      <c r="J122" s="13">
        <f>IF($D122="","",IFERROR(INDEX(Units_Owners!$J$5:$J$504,MATCH($D122,Units_Owners!$A$5:$A$504,0)),0)+SUMIFS(Ledger!$F:$F,Ledger!$B:$B,$D122,Ledger!$D:$D,"&lt;"&amp;$H122)-SUMIFS(Ledger!$G:$G,Ledger!$B:$B,$D122,Ledger!$D:$D,"&lt;"&amp;$H122))</f>
        <v/>
      </c>
      <c r="K122" s="13">
        <f>IF($D122="","",IFERROR(INDEX(Units_Owners!$H$5:$H$504,MATCH($D122,Units_Owners!$A$5:$A$504,0)),Setup!$B$10))</f>
        <v/>
      </c>
      <c r="L122" s="13">
        <f>IF($D122="","",Setup!$B$11)</f>
        <v/>
      </c>
      <c r="M122" s="13">
        <f>IF($D122="","",IF(AND(TODAY()&gt;=Setup!$B$9,$P122&gt;0),Setup!$B$12,0))</f>
        <v/>
      </c>
      <c r="N122" s="13">
        <f>IF($D122="","",SUM($J122:$M122))</f>
        <v/>
      </c>
      <c r="O122" s="13">
        <f>IF($A122="","",SUMIFS(Payments!$F:$F,Payments!$D:$D,$A122))</f>
        <v/>
      </c>
      <c r="P122" s="13">
        <f>IF($D122="","",MAX(0,$N122-$O122))</f>
        <v/>
      </c>
      <c r="Q122" s="2">
        <f>IF($D122="","",IF(IFERROR(INDEX(Units_Owners!$I$5:$I$504,MATCH($D122,Units_Owners!$A$5:$A$504,0)),"No")&lt;&gt;"Yes","Skip - Inactive",IF($P122=0,"Paid",IF(TODAY()&gt;$I122,"Past Due","Open"))))</f>
        <v/>
      </c>
      <c r="R122" s="14" t="n"/>
      <c r="S122" s="6" t="n"/>
    </row>
    <row r="123">
      <c r="A123" s="2">
        <f>IF($D123="","","INV-"&amp;$B123&amp;"-"&amp;$C123&amp;"-"&amp;TEXT(ROW(A119),"0000"))</f>
        <v/>
      </c>
      <c r="B123" s="2">
        <f>Setup!$B$5</f>
        <v/>
      </c>
      <c r="C123" s="2">
        <f>Setup!$B$6</f>
        <v/>
      </c>
      <c r="D123" s="2">
        <f>IFERROR(INDEX(Units_Owners!$A$5:$A$504,ROWS($A$5:A123)),"")</f>
        <v/>
      </c>
      <c r="E123" s="2">
        <f>IF($D123="","",IFERROR(INDEX(Units_Owners!$B$5:$B$504,MATCH($D123,Units_Owners!$A$5:$A$504,0)),""))</f>
        <v/>
      </c>
      <c r="F123" s="2">
        <f>IF($D123="","",IFERROR(INDEX(Units_Owners!$C$5:$C$504,MATCH($D123,Units_Owners!$A$5:$A$504,0)),""))</f>
        <v/>
      </c>
      <c r="G123" s="2">
        <f>IF($D123="","",IFERROR(INDEX(Units_Owners!$D$5:$D$504,MATCH($D123,Units_Owners!$A$5:$A$504,0)),""))</f>
        <v/>
      </c>
      <c r="H123" s="12">
        <f>Setup!$B$7</f>
        <v/>
      </c>
      <c r="I123" s="12">
        <f>Setup!$B$8</f>
        <v/>
      </c>
      <c r="J123" s="13">
        <f>IF($D123="","",IFERROR(INDEX(Units_Owners!$J$5:$J$504,MATCH($D123,Units_Owners!$A$5:$A$504,0)),0)+SUMIFS(Ledger!$F:$F,Ledger!$B:$B,$D123,Ledger!$D:$D,"&lt;"&amp;$H123)-SUMIFS(Ledger!$G:$G,Ledger!$B:$B,$D123,Ledger!$D:$D,"&lt;"&amp;$H123))</f>
        <v/>
      </c>
      <c r="K123" s="13">
        <f>IF($D123="","",IFERROR(INDEX(Units_Owners!$H$5:$H$504,MATCH($D123,Units_Owners!$A$5:$A$504,0)),Setup!$B$10))</f>
        <v/>
      </c>
      <c r="L123" s="13">
        <f>IF($D123="","",Setup!$B$11)</f>
        <v/>
      </c>
      <c r="M123" s="13">
        <f>IF($D123="","",IF(AND(TODAY()&gt;=Setup!$B$9,$P123&gt;0),Setup!$B$12,0))</f>
        <v/>
      </c>
      <c r="N123" s="13">
        <f>IF($D123="","",SUM($J123:$M123))</f>
        <v/>
      </c>
      <c r="O123" s="13">
        <f>IF($A123="","",SUMIFS(Payments!$F:$F,Payments!$D:$D,$A123))</f>
        <v/>
      </c>
      <c r="P123" s="13">
        <f>IF($D123="","",MAX(0,$N123-$O123))</f>
        <v/>
      </c>
      <c r="Q123" s="2">
        <f>IF($D123="","",IF(IFERROR(INDEX(Units_Owners!$I$5:$I$504,MATCH($D123,Units_Owners!$A$5:$A$504,0)),"No")&lt;&gt;"Yes","Skip - Inactive",IF($P123=0,"Paid",IF(TODAY()&gt;$I123,"Past Due","Open"))))</f>
        <v/>
      </c>
      <c r="R123" s="12" t="n"/>
      <c r="S123" s="2" t="n"/>
    </row>
    <row r="124">
      <c r="A124" s="2">
        <f>IF($D124="","","INV-"&amp;$B124&amp;"-"&amp;$C124&amp;"-"&amp;TEXT(ROW(A120),"0000"))</f>
        <v/>
      </c>
      <c r="B124" s="2">
        <f>Setup!$B$5</f>
        <v/>
      </c>
      <c r="C124" s="2">
        <f>Setup!$B$6</f>
        <v/>
      </c>
      <c r="D124" s="2">
        <f>IFERROR(INDEX(Units_Owners!$A$5:$A$504,ROWS($A$5:A124)),"")</f>
        <v/>
      </c>
      <c r="E124" s="2">
        <f>IF($D124="","",IFERROR(INDEX(Units_Owners!$B$5:$B$504,MATCH($D124,Units_Owners!$A$5:$A$504,0)),""))</f>
        <v/>
      </c>
      <c r="F124" s="2">
        <f>IF($D124="","",IFERROR(INDEX(Units_Owners!$C$5:$C$504,MATCH($D124,Units_Owners!$A$5:$A$504,0)),""))</f>
        <v/>
      </c>
      <c r="G124" s="2">
        <f>IF($D124="","",IFERROR(INDEX(Units_Owners!$D$5:$D$504,MATCH($D124,Units_Owners!$A$5:$A$504,0)),""))</f>
        <v/>
      </c>
      <c r="H124" s="12">
        <f>Setup!$B$7</f>
        <v/>
      </c>
      <c r="I124" s="12">
        <f>Setup!$B$8</f>
        <v/>
      </c>
      <c r="J124" s="13">
        <f>IF($D124="","",IFERROR(INDEX(Units_Owners!$J$5:$J$504,MATCH($D124,Units_Owners!$A$5:$A$504,0)),0)+SUMIFS(Ledger!$F:$F,Ledger!$B:$B,$D124,Ledger!$D:$D,"&lt;"&amp;$H124)-SUMIFS(Ledger!$G:$G,Ledger!$B:$B,$D124,Ledger!$D:$D,"&lt;"&amp;$H124))</f>
        <v/>
      </c>
      <c r="K124" s="13">
        <f>IF($D124="","",IFERROR(INDEX(Units_Owners!$H$5:$H$504,MATCH($D124,Units_Owners!$A$5:$A$504,0)),Setup!$B$10))</f>
        <v/>
      </c>
      <c r="L124" s="13">
        <f>IF($D124="","",Setup!$B$11)</f>
        <v/>
      </c>
      <c r="M124" s="13">
        <f>IF($D124="","",IF(AND(TODAY()&gt;=Setup!$B$9,$P124&gt;0),Setup!$B$12,0))</f>
        <v/>
      </c>
      <c r="N124" s="13">
        <f>IF($D124="","",SUM($J124:$M124))</f>
        <v/>
      </c>
      <c r="O124" s="13">
        <f>IF($A124="","",SUMIFS(Payments!$F:$F,Payments!$D:$D,$A124))</f>
        <v/>
      </c>
      <c r="P124" s="13">
        <f>IF($D124="","",MAX(0,$N124-$O124))</f>
        <v/>
      </c>
      <c r="Q124" s="2">
        <f>IF($D124="","",IF(IFERROR(INDEX(Units_Owners!$I$5:$I$504,MATCH($D124,Units_Owners!$A$5:$A$504,0)),"No")&lt;&gt;"Yes","Skip - Inactive",IF($P124=0,"Paid",IF(TODAY()&gt;$I124,"Past Due","Open"))))</f>
        <v/>
      </c>
      <c r="R124" s="14" t="n"/>
      <c r="S124" s="6" t="n"/>
    </row>
    <row r="125">
      <c r="A125" s="2">
        <f>IF($D125="","","INV-"&amp;$B125&amp;"-"&amp;$C125&amp;"-"&amp;TEXT(ROW(A121),"0000"))</f>
        <v/>
      </c>
      <c r="B125" s="2">
        <f>Setup!$B$5</f>
        <v/>
      </c>
      <c r="C125" s="2">
        <f>Setup!$B$6</f>
        <v/>
      </c>
      <c r="D125" s="2">
        <f>IFERROR(INDEX(Units_Owners!$A$5:$A$504,ROWS($A$5:A125)),"")</f>
        <v/>
      </c>
      <c r="E125" s="2">
        <f>IF($D125="","",IFERROR(INDEX(Units_Owners!$B$5:$B$504,MATCH($D125,Units_Owners!$A$5:$A$504,0)),""))</f>
        <v/>
      </c>
      <c r="F125" s="2">
        <f>IF($D125="","",IFERROR(INDEX(Units_Owners!$C$5:$C$504,MATCH($D125,Units_Owners!$A$5:$A$504,0)),""))</f>
        <v/>
      </c>
      <c r="G125" s="2">
        <f>IF($D125="","",IFERROR(INDEX(Units_Owners!$D$5:$D$504,MATCH($D125,Units_Owners!$A$5:$A$504,0)),""))</f>
        <v/>
      </c>
      <c r="H125" s="12">
        <f>Setup!$B$7</f>
        <v/>
      </c>
      <c r="I125" s="12">
        <f>Setup!$B$8</f>
        <v/>
      </c>
      <c r="J125" s="13">
        <f>IF($D125="","",IFERROR(INDEX(Units_Owners!$J$5:$J$504,MATCH($D125,Units_Owners!$A$5:$A$504,0)),0)+SUMIFS(Ledger!$F:$F,Ledger!$B:$B,$D125,Ledger!$D:$D,"&lt;"&amp;$H125)-SUMIFS(Ledger!$G:$G,Ledger!$B:$B,$D125,Ledger!$D:$D,"&lt;"&amp;$H125))</f>
        <v/>
      </c>
      <c r="K125" s="13">
        <f>IF($D125="","",IFERROR(INDEX(Units_Owners!$H$5:$H$504,MATCH($D125,Units_Owners!$A$5:$A$504,0)),Setup!$B$10))</f>
        <v/>
      </c>
      <c r="L125" s="13">
        <f>IF($D125="","",Setup!$B$11)</f>
        <v/>
      </c>
      <c r="M125" s="13">
        <f>IF($D125="","",IF(AND(TODAY()&gt;=Setup!$B$9,$P125&gt;0),Setup!$B$12,0))</f>
        <v/>
      </c>
      <c r="N125" s="13">
        <f>IF($D125="","",SUM($J125:$M125))</f>
        <v/>
      </c>
      <c r="O125" s="13">
        <f>IF($A125="","",SUMIFS(Payments!$F:$F,Payments!$D:$D,$A125))</f>
        <v/>
      </c>
      <c r="P125" s="13">
        <f>IF($D125="","",MAX(0,$N125-$O125))</f>
        <v/>
      </c>
      <c r="Q125" s="2">
        <f>IF($D125="","",IF(IFERROR(INDEX(Units_Owners!$I$5:$I$504,MATCH($D125,Units_Owners!$A$5:$A$504,0)),"No")&lt;&gt;"Yes","Skip - Inactive",IF($P125=0,"Paid",IF(TODAY()&gt;$I125,"Past Due","Open"))))</f>
        <v/>
      </c>
      <c r="R125" s="12" t="n"/>
      <c r="S125" s="2" t="n"/>
    </row>
    <row r="126">
      <c r="A126" s="2">
        <f>IF($D126="","","INV-"&amp;$B126&amp;"-"&amp;$C126&amp;"-"&amp;TEXT(ROW(A122),"0000"))</f>
        <v/>
      </c>
      <c r="B126" s="2">
        <f>Setup!$B$5</f>
        <v/>
      </c>
      <c r="C126" s="2">
        <f>Setup!$B$6</f>
        <v/>
      </c>
      <c r="D126" s="2">
        <f>IFERROR(INDEX(Units_Owners!$A$5:$A$504,ROWS($A$5:A126)),"")</f>
        <v/>
      </c>
      <c r="E126" s="2">
        <f>IF($D126="","",IFERROR(INDEX(Units_Owners!$B$5:$B$504,MATCH($D126,Units_Owners!$A$5:$A$504,0)),""))</f>
        <v/>
      </c>
      <c r="F126" s="2">
        <f>IF($D126="","",IFERROR(INDEX(Units_Owners!$C$5:$C$504,MATCH($D126,Units_Owners!$A$5:$A$504,0)),""))</f>
        <v/>
      </c>
      <c r="G126" s="2">
        <f>IF($D126="","",IFERROR(INDEX(Units_Owners!$D$5:$D$504,MATCH($D126,Units_Owners!$A$5:$A$504,0)),""))</f>
        <v/>
      </c>
      <c r="H126" s="12">
        <f>Setup!$B$7</f>
        <v/>
      </c>
      <c r="I126" s="12">
        <f>Setup!$B$8</f>
        <v/>
      </c>
      <c r="J126" s="13">
        <f>IF($D126="","",IFERROR(INDEX(Units_Owners!$J$5:$J$504,MATCH($D126,Units_Owners!$A$5:$A$504,0)),0)+SUMIFS(Ledger!$F:$F,Ledger!$B:$B,$D126,Ledger!$D:$D,"&lt;"&amp;$H126)-SUMIFS(Ledger!$G:$G,Ledger!$B:$B,$D126,Ledger!$D:$D,"&lt;"&amp;$H126))</f>
        <v/>
      </c>
      <c r="K126" s="13">
        <f>IF($D126="","",IFERROR(INDEX(Units_Owners!$H$5:$H$504,MATCH($D126,Units_Owners!$A$5:$A$504,0)),Setup!$B$10))</f>
        <v/>
      </c>
      <c r="L126" s="13">
        <f>IF($D126="","",Setup!$B$11)</f>
        <v/>
      </c>
      <c r="M126" s="13">
        <f>IF($D126="","",IF(AND(TODAY()&gt;=Setup!$B$9,$P126&gt;0),Setup!$B$12,0))</f>
        <v/>
      </c>
      <c r="N126" s="13">
        <f>IF($D126="","",SUM($J126:$M126))</f>
        <v/>
      </c>
      <c r="O126" s="13">
        <f>IF($A126="","",SUMIFS(Payments!$F:$F,Payments!$D:$D,$A126))</f>
        <v/>
      </c>
      <c r="P126" s="13">
        <f>IF($D126="","",MAX(0,$N126-$O126))</f>
        <v/>
      </c>
      <c r="Q126" s="2">
        <f>IF($D126="","",IF(IFERROR(INDEX(Units_Owners!$I$5:$I$504,MATCH($D126,Units_Owners!$A$5:$A$504,0)),"No")&lt;&gt;"Yes","Skip - Inactive",IF($P126=0,"Paid",IF(TODAY()&gt;$I126,"Past Due","Open"))))</f>
        <v/>
      </c>
      <c r="R126" s="14" t="n"/>
      <c r="S126" s="6" t="n"/>
    </row>
    <row r="127">
      <c r="A127" s="2">
        <f>IF($D127="","","INV-"&amp;$B127&amp;"-"&amp;$C127&amp;"-"&amp;TEXT(ROW(A123),"0000"))</f>
        <v/>
      </c>
      <c r="B127" s="2">
        <f>Setup!$B$5</f>
        <v/>
      </c>
      <c r="C127" s="2">
        <f>Setup!$B$6</f>
        <v/>
      </c>
      <c r="D127" s="2">
        <f>IFERROR(INDEX(Units_Owners!$A$5:$A$504,ROWS($A$5:A127)),"")</f>
        <v/>
      </c>
      <c r="E127" s="2">
        <f>IF($D127="","",IFERROR(INDEX(Units_Owners!$B$5:$B$504,MATCH($D127,Units_Owners!$A$5:$A$504,0)),""))</f>
        <v/>
      </c>
      <c r="F127" s="2">
        <f>IF($D127="","",IFERROR(INDEX(Units_Owners!$C$5:$C$504,MATCH($D127,Units_Owners!$A$5:$A$504,0)),""))</f>
        <v/>
      </c>
      <c r="G127" s="2">
        <f>IF($D127="","",IFERROR(INDEX(Units_Owners!$D$5:$D$504,MATCH($D127,Units_Owners!$A$5:$A$504,0)),""))</f>
        <v/>
      </c>
      <c r="H127" s="12">
        <f>Setup!$B$7</f>
        <v/>
      </c>
      <c r="I127" s="12">
        <f>Setup!$B$8</f>
        <v/>
      </c>
      <c r="J127" s="13">
        <f>IF($D127="","",IFERROR(INDEX(Units_Owners!$J$5:$J$504,MATCH($D127,Units_Owners!$A$5:$A$504,0)),0)+SUMIFS(Ledger!$F:$F,Ledger!$B:$B,$D127,Ledger!$D:$D,"&lt;"&amp;$H127)-SUMIFS(Ledger!$G:$G,Ledger!$B:$B,$D127,Ledger!$D:$D,"&lt;"&amp;$H127))</f>
        <v/>
      </c>
      <c r="K127" s="13">
        <f>IF($D127="","",IFERROR(INDEX(Units_Owners!$H$5:$H$504,MATCH($D127,Units_Owners!$A$5:$A$504,0)),Setup!$B$10))</f>
        <v/>
      </c>
      <c r="L127" s="13">
        <f>IF($D127="","",Setup!$B$11)</f>
        <v/>
      </c>
      <c r="M127" s="13">
        <f>IF($D127="","",IF(AND(TODAY()&gt;=Setup!$B$9,$P127&gt;0),Setup!$B$12,0))</f>
        <v/>
      </c>
      <c r="N127" s="13">
        <f>IF($D127="","",SUM($J127:$M127))</f>
        <v/>
      </c>
      <c r="O127" s="13">
        <f>IF($A127="","",SUMIFS(Payments!$F:$F,Payments!$D:$D,$A127))</f>
        <v/>
      </c>
      <c r="P127" s="13">
        <f>IF($D127="","",MAX(0,$N127-$O127))</f>
        <v/>
      </c>
      <c r="Q127" s="2">
        <f>IF($D127="","",IF(IFERROR(INDEX(Units_Owners!$I$5:$I$504,MATCH($D127,Units_Owners!$A$5:$A$504,0)),"No")&lt;&gt;"Yes","Skip - Inactive",IF($P127=0,"Paid",IF(TODAY()&gt;$I127,"Past Due","Open"))))</f>
        <v/>
      </c>
      <c r="R127" s="12" t="n"/>
      <c r="S127" s="2" t="n"/>
    </row>
    <row r="128">
      <c r="A128" s="2">
        <f>IF($D128="","","INV-"&amp;$B128&amp;"-"&amp;$C128&amp;"-"&amp;TEXT(ROW(A124),"0000"))</f>
        <v/>
      </c>
      <c r="B128" s="2">
        <f>Setup!$B$5</f>
        <v/>
      </c>
      <c r="C128" s="2">
        <f>Setup!$B$6</f>
        <v/>
      </c>
      <c r="D128" s="2">
        <f>IFERROR(INDEX(Units_Owners!$A$5:$A$504,ROWS($A$5:A128)),"")</f>
        <v/>
      </c>
      <c r="E128" s="2">
        <f>IF($D128="","",IFERROR(INDEX(Units_Owners!$B$5:$B$504,MATCH($D128,Units_Owners!$A$5:$A$504,0)),""))</f>
        <v/>
      </c>
      <c r="F128" s="2">
        <f>IF($D128="","",IFERROR(INDEX(Units_Owners!$C$5:$C$504,MATCH($D128,Units_Owners!$A$5:$A$504,0)),""))</f>
        <v/>
      </c>
      <c r="G128" s="2">
        <f>IF($D128="","",IFERROR(INDEX(Units_Owners!$D$5:$D$504,MATCH($D128,Units_Owners!$A$5:$A$504,0)),""))</f>
        <v/>
      </c>
      <c r="H128" s="12">
        <f>Setup!$B$7</f>
        <v/>
      </c>
      <c r="I128" s="12">
        <f>Setup!$B$8</f>
        <v/>
      </c>
      <c r="J128" s="13">
        <f>IF($D128="","",IFERROR(INDEX(Units_Owners!$J$5:$J$504,MATCH($D128,Units_Owners!$A$5:$A$504,0)),0)+SUMIFS(Ledger!$F:$F,Ledger!$B:$B,$D128,Ledger!$D:$D,"&lt;"&amp;$H128)-SUMIFS(Ledger!$G:$G,Ledger!$B:$B,$D128,Ledger!$D:$D,"&lt;"&amp;$H128))</f>
        <v/>
      </c>
      <c r="K128" s="13">
        <f>IF($D128="","",IFERROR(INDEX(Units_Owners!$H$5:$H$504,MATCH($D128,Units_Owners!$A$5:$A$504,0)),Setup!$B$10))</f>
        <v/>
      </c>
      <c r="L128" s="13">
        <f>IF($D128="","",Setup!$B$11)</f>
        <v/>
      </c>
      <c r="M128" s="13">
        <f>IF($D128="","",IF(AND(TODAY()&gt;=Setup!$B$9,$P128&gt;0),Setup!$B$12,0))</f>
        <v/>
      </c>
      <c r="N128" s="13">
        <f>IF($D128="","",SUM($J128:$M128))</f>
        <v/>
      </c>
      <c r="O128" s="13">
        <f>IF($A128="","",SUMIFS(Payments!$F:$F,Payments!$D:$D,$A128))</f>
        <v/>
      </c>
      <c r="P128" s="13">
        <f>IF($D128="","",MAX(0,$N128-$O128))</f>
        <v/>
      </c>
      <c r="Q128" s="2">
        <f>IF($D128="","",IF(IFERROR(INDEX(Units_Owners!$I$5:$I$504,MATCH($D128,Units_Owners!$A$5:$A$504,0)),"No")&lt;&gt;"Yes","Skip - Inactive",IF($P128=0,"Paid",IF(TODAY()&gt;$I128,"Past Due","Open"))))</f>
        <v/>
      </c>
      <c r="R128" s="14" t="n"/>
      <c r="S128" s="6" t="n"/>
    </row>
    <row r="129">
      <c r="A129" s="2">
        <f>IF($D129="","","INV-"&amp;$B129&amp;"-"&amp;$C129&amp;"-"&amp;TEXT(ROW(A125),"0000"))</f>
        <v/>
      </c>
      <c r="B129" s="2">
        <f>Setup!$B$5</f>
        <v/>
      </c>
      <c r="C129" s="2">
        <f>Setup!$B$6</f>
        <v/>
      </c>
      <c r="D129" s="2">
        <f>IFERROR(INDEX(Units_Owners!$A$5:$A$504,ROWS($A$5:A129)),"")</f>
        <v/>
      </c>
      <c r="E129" s="2">
        <f>IF($D129="","",IFERROR(INDEX(Units_Owners!$B$5:$B$504,MATCH($D129,Units_Owners!$A$5:$A$504,0)),""))</f>
        <v/>
      </c>
      <c r="F129" s="2">
        <f>IF($D129="","",IFERROR(INDEX(Units_Owners!$C$5:$C$504,MATCH($D129,Units_Owners!$A$5:$A$504,0)),""))</f>
        <v/>
      </c>
      <c r="G129" s="2">
        <f>IF($D129="","",IFERROR(INDEX(Units_Owners!$D$5:$D$504,MATCH($D129,Units_Owners!$A$5:$A$504,0)),""))</f>
        <v/>
      </c>
      <c r="H129" s="12">
        <f>Setup!$B$7</f>
        <v/>
      </c>
      <c r="I129" s="12">
        <f>Setup!$B$8</f>
        <v/>
      </c>
      <c r="J129" s="13">
        <f>IF($D129="","",IFERROR(INDEX(Units_Owners!$J$5:$J$504,MATCH($D129,Units_Owners!$A$5:$A$504,0)),0)+SUMIFS(Ledger!$F:$F,Ledger!$B:$B,$D129,Ledger!$D:$D,"&lt;"&amp;$H129)-SUMIFS(Ledger!$G:$G,Ledger!$B:$B,$D129,Ledger!$D:$D,"&lt;"&amp;$H129))</f>
        <v/>
      </c>
      <c r="K129" s="13">
        <f>IF($D129="","",IFERROR(INDEX(Units_Owners!$H$5:$H$504,MATCH($D129,Units_Owners!$A$5:$A$504,0)),Setup!$B$10))</f>
        <v/>
      </c>
      <c r="L129" s="13">
        <f>IF($D129="","",Setup!$B$11)</f>
        <v/>
      </c>
      <c r="M129" s="13">
        <f>IF($D129="","",IF(AND(TODAY()&gt;=Setup!$B$9,$P129&gt;0),Setup!$B$12,0))</f>
        <v/>
      </c>
      <c r="N129" s="13">
        <f>IF($D129="","",SUM($J129:$M129))</f>
        <v/>
      </c>
      <c r="O129" s="13">
        <f>IF($A129="","",SUMIFS(Payments!$F:$F,Payments!$D:$D,$A129))</f>
        <v/>
      </c>
      <c r="P129" s="13">
        <f>IF($D129="","",MAX(0,$N129-$O129))</f>
        <v/>
      </c>
      <c r="Q129" s="2">
        <f>IF($D129="","",IF(IFERROR(INDEX(Units_Owners!$I$5:$I$504,MATCH($D129,Units_Owners!$A$5:$A$504,0)),"No")&lt;&gt;"Yes","Skip - Inactive",IF($P129=0,"Paid",IF(TODAY()&gt;$I129,"Past Due","Open"))))</f>
        <v/>
      </c>
      <c r="R129" s="12" t="n"/>
      <c r="S129" s="2" t="n"/>
    </row>
    <row r="130">
      <c r="A130" s="2">
        <f>IF($D130="","","INV-"&amp;$B130&amp;"-"&amp;$C130&amp;"-"&amp;TEXT(ROW(A126),"0000"))</f>
        <v/>
      </c>
      <c r="B130" s="2">
        <f>Setup!$B$5</f>
        <v/>
      </c>
      <c r="C130" s="2">
        <f>Setup!$B$6</f>
        <v/>
      </c>
      <c r="D130" s="2">
        <f>IFERROR(INDEX(Units_Owners!$A$5:$A$504,ROWS($A$5:A130)),"")</f>
        <v/>
      </c>
      <c r="E130" s="2">
        <f>IF($D130="","",IFERROR(INDEX(Units_Owners!$B$5:$B$504,MATCH($D130,Units_Owners!$A$5:$A$504,0)),""))</f>
        <v/>
      </c>
      <c r="F130" s="2">
        <f>IF($D130="","",IFERROR(INDEX(Units_Owners!$C$5:$C$504,MATCH($D130,Units_Owners!$A$5:$A$504,0)),""))</f>
        <v/>
      </c>
      <c r="G130" s="2">
        <f>IF($D130="","",IFERROR(INDEX(Units_Owners!$D$5:$D$504,MATCH($D130,Units_Owners!$A$5:$A$504,0)),""))</f>
        <v/>
      </c>
      <c r="H130" s="12">
        <f>Setup!$B$7</f>
        <v/>
      </c>
      <c r="I130" s="12">
        <f>Setup!$B$8</f>
        <v/>
      </c>
      <c r="J130" s="13">
        <f>IF($D130="","",IFERROR(INDEX(Units_Owners!$J$5:$J$504,MATCH($D130,Units_Owners!$A$5:$A$504,0)),0)+SUMIFS(Ledger!$F:$F,Ledger!$B:$B,$D130,Ledger!$D:$D,"&lt;"&amp;$H130)-SUMIFS(Ledger!$G:$G,Ledger!$B:$B,$D130,Ledger!$D:$D,"&lt;"&amp;$H130))</f>
        <v/>
      </c>
      <c r="K130" s="13">
        <f>IF($D130="","",IFERROR(INDEX(Units_Owners!$H$5:$H$504,MATCH($D130,Units_Owners!$A$5:$A$504,0)),Setup!$B$10))</f>
        <v/>
      </c>
      <c r="L130" s="13">
        <f>IF($D130="","",Setup!$B$11)</f>
        <v/>
      </c>
      <c r="M130" s="13">
        <f>IF($D130="","",IF(AND(TODAY()&gt;=Setup!$B$9,$P130&gt;0),Setup!$B$12,0))</f>
        <v/>
      </c>
      <c r="N130" s="13">
        <f>IF($D130="","",SUM($J130:$M130))</f>
        <v/>
      </c>
      <c r="O130" s="13">
        <f>IF($A130="","",SUMIFS(Payments!$F:$F,Payments!$D:$D,$A130))</f>
        <v/>
      </c>
      <c r="P130" s="13">
        <f>IF($D130="","",MAX(0,$N130-$O130))</f>
        <v/>
      </c>
      <c r="Q130" s="2">
        <f>IF($D130="","",IF(IFERROR(INDEX(Units_Owners!$I$5:$I$504,MATCH($D130,Units_Owners!$A$5:$A$504,0)),"No")&lt;&gt;"Yes","Skip - Inactive",IF($P130=0,"Paid",IF(TODAY()&gt;$I130,"Past Due","Open"))))</f>
        <v/>
      </c>
      <c r="R130" s="14" t="n"/>
      <c r="S130" s="6" t="n"/>
    </row>
    <row r="131">
      <c r="A131" s="2">
        <f>IF($D131="","","INV-"&amp;$B131&amp;"-"&amp;$C131&amp;"-"&amp;TEXT(ROW(A127),"0000"))</f>
        <v/>
      </c>
      <c r="B131" s="2">
        <f>Setup!$B$5</f>
        <v/>
      </c>
      <c r="C131" s="2">
        <f>Setup!$B$6</f>
        <v/>
      </c>
      <c r="D131" s="2">
        <f>IFERROR(INDEX(Units_Owners!$A$5:$A$504,ROWS($A$5:A131)),"")</f>
        <v/>
      </c>
      <c r="E131" s="2">
        <f>IF($D131="","",IFERROR(INDEX(Units_Owners!$B$5:$B$504,MATCH($D131,Units_Owners!$A$5:$A$504,0)),""))</f>
        <v/>
      </c>
      <c r="F131" s="2">
        <f>IF($D131="","",IFERROR(INDEX(Units_Owners!$C$5:$C$504,MATCH($D131,Units_Owners!$A$5:$A$504,0)),""))</f>
        <v/>
      </c>
      <c r="G131" s="2">
        <f>IF($D131="","",IFERROR(INDEX(Units_Owners!$D$5:$D$504,MATCH($D131,Units_Owners!$A$5:$A$504,0)),""))</f>
        <v/>
      </c>
      <c r="H131" s="12">
        <f>Setup!$B$7</f>
        <v/>
      </c>
      <c r="I131" s="12">
        <f>Setup!$B$8</f>
        <v/>
      </c>
      <c r="J131" s="13">
        <f>IF($D131="","",IFERROR(INDEX(Units_Owners!$J$5:$J$504,MATCH($D131,Units_Owners!$A$5:$A$504,0)),0)+SUMIFS(Ledger!$F:$F,Ledger!$B:$B,$D131,Ledger!$D:$D,"&lt;"&amp;$H131)-SUMIFS(Ledger!$G:$G,Ledger!$B:$B,$D131,Ledger!$D:$D,"&lt;"&amp;$H131))</f>
        <v/>
      </c>
      <c r="K131" s="13">
        <f>IF($D131="","",IFERROR(INDEX(Units_Owners!$H$5:$H$504,MATCH($D131,Units_Owners!$A$5:$A$504,0)),Setup!$B$10))</f>
        <v/>
      </c>
      <c r="L131" s="13">
        <f>IF($D131="","",Setup!$B$11)</f>
        <v/>
      </c>
      <c r="M131" s="13">
        <f>IF($D131="","",IF(AND(TODAY()&gt;=Setup!$B$9,$P131&gt;0),Setup!$B$12,0))</f>
        <v/>
      </c>
      <c r="N131" s="13">
        <f>IF($D131="","",SUM($J131:$M131))</f>
        <v/>
      </c>
      <c r="O131" s="13">
        <f>IF($A131="","",SUMIFS(Payments!$F:$F,Payments!$D:$D,$A131))</f>
        <v/>
      </c>
      <c r="P131" s="13">
        <f>IF($D131="","",MAX(0,$N131-$O131))</f>
        <v/>
      </c>
      <c r="Q131" s="2">
        <f>IF($D131="","",IF(IFERROR(INDEX(Units_Owners!$I$5:$I$504,MATCH($D131,Units_Owners!$A$5:$A$504,0)),"No")&lt;&gt;"Yes","Skip - Inactive",IF($P131=0,"Paid",IF(TODAY()&gt;$I131,"Past Due","Open"))))</f>
        <v/>
      </c>
      <c r="R131" s="12" t="n"/>
      <c r="S131" s="2" t="n"/>
    </row>
    <row r="132">
      <c r="A132" s="2">
        <f>IF($D132="","","INV-"&amp;$B132&amp;"-"&amp;$C132&amp;"-"&amp;TEXT(ROW(A128),"0000"))</f>
        <v/>
      </c>
      <c r="B132" s="2">
        <f>Setup!$B$5</f>
        <v/>
      </c>
      <c r="C132" s="2">
        <f>Setup!$B$6</f>
        <v/>
      </c>
      <c r="D132" s="2">
        <f>IFERROR(INDEX(Units_Owners!$A$5:$A$504,ROWS($A$5:A132)),"")</f>
        <v/>
      </c>
      <c r="E132" s="2">
        <f>IF($D132="","",IFERROR(INDEX(Units_Owners!$B$5:$B$504,MATCH($D132,Units_Owners!$A$5:$A$504,0)),""))</f>
        <v/>
      </c>
      <c r="F132" s="2">
        <f>IF($D132="","",IFERROR(INDEX(Units_Owners!$C$5:$C$504,MATCH($D132,Units_Owners!$A$5:$A$504,0)),""))</f>
        <v/>
      </c>
      <c r="G132" s="2">
        <f>IF($D132="","",IFERROR(INDEX(Units_Owners!$D$5:$D$504,MATCH($D132,Units_Owners!$A$5:$A$504,0)),""))</f>
        <v/>
      </c>
      <c r="H132" s="12">
        <f>Setup!$B$7</f>
        <v/>
      </c>
      <c r="I132" s="12">
        <f>Setup!$B$8</f>
        <v/>
      </c>
      <c r="J132" s="13">
        <f>IF($D132="","",IFERROR(INDEX(Units_Owners!$J$5:$J$504,MATCH($D132,Units_Owners!$A$5:$A$504,0)),0)+SUMIFS(Ledger!$F:$F,Ledger!$B:$B,$D132,Ledger!$D:$D,"&lt;"&amp;$H132)-SUMIFS(Ledger!$G:$G,Ledger!$B:$B,$D132,Ledger!$D:$D,"&lt;"&amp;$H132))</f>
        <v/>
      </c>
      <c r="K132" s="13">
        <f>IF($D132="","",IFERROR(INDEX(Units_Owners!$H$5:$H$504,MATCH($D132,Units_Owners!$A$5:$A$504,0)),Setup!$B$10))</f>
        <v/>
      </c>
      <c r="L132" s="13">
        <f>IF($D132="","",Setup!$B$11)</f>
        <v/>
      </c>
      <c r="M132" s="13">
        <f>IF($D132="","",IF(AND(TODAY()&gt;=Setup!$B$9,$P132&gt;0),Setup!$B$12,0))</f>
        <v/>
      </c>
      <c r="N132" s="13">
        <f>IF($D132="","",SUM($J132:$M132))</f>
        <v/>
      </c>
      <c r="O132" s="13">
        <f>IF($A132="","",SUMIFS(Payments!$F:$F,Payments!$D:$D,$A132))</f>
        <v/>
      </c>
      <c r="P132" s="13">
        <f>IF($D132="","",MAX(0,$N132-$O132))</f>
        <v/>
      </c>
      <c r="Q132" s="2">
        <f>IF($D132="","",IF(IFERROR(INDEX(Units_Owners!$I$5:$I$504,MATCH($D132,Units_Owners!$A$5:$A$504,0)),"No")&lt;&gt;"Yes","Skip - Inactive",IF($P132=0,"Paid",IF(TODAY()&gt;$I132,"Past Due","Open"))))</f>
        <v/>
      </c>
      <c r="R132" s="14" t="n"/>
      <c r="S132" s="6" t="n"/>
    </row>
    <row r="133">
      <c r="A133" s="2">
        <f>IF($D133="","","INV-"&amp;$B133&amp;"-"&amp;$C133&amp;"-"&amp;TEXT(ROW(A129),"0000"))</f>
        <v/>
      </c>
      <c r="B133" s="2">
        <f>Setup!$B$5</f>
        <v/>
      </c>
      <c r="C133" s="2">
        <f>Setup!$B$6</f>
        <v/>
      </c>
      <c r="D133" s="2">
        <f>IFERROR(INDEX(Units_Owners!$A$5:$A$504,ROWS($A$5:A133)),"")</f>
        <v/>
      </c>
      <c r="E133" s="2">
        <f>IF($D133="","",IFERROR(INDEX(Units_Owners!$B$5:$B$504,MATCH($D133,Units_Owners!$A$5:$A$504,0)),""))</f>
        <v/>
      </c>
      <c r="F133" s="2">
        <f>IF($D133="","",IFERROR(INDEX(Units_Owners!$C$5:$C$504,MATCH($D133,Units_Owners!$A$5:$A$504,0)),""))</f>
        <v/>
      </c>
      <c r="G133" s="2">
        <f>IF($D133="","",IFERROR(INDEX(Units_Owners!$D$5:$D$504,MATCH($D133,Units_Owners!$A$5:$A$504,0)),""))</f>
        <v/>
      </c>
      <c r="H133" s="12">
        <f>Setup!$B$7</f>
        <v/>
      </c>
      <c r="I133" s="12">
        <f>Setup!$B$8</f>
        <v/>
      </c>
      <c r="J133" s="13">
        <f>IF($D133="","",IFERROR(INDEX(Units_Owners!$J$5:$J$504,MATCH($D133,Units_Owners!$A$5:$A$504,0)),0)+SUMIFS(Ledger!$F:$F,Ledger!$B:$B,$D133,Ledger!$D:$D,"&lt;"&amp;$H133)-SUMIFS(Ledger!$G:$G,Ledger!$B:$B,$D133,Ledger!$D:$D,"&lt;"&amp;$H133))</f>
        <v/>
      </c>
      <c r="K133" s="13">
        <f>IF($D133="","",IFERROR(INDEX(Units_Owners!$H$5:$H$504,MATCH($D133,Units_Owners!$A$5:$A$504,0)),Setup!$B$10))</f>
        <v/>
      </c>
      <c r="L133" s="13">
        <f>IF($D133="","",Setup!$B$11)</f>
        <v/>
      </c>
      <c r="M133" s="13">
        <f>IF($D133="","",IF(AND(TODAY()&gt;=Setup!$B$9,$P133&gt;0),Setup!$B$12,0))</f>
        <v/>
      </c>
      <c r="N133" s="13">
        <f>IF($D133="","",SUM($J133:$M133))</f>
        <v/>
      </c>
      <c r="O133" s="13">
        <f>IF($A133="","",SUMIFS(Payments!$F:$F,Payments!$D:$D,$A133))</f>
        <v/>
      </c>
      <c r="P133" s="13">
        <f>IF($D133="","",MAX(0,$N133-$O133))</f>
        <v/>
      </c>
      <c r="Q133" s="2">
        <f>IF($D133="","",IF(IFERROR(INDEX(Units_Owners!$I$5:$I$504,MATCH($D133,Units_Owners!$A$5:$A$504,0)),"No")&lt;&gt;"Yes","Skip - Inactive",IF($P133=0,"Paid",IF(TODAY()&gt;$I133,"Past Due","Open"))))</f>
        <v/>
      </c>
      <c r="R133" s="12" t="n"/>
      <c r="S133" s="2" t="n"/>
    </row>
    <row r="134">
      <c r="A134" s="2">
        <f>IF($D134="","","INV-"&amp;$B134&amp;"-"&amp;$C134&amp;"-"&amp;TEXT(ROW(A130),"0000"))</f>
        <v/>
      </c>
      <c r="B134" s="2">
        <f>Setup!$B$5</f>
        <v/>
      </c>
      <c r="C134" s="2">
        <f>Setup!$B$6</f>
        <v/>
      </c>
      <c r="D134" s="2">
        <f>IFERROR(INDEX(Units_Owners!$A$5:$A$504,ROWS($A$5:A134)),"")</f>
        <v/>
      </c>
      <c r="E134" s="2">
        <f>IF($D134="","",IFERROR(INDEX(Units_Owners!$B$5:$B$504,MATCH($D134,Units_Owners!$A$5:$A$504,0)),""))</f>
        <v/>
      </c>
      <c r="F134" s="2">
        <f>IF($D134="","",IFERROR(INDEX(Units_Owners!$C$5:$C$504,MATCH($D134,Units_Owners!$A$5:$A$504,0)),""))</f>
        <v/>
      </c>
      <c r="G134" s="2">
        <f>IF($D134="","",IFERROR(INDEX(Units_Owners!$D$5:$D$504,MATCH($D134,Units_Owners!$A$5:$A$504,0)),""))</f>
        <v/>
      </c>
      <c r="H134" s="12">
        <f>Setup!$B$7</f>
        <v/>
      </c>
      <c r="I134" s="12">
        <f>Setup!$B$8</f>
        <v/>
      </c>
      <c r="J134" s="13">
        <f>IF($D134="","",IFERROR(INDEX(Units_Owners!$J$5:$J$504,MATCH($D134,Units_Owners!$A$5:$A$504,0)),0)+SUMIFS(Ledger!$F:$F,Ledger!$B:$B,$D134,Ledger!$D:$D,"&lt;"&amp;$H134)-SUMIFS(Ledger!$G:$G,Ledger!$B:$B,$D134,Ledger!$D:$D,"&lt;"&amp;$H134))</f>
        <v/>
      </c>
      <c r="K134" s="13">
        <f>IF($D134="","",IFERROR(INDEX(Units_Owners!$H$5:$H$504,MATCH($D134,Units_Owners!$A$5:$A$504,0)),Setup!$B$10))</f>
        <v/>
      </c>
      <c r="L134" s="13">
        <f>IF($D134="","",Setup!$B$11)</f>
        <v/>
      </c>
      <c r="M134" s="13">
        <f>IF($D134="","",IF(AND(TODAY()&gt;=Setup!$B$9,$P134&gt;0),Setup!$B$12,0))</f>
        <v/>
      </c>
      <c r="N134" s="13">
        <f>IF($D134="","",SUM($J134:$M134))</f>
        <v/>
      </c>
      <c r="O134" s="13">
        <f>IF($A134="","",SUMIFS(Payments!$F:$F,Payments!$D:$D,$A134))</f>
        <v/>
      </c>
      <c r="P134" s="13">
        <f>IF($D134="","",MAX(0,$N134-$O134))</f>
        <v/>
      </c>
      <c r="Q134" s="2">
        <f>IF($D134="","",IF(IFERROR(INDEX(Units_Owners!$I$5:$I$504,MATCH($D134,Units_Owners!$A$5:$A$504,0)),"No")&lt;&gt;"Yes","Skip - Inactive",IF($P134=0,"Paid",IF(TODAY()&gt;$I134,"Past Due","Open"))))</f>
        <v/>
      </c>
      <c r="R134" s="14" t="n"/>
      <c r="S134" s="6" t="n"/>
    </row>
    <row r="135">
      <c r="A135" s="2">
        <f>IF($D135="","","INV-"&amp;$B135&amp;"-"&amp;$C135&amp;"-"&amp;TEXT(ROW(A131),"0000"))</f>
        <v/>
      </c>
      <c r="B135" s="2">
        <f>Setup!$B$5</f>
        <v/>
      </c>
      <c r="C135" s="2">
        <f>Setup!$B$6</f>
        <v/>
      </c>
      <c r="D135" s="2">
        <f>IFERROR(INDEX(Units_Owners!$A$5:$A$504,ROWS($A$5:A135)),"")</f>
        <v/>
      </c>
      <c r="E135" s="2">
        <f>IF($D135="","",IFERROR(INDEX(Units_Owners!$B$5:$B$504,MATCH($D135,Units_Owners!$A$5:$A$504,0)),""))</f>
        <v/>
      </c>
      <c r="F135" s="2">
        <f>IF($D135="","",IFERROR(INDEX(Units_Owners!$C$5:$C$504,MATCH($D135,Units_Owners!$A$5:$A$504,0)),""))</f>
        <v/>
      </c>
      <c r="G135" s="2">
        <f>IF($D135="","",IFERROR(INDEX(Units_Owners!$D$5:$D$504,MATCH($D135,Units_Owners!$A$5:$A$504,0)),""))</f>
        <v/>
      </c>
      <c r="H135" s="12">
        <f>Setup!$B$7</f>
        <v/>
      </c>
      <c r="I135" s="12">
        <f>Setup!$B$8</f>
        <v/>
      </c>
      <c r="J135" s="13">
        <f>IF($D135="","",IFERROR(INDEX(Units_Owners!$J$5:$J$504,MATCH($D135,Units_Owners!$A$5:$A$504,0)),0)+SUMIFS(Ledger!$F:$F,Ledger!$B:$B,$D135,Ledger!$D:$D,"&lt;"&amp;$H135)-SUMIFS(Ledger!$G:$G,Ledger!$B:$B,$D135,Ledger!$D:$D,"&lt;"&amp;$H135))</f>
        <v/>
      </c>
      <c r="K135" s="13">
        <f>IF($D135="","",IFERROR(INDEX(Units_Owners!$H$5:$H$504,MATCH($D135,Units_Owners!$A$5:$A$504,0)),Setup!$B$10))</f>
        <v/>
      </c>
      <c r="L135" s="13">
        <f>IF($D135="","",Setup!$B$11)</f>
        <v/>
      </c>
      <c r="M135" s="13">
        <f>IF($D135="","",IF(AND(TODAY()&gt;=Setup!$B$9,$P135&gt;0),Setup!$B$12,0))</f>
        <v/>
      </c>
      <c r="N135" s="13">
        <f>IF($D135="","",SUM($J135:$M135))</f>
        <v/>
      </c>
      <c r="O135" s="13">
        <f>IF($A135="","",SUMIFS(Payments!$F:$F,Payments!$D:$D,$A135))</f>
        <v/>
      </c>
      <c r="P135" s="13">
        <f>IF($D135="","",MAX(0,$N135-$O135))</f>
        <v/>
      </c>
      <c r="Q135" s="2">
        <f>IF($D135="","",IF(IFERROR(INDEX(Units_Owners!$I$5:$I$504,MATCH($D135,Units_Owners!$A$5:$A$504,0)),"No")&lt;&gt;"Yes","Skip - Inactive",IF($P135=0,"Paid",IF(TODAY()&gt;$I135,"Past Due","Open"))))</f>
        <v/>
      </c>
      <c r="R135" s="12" t="n"/>
      <c r="S135" s="2" t="n"/>
    </row>
    <row r="136">
      <c r="A136" s="2">
        <f>IF($D136="","","INV-"&amp;$B136&amp;"-"&amp;$C136&amp;"-"&amp;TEXT(ROW(A132),"0000"))</f>
        <v/>
      </c>
      <c r="B136" s="2">
        <f>Setup!$B$5</f>
        <v/>
      </c>
      <c r="C136" s="2">
        <f>Setup!$B$6</f>
        <v/>
      </c>
      <c r="D136" s="2">
        <f>IFERROR(INDEX(Units_Owners!$A$5:$A$504,ROWS($A$5:A136)),"")</f>
        <v/>
      </c>
      <c r="E136" s="2">
        <f>IF($D136="","",IFERROR(INDEX(Units_Owners!$B$5:$B$504,MATCH($D136,Units_Owners!$A$5:$A$504,0)),""))</f>
        <v/>
      </c>
      <c r="F136" s="2">
        <f>IF($D136="","",IFERROR(INDEX(Units_Owners!$C$5:$C$504,MATCH($D136,Units_Owners!$A$5:$A$504,0)),""))</f>
        <v/>
      </c>
      <c r="G136" s="2">
        <f>IF($D136="","",IFERROR(INDEX(Units_Owners!$D$5:$D$504,MATCH($D136,Units_Owners!$A$5:$A$504,0)),""))</f>
        <v/>
      </c>
      <c r="H136" s="12">
        <f>Setup!$B$7</f>
        <v/>
      </c>
      <c r="I136" s="12">
        <f>Setup!$B$8</f>
        <v/>
      </c>
      <c r="J136" s="13">
        <f>IF($D136="","",IFERROR(INDEX(Units_Owners!$J$5:$J$504,MATCH($D136,Units_Owners!$A$5:$A$504,0)),0)+SUMIFS(Ledger!$F:$F,Ledger!$B:$B,$D136,Ledger!$D:$D,"&lt;"&amp;$H136)-SUMIFS(Ledger!$G:$G,Ledger!$B:$B,$D136,Ledger!$D:$D,"&lt;"&amp;$H136))</f>
        <v/>
      </c>
      <c r="K136" s="13">
        <f>IF($D136="","",IFERROR(INDEX(Units_Owners!$H$5:$H$504,MATCH($D136,Units_Owners!$A$5:$A$504,0)),Setup!$B$10))</f>
        <v/>
      </c>
      <c r="L136" s="13">
        <f>IF($D136="","",Setup!$B$11)</f>
        <v/>
      </c>
      <c r="M136" s="13">
        <f>IF($D136="","",IF(AND(TODAY()&gt;=Setup!$B$9,$P136&gt;0),Setup!$B$12,0))</f>
        <v/>
      </c>
      <c r="N136" s="13">
        <f>IF($D136="","",SUM($J136:$M136))</f>
        <v/>
      </c>
      <c r="O136" s="13">
        <f>IF($A136="","",SUMIFS(Payments!$F:$F,Payments!$D:$D,$A136))</f>
        <v/>
      </c>
      <c r="P136" s="13">
        <f>IF($D136="","",MAX(0,$N136-$O136))</f>
        <v/>
      </c>
      <c r="Q136" s="2">
        <f>IF($D136="","",IF(IFERROR(INDEX(Units_Owners!$I$5:$I$504,MATCH($D136,Units_Owners!$A$5:$A$504,0)),"No")&lt;&gt;"Yes","Skip - Inactive",IF($P136=0,"Paid",IF(TODAY()&gt;$I136,"Past Due","Open"))))</f>
        <v/>
      </c>
      <c r="R136" s="14" t="n"/>
      <c r="S136" s="6" t="n"/>
    </row>
    <row r="137">
      <c r="A137" s="2">
        <f>IF($D137="","","INV-"&amp;$B137&amp;"-"&amp;$C137&amp;"-"&amp;TEXT(ROW(A133),"0000"))</f>
        <v/>
      </c>
      <c r="B137" s="2">
        <f>Setup!$B$5</f>
        <v/>
      </c>
      <c r="C137" s="2">
        <f>Setup!$B$6</f>
        <v/>
      </c>
      <c r="D137" s="2">
        <f>IFERROR(INDEX(Units_Owners!$A$5:$A$504,ROWS($A$5:A137)),"")</f>
        <v/>
      </c>
      <c r="E137" s="2">
        <f>IF($D137="","",IFERROR(INDEX(Units_Owners!$B$5:$B$504,MATCH($D137,Units_Owners!$A$5:$A$504,0)),""))</f>
        <v/>
      </c>
      <c r="F137" s="2">
        <f>IF($D137="","",IFERROR(INDEX(Units_Owners!$C$5:$C$504,MATCH($D137,Units_Owners!$A$5:$A$504,0)),""))</f>
        <v/>
      </c>
      <c r="G137" s="2">
        <f>IF($D137="","",IFERROR(INDEX(Units_Owners!$D$5:$D$504,MATCH($D137,Units_Owners!$A$5:$A$504,0)),""))</f>
        <v/>
      </c>
      <c r="H137" s="12">
        <f>Setup!$B$7</f>
        <v/>
      </c>
      <c r="I137" s="12">
        <f>Setup!$B$8</f>
        <v/>
      </c>
      <c r="J137" s="13">
        <f>IF($D137="","",IFERROR(INDEX(Units_Owners!$J$5:$J$504,MATCH($D137,Units_Owners!$A$5:$A$504,0)),0)+SUMIFS(Ledger!$F:$F,Ledger!$B:$B,$D137,Ledger!$D:$D,"&lt;"&amp;$H137)-SUMIFS(Ledger!$G:$G,Ledger!$B:$B,$D137,Ledger!$D:$D,"&lt;"&amp;$H137))</f>
        <v/>
      </c>
      <c r="K137" s="13">
        <f>IF($D137="","",IFERROR(INDEX(Units_Owners!$H$5:$H$504,MATCH($D137,Units_Owners!$A$5:$A$504,0)),Setup!$B$10))</f>
        <v/>
      </c>
      <c r="L137" s="13">
        <f>IF($D137="","",Setup!$B$11)</f>
        <v/>
      </c>
      <c r="M137" s="13">
        <f>IF($D137="","",IF(AND(TODAY()&gt;=Setup!$B$9,$P137&gt;0),Setup!$B$12,0))</f>
        <v/>
      </c>
      <c r="N137" s="13">
        <f>IF($D137="","",SUM($J137:$M137))</f>
        <v/>
      </c>
      <c r="O137" s="13">
        <f>IF($A137="","",SUMIFS(Payments!$F:$F,Payments!$D:$D,$A137))</f>
        <v/>
      </c>
      <c r="P137" s="13">
        <f>IF($D137="","",MAX(0,$N137-$O137))</f>
        <v/>
      </c>
      <c r="Q137" s="2">
        <f>IF($D137="","",IF(IFERROR(INDEX(Units_Owners!$I$5:$I$504,MATCH($D137,Units_Owners!$A$5:$A$504,0)),"No")&lt;&gt;"Yes","Skip - Inactive",IF($P137=0,"Paid",IF(TODAY()&gt;$I137,"Past Due","Open"))))</f>
        <v/>
      </c>
      <c r="R137" s="12" t="n"/>
      <c r="S137" s="2" t="n"/>
    </row>
    <row r="138">
      <c r="A138" s="2">
        <f>IF($D138="","","INV-"&amp;$B138&amp;"-"&amp;$C138&amp;"-"&amp;TEXT(ROW(A134),"0000"))</f>
        <v/>
      </c>
      <c r="B138" s="2">
        <f>Setup!$B$5</f>
        <v/>
      </c>
      <c r="C138" s="2">
        <f>Setup!$B$6</f>
        <v/>
      </c>
      <c r="D138" s="2">
        <f>IFERROR(INDEX(Units_Owners!$A$5:$A$504,ROWS($A$5:A138)),"")</f>
        <v/>
      </c>
      <c r="E138" s="2">
        <f>IF($D138="","",IFERROR(INDEX(Units_Owners!$B$5:$B$504,MATCH($D138,Units_Owners!$A$5:$A$504,0)),""))</f>
        <v/>
      </c>
      <c r="F138" s="2">
        <f>IF($D138="","",IFERROR(INDEX(Units_Owners!$C$5:$C$504,MATCH($D138,Units_Owners!$A$5:$A$504,0)),""))</f>
        <v/>
      </c>
      <c r="G138" s="2">
        <f>IF($D138="","",IFERROR(INDEX(Units_Owners!$D$5:$D$504,MATCH($D138,Units_Owners!$A$5:$A$504,0)),""))</f>
        <v/>
      </c>
      <c r="H138" s="12">
        <f>Setup!$B$7</f>
        <v/>
      </c>
      <c r="I138" s="12">
        <f>Setup!$B$8</f>
        <v/>
      </c>
      <c r="J138" s="13">
        <f>IF($D138="","",IFERROR(INDEX(Units_Owners!$J$5:$J$504,MATCH($D138,Units_Owners!$A$5:$A$504,0)),0)+SUMIFS(Ledger!$F:$F,Ledger!$B:$B,$D138,Ledger!$D:$D,"&lt;"&amp;$H138)-SUMIFS(Ledger!$G:$G,Ledger!$B:$B,$D138,Ledger!$D:$D,"&lt;"&amp;$H138))</f>
        <v/>
      </c>
      <c r="K138" s="13">
        <f>IF($D138="","",IFERROR(INDEX(Units_Owners!$H$5:$H$504,MATCH($D138,Units_Owners!$A$5:$A$504,0)),Setup!$B$10))</f>
        <v/>
      </c>
      <c r="L138" s="13">
        <f>IF($D138="","",Setup!$B$11)</f>
        <v/>
      </c>
      <c r="M138" s="13">
        <f>IF($D138="","",IF(AND(TODAY()&gt;=Setup!$B$9,$P138&gt;0),Setup!$B$12,0))</f>
        <v/>
      </c>
      <c r="N138" s="13">
        <f>IF($D138="","",SUM($J138:$M138))</f>
        <v/>
      </c>
      <c r="O138" s="13">
        <f>IF($A138="","",SUMIFS(Payments!$F:$F,Payments!$D:$D,$A138))</f>
        <v/>
      </c>
      <c r="P138" s="13">
        <f>IF($D138="","",MAX(0,$N138-$O138))</f>
        <v/>
      </c>
      <c r="Q138" s="2">
        <f>IF($D138="","",IF(IFERROR(INDEX(Units_Owners!$I$5:$I$504,MATCH($D138,Units_Owners!$A$5:$A$504,0)),"No")&lt;&gt;"Yes","Skip - Inactive",IF($P138=0,"Paid",IF(TODAY()&gt;$I138,"Past Due","Open"))))</f>
        <v/>
      </c>
      <c r="R138" s="14" t="n"/>
      <c r="S138" s="6" t="n"/>
    </row>
    <row r="139">
      <c r="A139" s="2">
        <f>IF($D139="","","INV-"&amp;$B139&amp;"-"&amp;$C139&amp;"-"&amp;TEXT(ROW(A135),"0000"))</f>
        <v/>
      </c>
      <c r="B139" s="2">
        <f>Setup!$B$5</f>
        <v/>
      </c>
      <c r="C139" s="2">
        <f>Setup!$B$6</f>
        <v/>
      </c>
      <c r="D139" s="2">
        <f>IFERROR(INDEX(Units_Owners!$A$5:$A$504,ROWS($A$5:A139)),"")</f>
        <v/>
      </c>
      <c r="E139" s="2">
        <f>IF($D139="","",IFERROR(INDEX(Units_Owners!$B$5:$B$504,MATCH($D139,Units_Owners!$A$5:$A$504,0)),""))</f>
        <v/>
      </c>
      <c r="F139" s="2">
        <f>IF($D139="","",IFERROR(INDEX(Units_Owners!$C$5:$C$504,MATCH($D139,Units_Owners!$A$5:$A$504,0)),""))</f>
        <v/>
      </c>
      <c r="G139" s="2">
        <f>IF($D139="","",IFERROR(INDEX(Units_Owners!$D$5:$D$504,MATCH($D139,Units_Owners!$A$5:$A$504,0)),""))</f>
        <v/>
      </c>
      <c r="H139" s="12">
        <f>Setup!$B$7</f>
        <v/>
      </c>
      <c r="I139" s="12">
        <f>Setup!$B$8</f>
        <v/>
      </c>
      <c r="J139" s="13">
        <f>IF($D139="","",IFERROR(INDEX(Units_Owners!$J$5:$J$504,MATCH($D139,Units_Owners!$A$5:$A$504,0)),0)+SUMIFS(Ledger!$F:$F,Ledger!$B:$B,$D139,Ledger!$D:$D,"&lt;"&amp;$H139)-SUMIFS(Ledger!$G:$G,Ledger!$B:$B,$D139,Ledger!$D:$D,"&lt;"&amp;$H139))</f>
        <v/>
      </c>
      <c r="K139" s="13">
        <f>IF($D139="","",IFERROR(INDEX(Units_Owners!$H$5:$H$504,MATCH($D139,Units_Owners!$A$5:$A$504,0)),Setup!$B$10))</f>
        <v/>
      </c>
      <c r="L139" s="13">
        <f>IF($D139="","",Setup!$B$11)</f>
        <v/>
      </c>
      <c r="M139" s="13">
        <f>IF($D139="","",IF(AND(TODAY()&gt;=Setup!$B$9,$P139&gt;0),Setup!$B$12,0))</f>
        <v/>
      </c>
      <c r="N139" s="13">
        <f>IF($D139="","",SUM($J139:$M139))</f>
        <v/>
      </c>
      <c r="O139" s="13">
        <f>IF($A139="","",SUMIFS(Payments!$F:$F,Payments!$D:$D,$A139))</f>
        <v/>
      </c>
      <c r="P139" s="13">
        <f>IF($D139="","",MAX(0,$N139-$O139))</f>
        <v/>
      </c>
      <c r="Q139" s="2">
        <f>IF($D139="","",IF(IFERROR(INDEX(Units_Owners!$I$5:$I$504,MATCH($D139,Units_Owners!$A$5:$A$504,0)),"No")&lt;&gt;"Yes","Skip - Inactive",IF($P139=0,"Paid",IF(TODAY()&gt;$I139,"Past Due","Open"))))</f>
        <v/>
      </c>
      <c r="R139" s="12" t="n"/>
      <c r="S139" s="2" t="n"/>
    </row>
    <row r="140">
      <c r="A140" s="2">
        <f>IF($D140="","","INV-"&amp;$B140&amp;"-"&amp;$C140&amp;"-"&amp;TEXT(ROW(A136),"0000"))</f>
        <v/>
      </c>
      <c r="B140" s="2">
        <f>Setup!$B$5</f>
        <v/>
      </c>
      <c r="C140" s="2">
        <f>Setup!$B$6</f>
        <v/>
      </c>
      <c r="D140" s="2">
        <f>IFERROR(INDEX(Units_Owners!$A$5:$A$504,ROWS($A$5:A140)),"")</f>
        <v/>
      </c>
      <c r="E140" s="2">
        <f>IF($D140="","",IFERROR(INDEX(Units_Owners!$B$5:$B$504,MATCH($D140,Units_Owners!$A$5:$A$504,0)),""))</f>
        <v/>
      </c>
      <c r="F140" s="2">
        <f>IF($D140="","",IFERROR(INDEX(Units_Owners!$C$5:$C$504,MATCH($D140,Units_Owners!$A$5:$A$504,0)),""))</f>
        <v/>
      </c>
      <c r="G140" s="2">
        <f>IF($D140="","",IFERROR(INDEX(Units_Owners!$D$5:$D$504,MATCH($D140,Units_Owners!$A$5:$A$504,0)),""))</f>
        <v/>
      </c>
      <c r="H140" s="12">
        <f>Setup!$B$7</f>
        <v/>
      </c>
      <c r="I140" s="12">
        <f>Setup!$B$8</f>
        <v/>
      </c>
      <c r="J140" s="13">
        <f>IF($D140="","",IFERROR(INDEX(Units_Owners!$J$5:$J$504,MATCH($D140,Units_Owners!$A$5:$A$504,0)),0)+SUMIFS(Ledger!$F:$F,Ledger!$B:$B,$D140,Ledger!$D:$D,"&lt;"&amp;$H140)-SUMIFS(Ledger!$G:$G,Ledger!$B:$B,$D140,Ledger!$D:$D,"&lt;"&amp;$H140))</f>
        <v/>
      </c>
      <c r="K140" s="13">
        <f>IF($D140="","",IFERROR(INDEX(Units_Owners!$H$5:$H$504,MATCH($D140,Units_Owners!$A$5:$A$504,0)),Setup!$B$10))</f>
        <v/>
      </c>
      <c r="L140" s="13">
        <f>IF($D140="","",Setup!$B$11)</f>
        <v/>
      </c>
      <c r="M140" s="13">
        <f>IF($D140="","",IF(AND(TODAY()&gt;=Setup!$B$9,$P140&gt;0),Setup!$B$12,0))</f>
        <v/>
      </c>
      <c r="N140" s="13">
        <f>IF($D140="","",SUM($J140:$M140))</f>
        <v/>
      </c>
      <c r="O140" s="13">
        <f>IF($A140="","",SUMIFS(Payments!$F:$F,Payments!$D:$D,$A140))</f>
        <v/>
      </c>
      <c r="P140" s="13">
        <f>IF($D140="","",MAX(0,$N140-$O140))</f>
        <v/>
      </c>
      <c r="Q140" s="2">
        <f>IF($D140="","",IF(IFERROR(INDEX(Units_Owners!$I$5:$I$504,MATCH($D140,Units_Owners!$A$5:$A$504,0)),"No")&lt;&gt;"Yes","Skip - Inactive",IF($P140=0,"Paid",IF(TODAY()&gt;$I140,"Past Due","Open"))))</f>
        <v/>
      </c>
      <c r="R140" s="14" t="n"/>
      <c r="S140" s="6" t="n"/>
    </row>
    <row r="141">
      <c r="A141" s="2">
        <f>IF($D141="","","INV-"&amp;$B141&amp;"-"&amp;$C141&amp;"-"&amp;TEXT(ROW(A137),"0000"))</f>
        <v/>
      </c>
      <c r="B141" s="2">
        <f>Setup!$B$5</f>
        <v/>
      </c>
      <c r="C141" s="2">
        <f>Setup!$B$6</f>
        <v/>
      </c>
      <c r="D141" s="2">
        <f>IFERROR(INDEX(Units_Owners!$A$5:$A$504,ROWS($A$5:A141)),"")</f>
        <v/>
      </c>
      <c r="E141" s="2">
        <f>IF($D141="","",IFERROR(INDEX(Units_Owners!$B$5:$B$504,MATCH($D141,Units_Owners!$A$5:$A$504,0)),""))</f>
        <v/>
      </c>
      <c r="F141" s="2">
        <f>IF($D141="","",IFERROR(INDEX(Units_Owners!$C$5:$C$504,MATCH($D141,Units_Owners!$A$5:$A$504,0)),""))</f>
        <v/>
      </c>
      <c r="G141" s="2">
        <f>IF($D141="","",IFERROR(INDEX(Units_Owners!$D$5:$D$504,MATCH($D141,Units_Owners!$A$5:$A$504,0)),""))</f>
        <v/>
      </c>
      <c r="H141" s="12">
        <f>Setup!$B$7</f>
        <v/>
      </c>
      <c r="I141" s="12">
        <f>Setup!$B$8</f>
        <v/>
      </c>
      <c r="J141" s="13">
        <f>IF($D141="","",IFERROR(INDEX(Units_Owners!$J$5:$J$504,MATCH($D141,Units_Owners!$A$5:$A$504,0)),0)+SUMIFS(Ledger!$F:$F,Ledger!$B:$B,$D141,Ledger!$D:$D,"&lt;"&amp;$H141)-SUMIFS(Ledger!$G:$G,Ledger!$B:$B,$D141,Ledger!$D:$D,"&lt;"&amp;$H141))</f>
        <v/>
      </c>
      <c r="K141" s="13">
        <f>IF($D141="","",IFERROR(INDEX(Units_Owners!$H$5:$H$504,MATCH($D141,Units_Owners!$A$5:$A$504,0)),Setup!$B$10))</f>
        <v/>
      </c>
      <c r="L141" s="13">
        <f>IF($D141="","",Setup!$B$11)</f>
        <v/>
      </c>
      <c r="M141" s="13">
        <f>IF($D141="","",IF(AND(TODAY()&gt;=Setup!$B$9,$P141&gt;0),Setup!$B$12,0))</f>
        <v/>
      </c>
      <c r="N141" s="13">
        <f>IF($D141="","",SUM($J141:$M141))</f>
        <v/>
      </c>
      <c r="O141" s="13">
        <f>IF($A141="","",SUMIFS(Payments!$F:$F,Payments!$D:$D,$A141))</f>
        <v/>
      </c>
      <c r="P141" s="13">
        <f>IF($D141="","",MAX(0,$N141-$O141))</f>
        <v/>
      </c>
      <c r="Q141" s="2">
        <f>IF($D141="","",IF(IFERROR(INDEX(Units_Owners!$I$5:$I$504,MATCH($D141,Units_Owners!$A$5:$A$504,0)),"No")&lt;&gt;"Yes","Skip - Inactive",IF($P141=0,"Paid",IF(TODAY()&gt;$I141,"Past Due","Open"))))</f>
        <v/>
      </c>
      <c r="R141" s="12" t="n"/>
      <c r="S141" s="2" t="n"/>
    </row>
    <row r="142">
      <c r="A142" s="2">
        <f>IF($D142="","","INV-"&amp;$B142&amp;"-"&amp;$C142&amp;"-"&amp;TEXT(ROW(A138),"0000"))</f>
        <v/>
      </c>
      <c r="B142" s="2">
        <f>Setup!$B$5</f>
        <v/>
      </c>
      <c r="C142" s="2">
        <f>Setup!$B$6</f>
        <v/>
      </c>
      <c r="D142" s="2">
        <f>IFERROR(INDEX(Units_Owners!$A$5:$A$504,ROWS($A$5:A142)),"")</f>
        <v/>
      </c>
      <c r="E142" s="2">
        <f>IF($D142="","",IFERROR(INDEX(Units_Owners!$B$5:$B$504,MATCH($D142,Units_Owners!$A$5:$A$504,0)),""))</f>
        <v/>
      </c>
      <c r="F142" s="2">
        <f>IF($D142="","",IFERROR(INDEX(Units_Owners!$C$5:$C$504,MATCH($D142,Units_Owners!$A$5:$A$504,0)),""))</f>
        <v/>
      </c>
      <c r="G142" s="2">
        <f>IF($D142="","",IFERROR(INDEX(Units_Owners!$D$5:$D$504,MATCH($D142,Units_Owners!$A$5:$A$504,0)),""))</f>
        <v/>
      </c>
      <c r="H142" s="12">
        <f>Setup!$B$7</f>
        <v/>
      </c>
      <c r="I142" s="12">
        <f>Setup!$B$8</f>
        <v/>
      </c>
      <c r="J142" s="13">
        <f>IF($D142="","",IFERROR(INDEX(Units_Owners!$J$5:$J$504,MATCH($D142,Units_Owners!$A$5:$A$504,0)),0)+SUMIFS(Ledger!$F:$F,Ledger!$B:$B,$D142,Ledger!$D:$D,"&lt;"&amp;$H142)-SUMIFS(Ledger!$G:$G,Ledger!$B:$B,$D142,Ledger!$D:$D,"&lt;"&amp;$H142))</f>
        <v/>
      </c>
      <c r="K142" s="13">
        <f>IF($D142="","",IFERROR(INDEX(Units_Owners!$H$5:$H$504,MATCH($D142,Units_Owners!$A$5:$A$504,0)),Setup!$B$10))</f>
        <v/>
      </c>
      <c r="L142" s="13">
        <f>IF($D142="","",Setup!$B$11)</f>
        <v/>
      </c>
      <c r="M142" s="13">
        <f>IF($D142="","",IF(AND(TODAY()&gt;=Setup!$B$9,$P142&gt;0),Setup!$B$12,0))</f>
        <v/>
      </c>
      <c r="N142" s="13">
        <f>IF($D142="","",SUM($J142:$M142))</f>
        <v/>
      </c>
      <c r="O142" s="13">
        <f>IF($A142="","",SUMIFS(Payments!$F:$F,Payments!$D:$D,$A142))</f>
        <v/>
      </c>
      <c r="P142" s="13">
        <f>IF($D142="","",MAX(0,$N142-$O142))</f>
        <v/>
      </c>
      <c r="Q142" s="2">
        <f>IF($D142="","",IF(IFERROR(INDEX(Units_Owners!$I$5:$I$504,MATCH($D142,Units_Owners!$A$5:$A$504,0)),"No")&lt;&gt;"Yes","Skip - Inactive",IF($P142=0,"Paid",IF(TODAY()&gt;$I142,"Past Due","Open"))))</f>
        <v/>
      </c>
      <c r="R142" s="14" t="n"/>
      <c r="S142" s="6" t="n"/>
    </row>
    <row r="143">
      <c r="A143" s="2">
        <f>IF($D143="","","INV-"&amp;$B143&amp;"-"&amp;$C143&amp;"-"&amp;TEXT(ROW(A139),"0000"))</f>
        <v/>
      </c>
      <c r="B143" s="2">
        <f>Setup!$B$5</f>
        <v/>
      </c>
      <c r="C143" s="2">
        <f>Setup!$B$6</f>
        <v/>
      </c>
      <c r="D143" s="2">
        <f>IFERROR(INDEX(Units_Owners!$A$5:$A$504,ROWS($A$5:A143)),"")</f>
        <v/>
      </c>
      <c r="E143" s="2">
        <f>IF($D143="","",IFERROR(INDEX(Units_Owners!$B$5:$B$504,MATCH($D143,Units_Owners!$A$5:$A$504,0)),""))</f>
        <v/>
      </c>
      <c r="F143" s="2">
        <f>IF($D143="","",IFERROR(INDEX(Units_Owners!$C$5:$C$504,MATCH($D143,Units_Owners!$A$5:$A$504,0)),""))</f>
        <v/>
      </c>
      <c r="G143" s="2">
        <f>IF($D143="","",IFERROR(INDEX(Units_Owners!$D$5:$D$504,MATCH($D143,Units_Owners!$A$5:$A$504,0)),""))</f>
        <v/>
      </c>
      <c r="H143" s="12">
        <f>Setup!$B$7</f>
        <v/>
      </c>
      <c r="I143" s="12">
        <f>Setup!$B$8</f>
        <v/>
      </c>
      <c r="J143" s="13">
        <f>IF($D143="","",IFERROR(INDEX(Units_Owners!$J$5:$J$504,MATCH($D143,Units_Owners!$A$5:$A$504,0)),0)+SUMIFS(Ledger!$F:$F,Ledger!$B:$B,$D143,Ledger!$D:$D,"&lt;"&amp;$H143)-SUMIFS(Ledger!$G:$G,Ledger!$B:$B,$D143,Ledger!$D:$D,"&lt;"&amp;$H143))</f>
        <v/>
      </c>
      <c r="K143" s="13">
        <f>IF($D143="","",IFERROR(INDEX(Units_Owners!$H$5:$H$504,MATCH($D143,Units_Owners!$A$5:$A$504,0)),Setup!$B$10))</f>
        <v/>
      </c>
      <c r="L143" s="13">
        <f>IF($D143="","",Setup!$B$11)</f>
        <v/>
      </c>
      <c r="M143" s="13">
        <f>IF($D143="","",IF(AND(TODAY()&gt;=Setup!$B$9,$P143&gt;0),Setup!$B$12,0))</f>
        <v/>
      </c>
      <c r="N143" s="13">
        <f>IF($D143="","",SUM($J143:$M143))</f>
        <v/>
      </c>
      <c r="O143" s="13">
        <f>IF($A143="","",SUMIFS(Payments!$F:$F,Payments!$D:$D,$A143))</f>
        <v/>
      </c>
      <c r="P143" s="13">
        <f>IF($D143="","",MAX(0,$N143-$O143))</f>
        <v/>
      </c>
      <c r="Q143" s="2">
        <f>IF($D143="","",IF(IFERROR(INDEX(Units_Owners!$I$5:$I$504,MATCH($D143,Units_Owners!$A$5:$A$504,0)),"No")&lt;&gt;"Yes","Skip - Inactive",IF($P143=0,"Paid",IF(TODAY()&gt;$I143,"Past Due","Open"))))</f>
        <v/>
      </c>
      <c r="R143" s="12" t="n"/>
      <c r="S143" s="2" t="n"/>
    </row>
    <row r="144">
      <c r="A144" s="2">
        <f>IF($D144="","","INV-"&amp;$B144&amp;"-"&amp;$C144&amp;"-"&amp;TEXT(ROW(A140),"0000"))</f>
        <v/>
      </c>
      <c r="B144" s="2">
        <f>Setup!$B$5</f>
        <v/>
      </c>
      <c r="C144" s="2">
        <f>Setup!$B$6</f>
        <v/>
      </c>
      <c r="D144" s="2">
        <f>IFERROR(INDEX(Units_Owners!$A$5:$A$504,ROWS($A$5:A144)),"")</f>
        <v/>
      </c>
      <c r="E144" s="2">
        <f>IF($D144="","",IFERROR(INDEX(Units_Owners!$B$5:$B$504,MATCH($D144,Units_Owners!$A$5:$A$504,0)),""))</f>
        <v/>
      </c>
      <c r="F144" s="2">
        <f>IF($D144="","",IFERROR(INDEX(Units_Owners!$C$5:$C$504,MATCH($D144,Units_Owners!$A$5:$A$504,0)),""))</f>
        <v/>
      </c>
      <c r="G144" s="2">
        <f>IF($D144="","",IFERROR(INDEX(Units_Owners!$D$5:$D$504,MATCH($D144,Units_Owners!$A$5:$A$504,0)),""))</f>
        <v/>
      </c>
      <c r="H144" s="12">
        <f>Setup!$B$7</f>
        <v/>
      </c>
      <c r="I144" s="12">
        <f>Setup!$B$8</f>
        <v/>
      </c>
      <c r="J144" s="13">
        <f>IF($D144="","",IFERROR(INDEX(Units_Owners!$J$5:$J$504,MATCH($D144,Units_Owners!$A$5:$A$504,0)),0)+SUMIFS(Ledger!$F:$F,Ledger!$B:$B,$D144,Ledger!$D:$D,"&lt;"&amp;$H144)-SUMIFS(Ledger!$G:$G,Ledger!$B:$B,$D144,Ledger!$D:$D,"&lt;"&amp;$H144))</f>
        <v/>
      </c>
      <c r="K144" s="13">
        <f>IF($D144="","",IFERROR(INDEX(Units_Owners!$H$5:$H$504,MATCH($D144,Units_Owners!$A$5:$A$504,0)),Setup!$B$10))</f>
        <v/>
      </c>
      <c r="L144" s="13">
        <f>IF($D144="","",Setup!$B$11)</f>
        <v/>
      </c>
      <c r="M144" s="13">
        <f>IF($D144="","",IF(AND(TODAY()&gt;=Setup!$B$9,$P144&gt;0),Setup!$B$12,0))</f>
        <v/>
      </c>
      <c r="N144" s="13">
        <f>IF($D144="","",SUM($J144:$M144))</f>
        <v/>
      </c>
      <c r="O144" s="13">
        <f>IF($A144="","",SUMIFS(Payments!$F:$F,Payments!$D:$D,$A144))</f>
        <v/>
      </c>
      <c r="P144" s="13">
        <f>IF($D144="","",MAX(0,$N144-$O144))</f>
        <v/>
      </c>
      <c r="Q144" s="2">
        <f>IF($D144="","",IF(IFERROR(INDEX(Units_Owners!$I$5:$I$504,MATCH($D144,Units_Owners!$A$5:$A$504,0)),"No")&lt;&gt;"Yes","Skip - Inactive",IF($P144=0,"Paid",IF(TODAY()&gt;$I144,"Past Due","Open"))))</f>
        <v/>
      </c>
      <c r="R144" s="14" t="n"/>
      <c r="S144" s="6" t="n"/>
    </row>
    <row r="145">
      <c r="A145" s="2">
        <f>IF($D145="","","INV-"&amp;$B145&amp;"-"&amp;$C145&amp;"-"&amp;TEXT(ROW(A141),"0000"))</f>
        <v/>
      </c>
      <c r="B145" s="2">
        <f>Setup!$B$5</f>
        <v/>
      </c>
      <c r="C145" s="2">
        <f>Setup!$B$6</f>
        <v/>
      </c>
      <c r="D145" s="2">
        <f>IFERROR(INDEX(Units_Owners!$A$5:$A$504,ROWS($A$5:A145)),"")</f>
        <v/>
      </c>
      <c r="E145" s="2">
        <f>IF($D145="","",IFERROR(INDEX(Units_Owners!$B$5:$B$504,MATCH($D145,Units_Owners!$A$5:$A$504,0)),""))</f>
        <v/>
      </c>
      <c r="F145" s="2">
        <f>IF($D145="","",IFERROR(INDEX(Units_Owners!$C$5:$C$504,MATCH($D145,Units_Owners!$A$5:$A$504,0)),""))</f>
        <v/>
      </c>
      <c r="G145" s="2">
        <f>IF($D145="","",IFERROR(INDEX(Units_Owners!$D$5:$D$504,MATCH($D145,Units_Owners!$A$5:$A$504,0)),""))</f>
        <v/>
      </c>
      <c r="H145" s="12">
        <f>Setup!$B$7</f>
        <v/>
      </c>
      <c r="I145" s="12">
        <f>Setup!$B$8</f>
        <v/>
      </c>
      <c r="J145" s="13">
        <f>IF($D145="","",IFERROR(INDEX(Units_Owners!$J$5:$J$504,MATCH($D145,Units_Owners!$A$5:$A$504,0)),0)+SUMIFS(Ledger!$F:$F,Ledger!$B:$B,$D145,Ledger!$D:$D,"&lt;"&amp;$H145)-SUMIFS(Ledger!$G:$G,Ledger!$B:$B,$D145,Ledger!$D:$D,"&lt;"&amp;$H145))</f>
        <v/>
      </c>
      <c r="K145" s="13">
        <f>IF($D145="","",IFERROR(INDEX(Units_Owners!$H$5:$H$504,MATCH($D145,Units_Owners!$A$5:$A$504,0)),Setup!$B$10))</f>
        <v/>
      </c>
      <c r="L145" s="13">
        <f>IF($D145="","",Setup!$B$11)</f>
        <v/>
      </c>
      <c r="M145" s="13">
        <f>IF($D145="","",IF(AND(TODAY()&gt;=Setup!$B$9,$P145&gt;0),Setup!$B$12,0))</f>
        <v/>
      </c>
      <c r="N145" s="13">
        <f>IF($D145="","",SUM($J145:$M145))</f>
        <v/>
      </c>
      <c r="O145" s="13">
        <f>IF($A145="","",SUMIFS(Payments!$F:$F,Payments!$D:$D,$A145))</f>
        <v/>
      </c>
      <c r="P145" s="13">
        <f>IF($D145="","",MAX(0,$N145-$O145))</f>
        <v/>
      </c>
      <c r="Q145" s="2">
        <f>IF($D145="","",IF(IFERROR(INDEX(Units_Owners!$I$5:$I$504,MATCH($D145,Units_Owners!$A$5:$A$504,0)),"No")&lt;&gt;"Yes","Skip - Inactive",IF($P145=0,"Paid",IF(TODAY()&gt;$I145,"Past Due","Open"))))</f>
        <v/>
      </c>
      <c r="R145" s="12" t="n"/>
      <c r="S145" s="2" t="n"/>
    </row>
    <row r="146">
      <c r="A146" s="2">
        <f>IF($D146="","","INV-"&amp;$B146&amp;"-"&amp;$C146&amp;"-"&amp;TEXT(ROW(A142),"0000"))</f>
        <v/>
      </c>
      <c r="B146" s="2">
        <f>Setup!$B$5</f>
        <v/>
      </c>
      <c r="C146" s="2">
        <f>Setup!$B$6</f>
        <v/>
      </c>
      <c r="D146" s="2">
        <f>IFERROR(INDEX(Units_Owners!$A$5:$A$504,ROWS($A$5:A146)),"")</f>
        <v/>
      </c>
      <c r="E146" s="2">
        <f>IF($D146="","",IFERROR(INDEX(Units_Owners!$B$5:$B$504,MATCH($D146,Units_Owners!$A$5:$A$504,0)),""))</f>
        <v/>
      </c>
      <c r="F146" s="2">
        <f>IF($D146="","",IFERROR(INDEX(Units_Owners!$C$5:$C$504,MATCH($D146,Units_Owners!$A$5:$A$504,0)),""))</f>
        <v/>
      </c>
      <c r="G146" s="2">
        <f>IF($D146="","",IFERROR(INDEX(Units_Owners!$D$5:$D$504,MATCH($D146,Units_Owners!$A$5:$A$504,0)),""))</f>
        <v/>
      </c>
      <c r="H146" s="12">
        <f>Setup!$B$7</f>
        <v/>
      </c>
      <c r="I146" s="12">
        <f>Setup!$B$8</f>
        <v/>
      </c>
      <c r="J146" s="13">
        <f>IF($D146="","",IFERROR(INDEX(Units_Owners!$J$5:$J$504,MATCH($D146,Units_Owners!$A$5:$A$504,0)),0)+SUMIFS(Ledger!$F:$F,Ledger!$B:$B,$D146,Ledger!$D:$D,"&lt;"&amp;$H146)-SUMIFS(Ledger!$G:$G,Ledger!$B:$B,$D146,Ledger!$D:$D,"&lt;"&amp;$H146))</f>
        <v/>
      </c>
      <c r="K146" s="13">
        <f>IF($D146="","",IFERROR(INDEX(Units_Owners!$H$5:$H$504,MATCH($D146,Units_Owners!$A$5:$A$504,0)),Setup!$B$10))</f>
        <v/>
      </c>
      <c r="L146" s="13">
        <f>IF($D146="","",Setup!$B$11)</f>
        <v/>
      </c>
      <c r="M146" s="13">
        <f>IF($D146="","",IF(AND(TODAY()&gt;=Setup!$B$9,$P146&gt;0),Setup!$B$12,0))</f>
        <v/>
      </c>
      <c r="N146" s="13">
        <f>IF($D146="","",SUM($J146:$M146))</f>
        <v/>
      </c>
      <c r="O146" s="13">
        <f>IF($A146="","",SUMIFS(Payments!$F:$F,Payments!$D:$D,$A146))</f>
        <v/>
      </c>
      <c r="P146" s="13">
        <f>IF($D146="","",MAX(0,$N146-$O146))</f>
        <v/>
      </c>
      <c r="Q146" s="2">
        <f>IF($D146="","",IF(IFERROR(INDEX(Units_Owners!$I$5:$I$504,MATCH($D146,Units_Owners!$A$5:$A$504,0)),"No")&lt;&gt;"Yes","Skip - Inactive",IF($P146=0,"Paid",IF(TODAY()&gt;$I146,"Past Due","Open"))))</f>
        <v/>
      </c>
      <c r="R146" s="14" t="n"/>
      <c r="S146" s="6" t="n"/>
    </row>
    <row r="147">
      <c r="A147" s="2">
        <f>IF($D147="","","INV-"&amp;$B147&amp;"-"&amp;$C147&amp;"-"&amp;TEXT(ROW(A143),"0000"))</f>
        <v/>
      </c>
      <c r="B147" s="2">
        <f>Setup!$B$5</f>
        <v/>
      </c>
      <c r="C147" s="2">
        <f>Setup!$B$6</f>
        <v/>
      </c>
      <c r="D147" s="2">
        <f>IFERROR(INDEX(Units_Owners!$A$5:$A$504,ROWS($A$5:A147)),"")</f>
        <v/>
      </c>
      <c r="E147" s="2">
        <f>IF($D147="","",IFERROR(INDEX(Units_Owners!$B$5:$B$504,MATCH($D147,Units_Owners!$A$5:$A$504,0)),""))</f>
        <v/>
      </c>
      <c r="F147" s="2">
        <f>IF($D147="","",IFERROR(INDEX(Units_Owners!$C$5:$C$504,MATCH($D147,Units_Owners!$A$5:$A$504,0)),""))</f>
        <v/>
      </c>
      <c r="G147" s="2">
        <f>IF($D147="","",IFERROR(INDEX(Units_Owners!$D$5:$D$504,MATCH($D147,Units_Owners!$A$5:$A$504,0)),""))</f>
        <v/>
      </c>
      <c r="H147" s="12">
        <f>Setup!$B$7</f>
        <v/>
      </c>
      <c r="I147" s="12">
        <f>Setup!$B$8</f>
        <v/>
      </c>
      <c r="J147" s="13">
        <f>IF($D147="","",IFERROR(INDEX(Units_Owners!$J$5:$J$504,MATCH($D147,Units_Owners!$A$5:$A$504,0)),0)+SUMIFS(Ledger!$F:$F,Ledger!$B:$B,$D147,Ledger!$D:$D,"&lt;"&amp;$H147)-SUMIFS(Ledger!$G:$G,Ledger!$B:$B,$D147,Ledger!$D:$D,"&lt;"&amp;$H147))</f>
        <v/>
      </c>
      <c r="K147" s="13">
        <f>IF($D147="","",IFERROR(INDEX(Units_Owners!$H$5:$H$504,MATCH($D147,Units_Owners!$A$5:$A$504,0)),Setup!$B$10))</f>
        <v/>
      </c>
      <c r="L147" s="13">
        <f>IF($D147="","",Setup!$B$11)</f>
        <v/>
      </c>
      <c r="M147" s="13">
        <f>IF($D147="","",IF(AND(TODAY()&gt;=Setup!$B$9,$P147&gt;0),Setup!$B$12,0))</f>
        <v/>
      </c>
      <c r="N147" s="13">
        <f>IF($D147="","",SUM($J147:$M147))</f>
        <v/>
      </c>
      <c r="O147" s="13">
        <f>IF($A147="","",SUMIFS(Payments!$F:$F,Payments!$D:$D,$A147))</f>
        <v/>
      </c>
      <c r="P147" s="13">
        <f>IF($D147="","",MAX(0,$N147-$O147))</f>
        <v/>
      </c>
      <c r="Q147" s="2">
        <f>IF($D147="","",IF(IFERROR(INDEX(Units_Owners!$I$5:$I$504,MATCH($D147,Units_Owners!$A$5:$A$504,0)),"No")&lt;&gt;"Yes","Skip - Inactive",IF($P147=0,"Paid",IF(TODAY()&gt;$I147,"Past Due","Open"))))</f>
        <v/>
      </c>
      <c r="R147" s="12" t="n"/>
      <c r="S147" s="2" t="n"/>
    </row>
    <row r="148">
      <c r="A148" s="2">
        <f>IF($D148="","","INV-"&amp;$B148&amp;"-"&amp;$C148&amp;"-"&amp;TEXT(ROW(A144),"0000"))</f>
        <v/>
      </c>
      <c r="B148" s="2">
        <f>Setup!$B$5</f>
        <v/>
      </c>
      <c r="C148" s="2">
        <f>Setup!$B$6</f>
        <v/>
      </c>
      <c r="D148" s="2">
        <f>IFERROR(INDEX(Units_Owners!$A$5:$A$504,ROWS($A$5:A148)),"")</f>
        <v/>
      </c>
      <c r="E148" s="2">
        <f>IF($D148="","",IFERROR(INDEX(Units_Owners!$B$5:$B$504,MATCH($D148,Units_Owners!$A$5:$A$504,0)),""))</f>
        <v/>
      </c>
      <c r="F148" s="2">
        <f>IF($D148="","",IFERROR(INDEX(Units_Owners!$C$5:$C$504,MATCH($D148,Units_Owners!$A$5:$A$504,0)),""))</f>
        <v/>
      </c>
      <c r="G148" s="2">
        <f>IF($D148="","",IFERROR(INDEX(Units_Owners!$D$5:$D$504,MATCH($D148,Units_Owners!$A$5:$A$504,0)),""))</f>
        <v/>
      </c>
      <c r="H148" s="12">
        <f>Setup!$B$7</f>
        <v/>
      </c>
      <c r="I148" s="12">
        <f>Setup!$B$8</f>
        <v/>
      </c>
      <c r="J148" s="13">
        <f>IF($D148="","",IFERROR(INDEX(Units_Owners!$J$5:$J$504,MATCH($D148,Units_Owners!$A$5:$A$504,0)),0)+SUMIFS(Ledger!$F:$F,Ledger!$B:$B,$D148,Ledger!$D:$D,"&lt;"&amp;$H148)-SUMIFS(Ledger!$G:$G,Ledger!$B:$B,$D148,Ledger!$D:$D,"&lt;"&amp;$H148))</f>
        <v/>
      </c>
      <c r="K148" s="13">
        <f>IF($D148="","",IFERROR(INDEX(Units_Owners!$H$5:$H$504,MATCH($D148,Units_Owners!$A$5:$A$504,0)),Setup!$B$10))</f>
        <v/>
      </c>
      <c r="L148" s="13">
        <f>IF($D148="","",Setup!$B$11)</f>
        <v/>
      </c>
      <c r="M148" s="13">
        <f>IF($D148="","",IF(AND(TODAY()&gt;=Setup!$B$9,$P148&gt;0),Setup!$B$12,0))</f>
        <v/>
      </c>
      <c r="N148" s="13">
        <f>IF($D148="","",SUM($J148:$M148))</f>
        <v/>
      </c>
      <c r="O148" s="13">
        <f>IF($A148="","",SUMIFS(Payments!$F:$F,Payments!$D:$D,$A148))</f>
        <v/>
      </c>
      <c r="P148" s="13">
        <f>IF($D148="","",MAX(0,$N148-$O148))</f>
        <v/>
      </c>
      <c r="Q148" s="2">
        <f>IF($D148="","",IF(IFERROR(INDEX(Units_Owners!$I$5:$I$504,MATCH($D148,Units_Owners!$A$5:$A$504,0)),"No")&lt;&gt;"Yes","Skip - Inactive",IF($P148=0,"Paid",IF(TODAY()&gt;$I148,"Past Due","Open"))))</f>
        <v/>
      </c>
      <c r="R148" s="14" t="n"/>
      <c r="S148" s="6" t="n"/>
    </row>
    <row r="149">
      <c r="A149" s="2">
        <f>IF($D149="","","INV-"&amp;$B149&amp;"-"&amp;$C149&amp;"-"&amp;TEXT(ROW(A145),"0000"))</f>
        <v/>
      </c>
      <c r="B149" s="2">
        <f>Setup!$B$5</f>
        <v/>
      </c>
      <c r="C149" s="2">
        <f>Setup!$B$6</f>
        <v/>
      </c>
      <c r="D149" s="2">
        <f>IFERROR(INDEX(Units_Owners!$A$5:$A$504,ROWS($A$5:A149)),"")</f>
        <v/>
      </c>
      <c r="E149" s="2">
        <f>IF($D149="","",IFERROR(INDEX(Units_Owners!$B$5:$B$504,MATCH($D149,Units_Owners!$A$5:$A$504,0)),""))</f>
        <v/>
      </c>
      <c r="F149" s="2">
        <f>IF($D149="","",IFERROR(INDEX(Units_Owners!$C$5:$C$504,MATCH($D149,Units_Owners!$A$5:$A$504,0)),""))</f>
        <v/>
      </c>
      <c r="G149" s="2">
        <f>IF($D149="","",IFERROR(INDEX(Units_Owners!$D$5:$D$504,MATCH($D149,Units_Owners!$A$5:$A$504,0)),""))</f>
        <v/>
      </c>
      <c r="H149" s="12">
        <f>Setup!$B$7</f>
        <v/>
      </c>
      <c r="I149" s="12">
        <f>Setup!$B$8</f>
        <v/>
      </c>
      <c r="J149" s="13">
        <f>IF($D149="","",IFERROR(INDEX(Units_Owners!$J$5:$J$504,MATCH($D149,Units_Owners!$A$5:$A$504,0)),0)+SUMIFS(Ledger!$F:$F,Ledger!$B:$B,$D149,Ledger!$D:$D,"&lt;"&amp;$H149)-SUMIFS(Ledger!$G:$G,Ledger!$B:$B,$D149,Ledger!$D:$D,"&lt;"&amp;$H149))</f>
        <v/>
      </c>
      <c r="K149" s="13">
        <f>IF($D149="","",IFERROR(INDEX(Units_Owners!$H$5:$H$504,MATCH($D149,Units_Owners!$A$5:$A$504,0)),Setup!$B$10))</f>
        <v/>
      </c>
      <c r="L149" s="13">
        <f>IF($D149="","",Setup!$B$11)</f>
        <v/>
      </c>
      <c r="M149" s="13">
        <f>IF($D149="","",IF(AND(TODAY()&gt;=Setup!$B$9,$P149&gt;0),Setup!$B$12,0))</f>
        <v/>
      </c>
      <c r="N149" s="13">
        <f>IF($D149="","",SUM($J149:$M149))</f>
        <v/>
      </c>
      <c r="O149" s="13">
        <f>IF($A149="","",SUMIFS(Payments!$F:$F,Payments!$D:$D,$A149))</f>
        <v/>
      </c>
      <c r="P149" s="13">
        <f>IF($D149="","",MAX(0,$N149-$O149))</f>
        <v/>
      </c>
      <c r="Q149" s="2">
        <f>IF($D149="","",IF(IFERROR(INDEX(Units_Owners!$I$5:$I$504,MATCH($D149,Units_Owners!$A$5:$A$504,0)),"No")&lt;&gt;"Yes","Skip - Inactive",IF($P149=0,"Paid",IF(TODAY()&gt;$I149,"Past Due","Open"))))</f>
        <v/>
      </c>
      <c r="R149" s="12" t="n"/>
      <c r="S149" s="2" t="n"/>
    </row>
    <row r="150">
      <c r="A150" s="2">
        <f>IF($D150="","","INV-"&amp;$B150&amp;"-"&amp;$C150&amp;"-"&amp;TEXT(ROW(A146),"0000"))</f>
        <v/>
      </c>
      <c r="B150" s="2">
        <f>Setup!$B$5</f>
        <v/>
      </c>
      <c r="C150" s="2">
        <f>Setup!$B$6</f>
        <v/>
      </c>
      <c r="D150" s="2">
        <f>IFERROR(INDEX(Units_Owners!$A$5:$A$504,ROWS($A$5:A150)),"")</f>
        <v/>
      </c>
      <c r="E150" s="2">
        <f>IF($D150="","",IFERROR(INDEX(Units_Owners!$B$5:$B$504,MATCH($D150,Units_Owners!$A$5:$A$504,0)),""))</f>
        <v/>
      </c>
      <c r="F150" s="2">
        <f>IF($D150="","",IFERROR(INDEX(Units_Owners!$C$5:$C$504,MATCH($D150,Units_Owners!$A$5:$A$504,0)),""))</f>
        <v/>
      </c>
      <c r="G150" s="2">
        <f>IF($D150="","",IFERROR(INDEX(Units_Owners!$D$5:$D$504,MATCH($D150,Units_Owners!$A$5:$A$504,0)),""))</f>
        <v/>
      </c>
      <c r="H150" s="12">
        <f>Setup!$B$7</f>
        <v/>
      </c>
      <c r="I150" s="12">
        <f>Setup!$B$8</f>
        <v/>
      </c>
      <c r="J150" s="13">
        <f>IF($D150="","",IFERROR(INDEX(Units_Owners!$J$5:$J$504,MATCH($D150,Units_Owners!$A$5:$A$504,0)),0)+SUMIFS(Ledger!$F:$F,Ledger!$B:$B,$D150,Ledger!$D:$D,"&lt;"&amp;$H150)-SUMIFS(Ledger!$G:$G,Ledger!$B:$B,$D150,Ledger!$D:$D,"&lt;"&amp;$H150))</f>
        <v/>
      </c>
      <c r="K150" s="13">
        <f>IF($D150="","",IFERROR(INDEX(Units_Owners!$H$5:$H$504,MATCH($D150,Units_Owners!$A$5:$A$504,0)),Setup!$B$10))</f>
        <v/>
      </c>
      <c r="L150" s="13">
        <f>IF($D150="","",Setup!$B$11)</f>
        <v/>
      </c>
      <c r="M150" s="13">
        <f>IF($D150="","",IF(AND(TODAY()&gt;=Setup!$B$9,$P150&gt;0),Setup!$B$12,0))</f>
        <v/>
      </c>
      <c r="N150" s="13">
        <f>IF($D150="","",SUM($J150:$M150))</f>
        <v/>
      </c>
      <c r="O150" s="13">
        <f>IF($A150="","",SUMIFS(Payments!$F:$F,Payments!$D:$D,$A150))</f>
        <v/>
      </c>
      <c r="P150" s="13">
        <f>IF($D150="","",MAX(0,$N150-$O150))</f>
        <v/>
      </c>
      <c r="Q150" s="2">
        <f>IF($D150="","",IF(IFERROR(INDEX(Units_Owners!$I$5:$I$504,MATCH($D150,Units_Owners!$A$5:$A$504,0)),"No")&lt;&gt;"Yes","Skip - Inactive",IF($P150=0,"Paid",IF(TODAY()&gt;$I150,"Past Due","Open"))))</f>
        <v/>
      </c>
      <c r="R150" s="14" t="n"/>
      <c r="S150" s="6" t="n"/>
    </row>
    <row r="151">
      <c r="A151" s="2">
        <f>IF($D151="","","INV-"&amp;$B151&amp;"-"&amp;$C151&amp;"-"&amp;TEXT(ROW(A147),"0000"))</f>
        <v/>
      </c>
      <c r="B151" s="2">
        <f>Setup!$B$5</f>
        <v/>
      </c>
      <c r="C151" s="2">
        <f>Setup!$B$6</f>
        <v/>
      </c>
      <c r="D151" s="2">
        <f>IFERROR(INDEX(Units_Owners!$A$5:$A$504,ROWS($A$5:A151)),"")</f>
        <v/>
      </c>
      <c r="E151" s="2">
        <f>IF($D151="","",IFERROR(INDEX(Units_Owners!$B$5:$B$504,MATCH($D151,Units_Owners!$A$5:$A$504,0)),""))</f>
        <v/>
      </c>
      <c r="F151" s="2">
        <f>IF($D151="","",IFERROR(INDEX(Units_Owners!$C$5:$C$504,MATCH($D151,Units_Owners!$A$5:$A$504,0)),""))</f>
        <v/>
      </c>
      <c r="G151" s="2">
        <f>IF($D151="","",IFERROR(INDEX(Units_Owners!$D$5:$D$504,MATCH($D151,Units_Owners!$A$5:$A$504,0)),""))</f>
        <v/>
      </c>
      <c r="H151" s="12">
        <f>Setup!$B$7</f>
        <v/>
      </c>
      <c r="I151" s="12">
        <f>Setup!$B$8</f>
        <v/>
      </c>
      <c r="J151" s="13">
        <f>IF($D151="","",IFERROR(INDEX(Units_Owners!$J$5:$J$504,MATCH($D151,Units_Owners!$A$5:$A$504,0)),0)+SUMIFS(Ledger!$F:$F,Ledger!$B:$B,$D151,Ledger!$D:$D,"&lt;"&amp;$H151)-SUMIFS(Ledger!$G:$G,Ledger!$B:$B,$D151,Ledger!$D:$D,"&lt;"&amp;$H151))</f>
        <v/>
      </c>
      <c r="K151" s="13">
        <f>IF($D151="","",IFERROR(INDEX(Units_Owners!$H$5:$H$504,MATCH($D151,Units_Owners!$A$5:$A$504,0)),Setup!$B$10))</f>
        <v/>
      </c>
      <c r="L151" s="13">
        <f>IF($D151="","",Setup!$B$11)</f>
        <v/>
      </c>
      <c r="M151" s="13">
        <f>IF($D151="","",IF(AND(TODAY()&gt;=Setup!$B$9,$P151&gt;0),Setup!$B$12,0))</f>
        <v/>
      </c>
      <c r="N151" s="13">
        <f>IF($D151="","",SUM($J151:$M151))</f>
        <v/>
      </c>
      <c r="O151" s="13">
        <f>IF($A151="","",SUMIFS(Payments!$F:$F,Payments!$D:$D,$A151))</f>
        <v/>
      </c>
      <c r="P151" s="13">
        <f>IF($D151="","",MAX(0,$N151-$O151))</f>
        <v/>
      </c>
      <c r="Q151" s="2">
        <f>IF($D151="","",IF(IFERROR(INDEX(Units_Owners!$I$5:$I$504,MATCH($D151,Units_Owners!$A$5:$A$504,0)),"No")&lt;&gt;"Yes","Skip - Inactive",IF($P151=0,"Paid",IF(TODAY()&gt;$I151,"Past Due","Open"))))</f>
        <v/>
      </c>
      <c r="R151" s="12" t="n"/>
      <c r="S151" s="2" t="n"/>
    </row>
    <row r="152">
      <c r="A152" s="2">
        <f>IF($D152="","","INV-"&amp;$B152&amp;"-"&amp;$C152&amp;"-"&amp;TEXT(ROW(A148),"0000"))</f>
        <v/>
      </c>
      <c r="B152" s="2">
        <f>Setup!$B$5</f>
        <v/>
      </c>
      <c r="C152" s="2">
        <f>Setup!$B$6</f>
        <v/>
      </c>
      <c r="D152" s="2">
        <f>IFERROR(INDEX(Units_Owners!$A$5:$A$504,ROWS($A$5:A152)),"")</f>
        <v/>
      </c>
      <c r="E152" s="2">
        <f>IF($D152="","",IFERROR(INDEX(Units_Owners!$B$5:$B$504,MATCH($D152,Units_Owners!$A$5:$A$504,0)),""))</f>
        <v/>
      </c>
      <c r="F152" s="2">
        <f>IF($D152="","",IFERROR(INDEX(Units_Owners!$C$5:$C$504,MATCH($D152,Units_Owners!$A$5:$A$504,0)),""))</f>
        <v/>
      </c>
      <c r="G152" s="2">
        <f>IF($D152="","",IFERROR(INDEX(Units_Owners!$D$5:$D$504,MATCH($D152,Units_Owners!$A$5:$A$504,0)),""))</f>
        <v/>
      </c>
      <c r="H152" s="12">
        <f>Setup!$B$7</f>
        <v/>
      </c>
      <c r="I152" s="12">
        <f>Setup!$B$8</f>
        <v/>
      </c>
      <c r="J152" s="13">
        <f>IF($D152="","",IFERROR(INDEX(Units_Owners!$J$5:$J$504,MATCH($D152,Units_Owners!$A$5:$A$504,0)),0)+SUMIFS(Ledger!$F:$F,Ledger!$B:$B,$D152,Ledger!$D:$D,"&lt;"&amp;$H152)-SUMIFS(Ledger!$G:$G,Ledger!$B:$B,$D152,Ledger!$D:$D,"&lt;"&amp;$H152))</f>
        <v/>
      </c>
      <c r="K152" s="13">
        <f>IF($D152="","",IFERROR(INDEX(Units_Owners!$H$5:$H$504,MATCH($D152,Units_Owners!$A$5:$A$504,0)),Setup!$B$10))</f>
        <v/>
      </c>
      <c r="L152" s="13">
        <f>IF($D152="","",Setup!$B$11)</f>
        <v/>
      </c>
      <c r="M152" s="13">
        <f>IF($D152="","",IF(AND(TODAY()&gt;=Setup!$B$9,$P152&gt;0),Setup!$B$12,0))</f>
        <v/>
      </c>
      <c r="N152" s="13">
        <f>IF($D152="","",SUM($J152:$M152))</f>
        <v/>
      </c>
      <c r="O152" s="13">
        <f>IF($A152="","",SUMIFS(Payments!$F:$F,Payments!$D:$D,$A152))</f>
        <v/>
      </c>
      <c r="P152" s="13">
        <f>IF($D152="","",MAX(0,$N152-$O152))</f>
        <v/>
      </c>
      <c r="Q152" s="2">
        <f>IF($D152="","",IF(IFERROR(INDEX(Units_Owners!$I$5:$I$504,MATCH($D152,Units_Owners!$A$5:$A$504,0)),"No")&lt;&gt;"Yes","Skip - Inactive",IF($P152=0,"Paid",IF(TODAY()&gt;$I152,"Past Due","Open"))))</f>
        <v/>
      </c>
      <c r="R152" s="14" t="n"/>
      <c r="S152" s="6" t="n"/>
    </row>
    <row r="153">
      <c r="A153" s="2">
        <f>IF($D153="","","INV-"&amp;$B153&amp;"-"&amp;$C153&amp;"-"&amp;TEXT(ROW(A149),"0000"))</f>
        <v/>
      </c>
      <c r="B153" s="2">
        <f>Setup!$B$5</f>
        <v/>
      </c>
      <c r="C153" s="2">
        <f>Setup!$B$6</f>
        <v/>
      </c>
      <c r="D153" s="2">
        <f>IFERROR(INDEX(Units_Owners!$A$5:$A$504,ROWS($A$5:A153)),"")</f>
        <v/>
      </c>
      <c r="E153" s="2">
        <f>IF($D153="","",IFERROR(INDEX(Units_Owners!$B$5:$B$504,MATCH($D153,Units_Owners!$A$5:$A$504,0)),""))</f>
        <v/>
      </c>
      <c r="F153" s="2">
        <f>IF($D153="","",IFERROR(INDEX(Units_Owners!$C$5:$C$504,MATCH($D153,Units_Owners!$A$5:$A$504,0)),""))</f>
        <v/>
      </c>
      <c r="G153" s="2">
        <f>IF($D153="","",IFERROR(INDEX(Units_Owners!$D$5:$D$504,MATCH($D153,Units_Owners!$A$5:$A$504,0)),""))</f>
        <v/>
      </c>
      <c r="H153" s="12">
        <f>Setup!$B$7</f>
        <v/>
      </c>
      <c r="I153" s="12">
        <f>Setup!$B$8</f>
        <v/>
      </c>
      <c r="J153" s="13">
        <f>IF($D153="","",IFERROR(INDEX(Units_Owners!$J$5:$J$504,MATCH($D153,Units_Owners!$A$5:$A$504,0)),0)+SUMIFS(Ledger!$F:$F,Ledger!$B:$B,$D153,Ledger!$D:$D,"&lt;"&amp;$H153)-SUMIFS(Ledger!$G:$G,Ledger!$B:$B,$D153,Ledger!$D:$D,"&lt;"&amp;$H153))</f>
        <v/>
      </c>
      <c r="K153" s="13">
        <f>IF($D153="","",IFERROR(INDEX(Units_Owners!$H$5:$H$504,MATCH($D153,Units_Owners!$A$5:$A$504,0)),Setup!$B$10))</f>
        <v/>
      </c>
      <c r="L153" s="13">
        <f>IF($D153="","",Setup!$B$11)</f>
        <v/>
      </c>
      <c r="M153" s="13">
        <f>IF($D153="","",IF(AND(TODAY()&gt;=Setup!$B$9,$P153&gt;0),Setup!$B$12,0))</f>
        <v/>
      </c>
      <c r="N153" s="13">
        <f>IF($D153="","",SUM($J153:$M153))</f>
        <v/>
      </c>
      <c r="O153" s="13">
        <f>IF($A153="","",SUMIFS(Payments!$F:$F,Payments!$D:$D,$A153))</f>
        <v/>
      </c>
      <c r="P153" s="13">
        <f>IF($D153="","",MAX(0,$N153-$O153))</f>
        <v/>
      </c>
      <c r="Q153" s="2">
        <f>IF($D153="","",IF(IFERROR(INDEX(Units_Owners!$I$5:$I$504,MATCH($D153,Units_Owners!$A$5:$A$504,0)),"No")&lt;&gt;"Yes","Skip - Inactive",IF($P153=0,"Paid",IF(TODAY()&gt;$I153,"Past Due","Open"))))</f>
        <v/>
      </c>
      <c r="R153" s="12" t="n"/>
      <c r="S153" s="2" t="n"/>
    </row>
    <row r="154">
      <c r="A154" s="2">
        <f>IF($D154="","","INV-"&amp;$B154&amp;"-"&amp;$C154&amp;"-"&amp;TEXT(ROW(A150),"0000"))</f>
        <v/>
      </c>
      <c r="B154" s="2">
        <f>Setup!$B$5</f>
        <v/>
      </c>
      <c r="C154" s="2">
        <f>Setup!$B$6</f>
        <v/>
      </c>
      <c r="D154" s="2">
        <f>IFERROR(INDEX(Units_Owners!$A$5:$A$504,ROWS($A$5:A154)),"")</f>
        <v/>
      </c>
      <c r="E154" s="2">
        <f>IF($D154="","",IFERROR(INDEX(Units_Owners!$B$5:$B$504,MATCH($D154,Units_Owners!$A$5:$A$504,0)),""))</f>
        <v/>
      </c>
      <c r="F154" s="2">
        <f>IF($D154="","",IFERROR(INDEX(Units_Owners!$C$5:$C$504,MATCH($D154,Units_Owners!$A$5:$A$504,0)),""))</f>
        <v/>
      </c>
      <c r="G154" s="2">
        <f>IF($D154="","",IFERROR(INDEX(Units_Owners!$D$5:$D$504,MATCH($D154,Units_Owners!$A$5:$A$504,0)),""))</f>
        <v/>
      </c>
      <c r="H154" s="12">
        <f>Setup!$B$7</f>
        <v/>
      </c>
      <c r="I154" s="12">
        <f>Setup!$B$8</f>
        <v/>
      </c>
      <c r="J154" s="13">
        <f>IF($D154="","",IFERROR(INDEX(Units_Owners!$J$5:$J$504,MATCH($D154,Units_Owners!$A$5:$A$504,0)),0)+SUMIFS(Ledger!$F:$F,Ledger!$B:$B,$D154,Ledger!$D:$D,"&lt;"&amp;$H154)-SUMIFS(Ledger!$G:$G,Ledger!$B:$B,$D154,Ledger!$D:$D,"&lt;"&amp;$H154))</f>
        <v/>
      </c>
      <c r="K154" s="13">
        <f>IF($D154="","",IFERROR(INDEX(Units_Owners!$H$5:$H$504,MATCH($D154,Units_Owners!$A$5:$A$504,0)),Setup!$B$10))</f>
        <v/>
      </c>
      <c r="L154" s="13">
        <f>IF($D154="","",Setup!$B$11)</f>
        <v/>
      </c>
      <c r="M154" s="13">
        <f>IF($D154="","",IF(AND(TODAY()&gt;=Setup!$B$9,$P154&gt;0),Setup!$B$12,0))</f>
        <v/>
      </c>
      <c r="N154" s="13">
        <f>IF($D154="","",SUM($J154:$M154))</f>
        <v/>
      </c>
      <c r="O154" s="13">
        <f>IF($A154="","",SUMIFS(Payments!$F:$F,Payments!$D:$D,$A154))</f>
        <v/>
      </c>
      <c r="P154" s="13">
        <f>IF($D154="","",MAX(0,$N154-$O154))</f>
        <v/>
      </c>
      <c r="Q154" s="2">
        <f>IF($D154="","",IF(IFERROR(INDEX(Units_Owners!$I$5:$I$504,MATCH($D154,Units_Owners!$A$5:$A$504,0)),"No")&lt;&gt;"Yes","Skip - Inactive",IF($P154=0,"Paid",IF(TODAY()&gt;$I154,"Past Due","Open"))))</f>
        <v/>
      </c>
      <c r="R154" s="14" t="n"/>
      <c r="S154" s="6" t="n"/>
    </row>
    <row r="155">
      <c r="A155" s="2">
        <f>IF($D155="","","INV-"&amp;$B155&amp;"-"&amp;$C155&amp;"-"&amp;TEXT(ROW(A151),"0000"))</f>
        <v/>
      </c>
      <c r="B155" s="2">
        <f>Setup!$B$5</f>
        <v/>
      </c>
      <c r="C155" s="2">
        <f>Setup!$B$6</f>
        <v/>
      </c>
      <c r="D155" s="2">
        <f>IFERROR(INDEX(Units_Owners!$A$5:$A$504,ROWS($A$5:A155)),"")</f>
        <v/>
      </c>
      <c r="E155" s="2">
        <f>IF($D155="","",IFERROR(INDEX(Units_Owners!$B$5:$B$504,MATCH($D155,Units_Owners!$A$5:$A$504,0)),""))</f>
        <v/>
      </c>
      <c r="F155" s="2">
        <f>IF($D155="","",IFERROR(INDEX(Units_Owners!$C$5:$C$504,MATCH($D155,Units_Owners!$A$5:$A$504,0)),""))</f>
        <v/>
      </c>
      <c r="G155" s="2">
        <f>IF($D155="","",IFERROR(INDEX(Units_Owners!$D$5:$D$504,MATCH($D155,Units_Owners!$A$5:$A$504,0)),""))</f>
        <v/>
      </c>
      <c r="H155" s="12">
        <f>Setup!$B$7</f>
        <v/>
      </c>
      <c r="I155" s="12">
        <f>Setup!$B$8</f>
        <v/>
      </c>
      <c r="J155" s="13">
        <f>IF($D155="","",IFERROR(INDEX(Units_Owners!$J$5:$J$504,MATCH($D155,Units_Owners!$A$5:$A$504,0)),0)+SUMIFS(Ledger!$F:$F,Ledger!$B:$B,$D155,Ledger!$D:$D,"&lt;"&amp;$H155)-SUMIFS(Ledger!$G:$G,Ledger!$B:$B,$D155,Ledger!$D:$D,"&lt;"&amp;$H155))</f>
        <v/>
      </c>
      <c r="K155" s="13">
        <f>IF($D155="","",IFERROR(INDEX(Units_Owners!$H$5:$H$504,MATCH($D155,Units_Owners!$A$5:$A$504,0)),Setup!$B$10))</f>
        <v/>
      </c>
      <c r="L155" s="13">
        <f>IF($D155="","",Setup!$B$11)</f>
        <v/>
      </c>
      <c r="M155" s="13">
        <f>IF($D155="","",IF(AND(TODAY()&gt;=Setup!$B$9,$P155&gt;0),Setup!$B$12,0))</f>
        <v/>
      </c>
      <c r="N155" s="13">
        <f>IF($D155="","",SUM($J155:$M155))</f>
        <v/>
      </c>
      <c r="O155" s="13">
        <f>IF($A155="","",SUMIFS(Payments!$F:$F,Payments!$D:$D,$A155))</f>
        <v/>
      </c>
      <c r="P155" s="13">
        <f>IF($D155="","",MAX(0,$N155-$O155))</f>
        <v/>
      </c>
      <c r="Q155" s="2">
        <f>IF($D155="","",IF(IFERROR(INDEX(Units_Owners!$I$5:$I$504,MATCH($D155,Units_Owners!$A$5:$A$504,0)),"No")&lt;&gt;"Yes","Skip - Inactive",IF($P155=0,"Paid",IF(TODAY()&gt;$I155,"Past Due","Open"))))</f>
        <v/>
      </c>
      <c r="R155" s="12" t="n"/>
      <c r="S155" s="2" t="n"/>
    </row>
    <row r="156">
      <c r="A156" s="2">
        <f>IF($D156="","","INV-"&amp;$B156&amp;"-"&amp;$C156&amp;"-"&amp;TEXT(ROW(A152),"0000"))</f>
        <v/>
      </c>
      <c r="B156" s="2">
        <f>Setup!$B$5</f>
        <v/>
      </c>
      <c r="C156" s="2">
        <f>Setup!$B$6</f>
        <v/>
      </c>
      <c r="D156" s="2">
        <f>IFERROR(INDEX(Units_Owners!$A$5:$A$504,ROWS($A$5:A156)),"")</f>
        <v/>
      </c>
      <c r="E156" s="2">
        <f>IF($D156="","",IFERROR(INDEX(Units_Owners!$B$5:$B$504,MATCH($D156,Units_Owners!$A$5:$A$504,0)),""))</f>
        <v/>
      </c>
      <c r="F156" s="2">
        <f>IF($D156="","",IFERROR(INDEX(Units_Owners!$C$5:$C$504,MATCH($D156,Units_Owners!$A$5:$A$504,0)),""))</f>
        <v/>
      </c>
      <c r="G156" s="2">
        <f>IF($D156="","",IFERROR(INDEX(Units_Owners!$D$5:$D$504,MATCH($D156,Units_Owners!$A$5:$A$504,0)),""))</f>
        <v/>
      </c>
      <c r="H156" s="12">
        <f>Setup!$B$7</f>
        <v/>
      </c>
      <c r="I156" s="12">
        <f>Setup!$B$8</f>
        <v/>
      </c>
      <c r="J156" s="13">
        <f>IF($D156="","",IFERROR(INDEX(Units_Owners!$J$5:$J$504,MATCH($D156,Units_Owners!$A$5:$A$504,0)),0)+SUMIFS(Ledger!$F:$F,Ledger!$B:$B,$D156,Ledger!$D:$D,"&lt;"&amp;$H156)-SUMIFS(Ledger!$G:$G,Ledger!$B:$B,$D156,Ledger!$D:$D,"&lt;"&amp;$H156))</f>
        <v/>
      </c>
      <c r="K156" s="13">
        <f>IF($D156="","",IFERROR(INDEX(Units_Owners!$H$5:$H$504,MATCH($D156,Units_Owners!$A$5:$A$504,0)),Setup!$B$10))</f>
        <v/>
      </c>
      <c r="L156" s="13">
        <f>IF($D156="","",Setup!$B$11)</f>
        <v/>
      </c>
      <c r="M156" s="13">
        <f>IF($D156="","",IF(AND(TODAY()&gt;=Setup!$B$9,$P156&gt;0),Setup!$B$12,0))</f>
        <v/>
      </c>
      <c r="N156" s="13">
        <f>IF($D156="","",SUM($J156:$M156))</f>
        <v/>
      </c>
      <c r="O156" s="13">
        <f>IF($A156="","",SUMIFS(Payments!$F:$F,Payments!$D:$D,$A156))</f>
        <v/>
      </c>
      <c r="P156" s="13">
        <f>IF($D156="","",MAX(0,$N156-$O156))</f>
        <v/>
      </c>
      <c r="Q156" s="2">
        <f>IF($D156="","",IF(IFERROR(INDEX(Units_Owners!$I$5:$I$504,MATCH($D156,Units_Owners!$A$5:$A$504,0)),"No")&lt;&gt;"Yes","Skip - Inactive",IF($P156=0,"Paid",IF(TODAY()&gt;$I156,"Past Due","Open"))))</f>
        <v/>
      </c>
      <c r="R156" s="14" t="n"/>
      <c r="S156" s="6" t="n"/>
    </row>
    <row r="157">
      <c r="A157" s="2">
        <f>IF($D157="","","INV-"&amp;$B157&amp;"-"&amp;$C157&amp;"-"&amp;TEXT(ROW(A153),"0000"))</f>
        <v/>
      </c>
      <c r="B157" s="2">
        <f>Setup!$B$5</f>
        <v/>
      </c>
      <c r="C157" s="2">
        <f>Setup!$B$6</f>
        <v/>
      </c>
      <c r="D157" s="2">
        <f>IFERROR(INDEX(Units_Owners!$A$5:$A$504,ROWS($A$5:A157)),"")</f>
        <v/>
      </c>
      <c r="E157" s="2">
        <f>IF($D157="","",IFERROR(INDEX(Units_Owners!$B$5:$B$504,MATCH($D157,Units_Owners!$A$5:$A$504,0)),""))</f>
        <v/>
      </c>
      <c r="F157" s="2">
        <f>IF($D157="","",IFERROR(INDEX(Units_Owners!$C$5:$C$504,MATCH($D157,Units_Owners!$A$5:$A$504,0)),""))</f>
        <v/>
      </c>
      <c r="G157" s="2">
        <f>IF($D157="","",IFERROR(INDEX(Units_Owners!$D$5:$D$504,MATCH($D157,Units_Owners!$A$5:$A$504,0)),""))</f>
        <v/>
      </c>
      <c r="H157" s="12">
        <f>Setup!$B$7</f>
        <v/>
      </c>
      <c r="I157" s="12">
        <f>Setup!$B$8</f>
        <v/>
      </c>
      <c r="J157" s="13">
        <f>IF($D157="","",IFERROR(INDEX(Units_Owners!$J$5:$J$504,MATCH($D157,Units_Owners!$A$5:$A$504,0)),0)+SUMIFS(Ledger!$F:$F,Ledger!$B:$B,$D157,Ledger!$D:$D,"&lt;"&amp;$H157)-SUMIFS(Ledger!$G:$G,Ledger!$B:$B,$D157,Ledger!$D:$D,"&lt;"&amp;$H157))</f>
        <v/>
      </c>
      <c r="K157" s="13">
        <f>IF($D157="","",IFERROR(INDEX(Units_Owners!$H$5:$H$504,MATCH($D157,Units_Owners!$A$5:$A$504,0)),Setup!$B$10))</f>
        <v/>
      </c>
      <c r="L157" s="13">
        <f>IF($D157="","",Setup!$B$11)</f>
        <v/>
      </c>
      <c r="M157" s="13">
        <f>IF($D157="","",IF(AND(TODAY()&gt;=Setup!$B$9,$P157&gt;0),Setup!$B$12,0))</f>
        <v/>
      </c>
      <c r="N157" s="13">
        <f>IF($D157="","",SUM($J157:$M157))</f>
        <v/>
      </c>
      <c r="O157" s="13">
        <f>IF($A157="","",SUMIFS(Payments!$F:$F,Payments!$D:$D,$A157))</f>
        <v/>
      </c>
      <c r="P157" s="13">
        <f>IF($D157="","",MAX(0,$N157-$O157))</f>
        <v/>
      </c>
      <c r="Q157" s="2">
        <f>IF($D157="","",IF(IFERROR(INDEX(Units_Owners!$I$5:$I$504,MATCH($D157,Units_Owners!$A$5:$A$504,0)),"No")&lt;&gt;"Yes","Skip - Inactive",IF($P157=0,"Paid",IF(TODAY()&gt;$I157,"Past Due","Open"))))</f>
        <v/>
      </c>
      <c r="R157" s="12" t="n"/>
      <c r="S157" s="2" t="n"/>
    </row>
    <row r="158">
      <c r="A158" s="2">
        <f>IF($D158="","","INV-"&amp;$B158&amp;"-"&amp;$C158&amp;"-"&amp;TEXT(ROW(A154),"0000"))</f>
        <v/>
      </c>
      <c r="B158" s="2">
        <f>Setup!$B$5</f>
        <v/>
      </c>
      <c r="C158" s="2">
        <f>Setup!$B$6</f>
        <v/>
      </c>
      <c r="D158" s="2">
        <f>IFERROR(INDEX(Units_Owners!$A$5:$A$504,ROWS($A$5:A158)),"")</f>
        <v/>
      </c>
      <c r="E158" s="2">
        <f>IF($D158="","",IFERROR(INDEX(Units_Owners!$B$5:$B$504,MATCH($D158,Units_Owners!$A$5:$A$504,0)),""))</f>
        <v/>
      </c>
      <c r="F158" s="2">
        <f>IF($D158="","",IFERROR(INDEX(Units_Owners!$C$5:$C$504,MATCH($D158,Units_Owners!$A$5:$A$504,0)),""))</f>
        <v/>
      </c>
      <c r="G158" s="2">
        <f>IF($D158="","",IFERROR(INDEX(Units_Owners!$D$5:$D$504,MATCH($D158,Units_Owners!$A$5:$A$504,0)),""))</f>
        <v/>
      </c>
      <c r="H158" s="12">
        <f>Setup!$B$7</f>
        <v/>
      </c>
      <c r="I158" s="12">
        <f>Setup!$B$8</f>
        <v/>
      </c>
      <c r="J158" s="13">
        <f>IF($D158="","",IFERROR(INDEX(Units_Owners!$J$5:$J$504,MATCH($D158,Units_Owners!$A$5:$A$504,0)),0)+SUMIFS(Ledger!$F:$F,Ledger!$B:$B,$D158,Ledger!$D:$D,"&lt;"&amp;$H158)-SUMIFS(Ledger!$G:$G,Ledger!$B:$B,$D158,Ledger!$D:$D,"&lt;"&amp;$H158))</f>
        <v/>
      </c>
      <c r="K158" s="13">
        <f>IF($D158="","",IFERROR(INDEX(Units_Owners!$H$5:$H$504,MATCH($D158,Units_Owners!$A$5:$A$504,0)),Setup!$B$10))</f>
        <v/>
      </c>
      <c r="L158" s="13">
        <f>IF($D158="","",Setup!$B$11)</f>
        <v/>
      </c>
      <c r="M158" s="13">
        <f>IF($D158="","",IF(AND(TODAY()&gt;=Setup!$B$9,$P158&gt;0),Setup!$B$12,0))</f>
        <v/>
      </c>
      <c r="N158" s="13">
        <f>IF($D158="","",SUM($J158:$M158))</f>
        <v/>
      </c>
      <c r="O158" s="13">
        <f>IF($A158="","",SUMIFS(Payments!$F:$F,Payments!$D:$D,$A158))</f>
        <v/>
      </c>
      <c r="P158" s="13">
        <f>IF($D158="","",MAX(0,$N158-$O158))</f>
        <v/>
      </c>
      <c r="Q158" s="2">
        <f>IF($D158="","",IF(IFERROR(INDEX(Units_Owners!$I$5:$I$504,MATCH($D158,Units_Owners!$A$5:$A$504,0)),"No")&lt;&gt;"Yes","Skip - Inactive",IF($P158=0,"Paid",IF(TODAY()&gt;$I158,"Past Due","Open"))))</f>
        <v/>
      </c>
      <c r="R158" s="14" t="n"/>
      <c r="S158" s="6" t="n"/>
    </row>
    <row r="159">
      <c r="A159" s="2">
        <f>IF($D159="","","INV-"&amp;$B159&amp;"-"&amp;$C159&amp;"-"&amp;TEXT(ROW(A155),"0000"))</f>
        <v/>
      </c>
      <c r="B159" s="2">
        <f>Setup!$B$5</f>
        <v/>
      </c>
      <c r="C159" s="2">
        <f>Setup!$B$6</f>
        <v/>
      </c>
      <c r="D159" s="2">
        <f>IFERROR(INDEX(Units_Owners!$A$5:$A$504,ROWS($A$5:A159)),"")</f>
        <v/>
      </c>
      <c r="E159" s="2">
        <f>IF($D159="","",IFERROR(INDEX(Units_Owners!$B$5:$B$504,MATCH($D159,Units_Owners!$A$5:$A$504,0)),""))</f>
        <v/>
      </c>
      <c r="F159" s="2">
        <f>IF($D159="","",IFERROR(INDEX(Units_Owners!$C$5:$C$504,MATCH($D159,Units_Owners!$A$5:$A$504,0)),""))</f>
        <v/>
      </c>
      <c r="G159" s="2">
        <f>IF($D159="","",IFERROR(INDEX(Units_Owners!$D$5:$D$504,MATCH($D159,Units_Owners!$A$5:$A$504,0)),""))</f>
        <v/>
      </c>
      <c r="H159" s="12">
        <f>Setup!$B$7</f>
        <v/>
      </c>
      <c r="I159" s="12">
        <f>Setup!$B$8</f>
        <v/>
      </c>
      <c r="J159" s="13">
        <f>IF($D159="","",IFERROR(INDEX(Units_Owners!$J$5:$J$504,MATCH($D159,Units_Owners!$A$5:$A$504,0)),0)+SUMIFS(Ledger!$F:$F,Ledger!$B:$B,$D159,Ledger!$D:$D,"&lt;"&amp;$H159)-SUMIFS(Ledger!$G:$G,Ledger!$B:$B,$D159,Ledger!$D:$D,"&lt;"&amp;$H159))</f>
        <v/>
      </c>
      <c r="K159" s="13">
        <f>IF($D159="","",IFERROR(INDEX(Units_Owners!$H$5:$H$504,MATCH($D159,Units_Owners!$A$5:$A$504,0)),Setup!$B$10))</f>
        <v/>
      </c>
      <c r="L159" s="13">
        <f>IF($D159="","",Setup!$B$11)</f>
        <v/>
      </c>
      <c r="M159" s="13">
        <f>IF($D159="","",IF(AND(TODAY()&gt;=Setup!$B$9,$P159&gt;0),Setup!$B$12,0))</f>
        <v/>
      </c>
      <c r="N159" s="13">
        <f>IF($D159="","",SUM($J159:$M159))</f>
        <v/>
      </c>
      <c r="O159" s="13">
        <f>IF($A159="","",SUMIFS(Payments!$F:$F,Payments!$D:$D,$A159))</f>
        <v/>
      </c>
      <c r="P159" s="13">
        <f>IF($D159="","",MAX(0,$N159-$O159))</f>
        <v/>
      </c>
      <c r="Q159" s="2">
        <f>IF($D159="","",IF(IFERROR(INDEX(Units_Owners!$I$5:$I$504,MATCH($D159,Units_Owners!$A$5:$A$504,0)),"No")&lt;&gt;"Yes","Skip - Inactive",IF($P159=0,"Paid",IF(TODAY()&gt;$I159,"Past Due","Open"))))</f>
        <v/>
      </c>
      <c r="R159" s="12" t="n"/>
      <c r="S159" s="2" t="n"/>
    </row>
    <row r="160">
      <c r="A160" s="2">
        <f>IF($D160="","","INV-"&amp;$B160&amp;"-"&amp;$C160&amp;"-"&amp;TEXT(ROW(A156),"0000"))</f>
        <v/>
      </c>
      <c r="B160" s="2">
        <f>Setup!$B$5</f>
        <v/>
      </c>
      <c r="C160" s="2">
        <f>Setup!$B$6</f>
        <v/>
      </c>
      <c r="D160" s="2">
        <f>IFERROR(INDEX(Units_Owners!$A$5:$A$504,ROWS($A$5:A160)),"")</f>
        <v/>
      </c>
      <c r="E160" s="2">
        <f>IF($D160="","",IFERROR(INDEX(Units_Owners!$B$5:$B$504,MATCH($D160,Units_Owners!$A$5:$A$504,0)),""))</f>
        <v/>
      </c>
      <c r="F160" s="2">
        <f>IF($D160="","",IFERROR(INDEX(Units_Owners!$C$5:$C$504,MATCH($D160,Units_Owners!$A$5:$A$504,0)),""))</f>
        <v/>
      </c>
      <c r="G160" s="2">
        <f>IF($D160="","",IFERROR(INDEX(Units_Owners!$D$5:$D$504,MATCH($D160,Units_Owners!$A$5:$A$504,0)),""))</f>
        <v/>
      </c>
      <c r="H160" s="12">
        <f>Setup!$B$7</f>
        <v/>
      </c>
      <c r="I160" s="12">
        <f>Setup!$B$8</f>
        <v/>
      </c>
      <c r="J160" s="13">
        <f>IF($D160="","",IFERROR(INDEX(Units_Owners!$J$5:$J$504,MATCH($D160,Units_Owners!$A$5:$A$504,0)),0)+SUMIFS(Ledger!$F:$F,Ledger!$B:$B,$D160,Ledger!$D:$D,"&lt;"&amp;$H160)-SUMIFS(Ledger!$G:$G,Ledger!$B:$B,$D160,Ledger!$D:$D,"&lt;"&amp;$H160))</f>
        <v/>
      </c>
      <c r="K160" s="13">
        <f>IF($D160="","",IFERROR(INDEX(Units_Owners!$H$5:$H$504,MATCH($D160,Units_Owners!$A$5:$A$504,0)),Setup!$B$10))</f>
        <v/>
      </c>
      <c r="L160" s="13">
        <f>IF($D160="","",Setup!$B$11)</f>
        <v/>
      </c>
      <c r="M160" s="13">
        <f>IF($D160="","",IF(AND(TODAY()&gt;=Setup!$B$9,$P160&gt;0),Setup!$B$12,0))</f>
        <v/>
      </c>
      <c r="N160" s="13">
        <f>IF($D160="","",SUM($J160:$M160))</f>
        <v/>
      </c>
      <c r="O160" s="13">
        <f>IF($A160="","",SUMIFS(Payments!$F:$F,Payments!$D:$D,$A160))</f>
        <v/>
      </c>
      <c r="P160" s="13">
        <f>IF($D160="","",MAX(0,$N160-$O160))</f>
        <v/>
      </c>
      <c r="Q160" s="2">
        <f>IF($D160="","",IF(IFERROR(INDEX(Units_Owners!$I$5:$I$504,MATCH($D160,Units_Owners!$A$5:$A$504,0)),"No")&lt;&gt;"Yes","Skip - Inactive",IF($P160=0,"Paid",IF(TODAY()&gt;$I160,"Past Due","Open"))))</f>
        <v/>
      </c>
      <c r="R160" s="14" t="n"/>
      <c r="S160" s="6" t="n"/>
    </row>
    <row r="161">
      <c r="A161" s="2">
        <f>IF($D161="","","INV-"&amp;$B161&amp;"-"&amp;$C161&amp;"-"&amp;TEXT(ROW(A157),"0000"))</f>
        <v/>
      </c>
      <c r="B161" s="2">
        <f>Setup!$B$5</f>
        <v/>
      </c>
      <c r="C161" s="2">
        <f>Setup!$B$6</f>
        <v/>
      </c>
      <c r="D161" s="2">
        <f>IFERROR(INDEX(Units_Owners!$A$5:$A$504,ROWS($A$5:A161)),"")</f>
        <v/>
      </c>
      <c r="E161" s="2">
        <f>IF($D161="","",IFERROR(INDEX(Units_Owners!$B$5:$B$504,MATCH($D161,Units_Owners!$A$5:$A$504,0)),""))</f>
        <v/>
      </c>
      <c r="F161" s="2">
        <f>IF($D161="","",IFERROR(INDEX(Units_Owners!$C$5:$C$504,MATCH($D161,Units_Owners!$A$5:$A$504,0)),""))</f>
        <v/>
      </c>
      <c r="G161" s="2">
        <f>IF($D161="","",IFERROR(INDEX(Units_Owners!$D$5:$D$504,MATCH($D161,Units_Owners!$A$5:$A$504,0)),""))</f>
        <v/>
      </c>
      <c r="H161" s="12">
        <f>Setup!$B$7</f>
        <v/>
      </c>
      <c r="I161" s="12">
        <f>Setup!$B$8</f>
        <v/>
      </c>
      <c r="J161" s="13">
        <f>IF($D161="","",IFERROR(INDEX(Units_Owners!$J$5:$J$504,MATCH($D161,Units_Owners!$A$5:$A$504,0)),0)+SUMIFS(Ledger!$F:$F,Ledger!$B:$B,$D161,Ledger!$D:$D,"&lt;"&amp;$H161)-SUMIFS(Ledger!$G:$G,Ledger!$B:$B,$D161,Ledger!$D:$D,"&lt;"&amp;$H161))</f>
        <v/>
      </c>
      <c r="K161" s="13">
        <f>IF($D161="","",IFERROR(INDEX(Units_Owners!$H$5:$H$504,MATCH($D161,Units_Owners!$A$5:$A$504,0)),Setup!$B$10))</f>
        <v/>
      </c>
      <c r="L161" s="13">
        <f>IF($D161="","",Setup!$B$11)</f>
        <v/>
      </c>
      <c r="M161" s="13">
        <f>IF($D161="","",IF(AND(TODAY()&gt;=Setup!$B$9,$P161&gt;0),Setup!$B$12,0))</f>
        <v/>
      </c>
      <c r="N161" s="13">
        <f>IF($D161="","",SUM($J161:$M161))</f>
        <v/>
      </c>
      <c r="O161" s="13">
        <f>IF($A161="","",SUMIFS(Payments!$F:$F,Payments!$D:$D,$A161))</f>
        <v/>
      </c>
      <c r="P161" s="13">
        <f>IF($D161="","",MAX(0,$N161-$O161))</f>
        <v/>
      </c>
      <c r="Q161" s="2">
        <f>IF($D161="","",IF(IFERROR(INDEX(Units_Owners!$I$5:$I$504,MATCH($D161,Units_Owners!$A$5:$A$504,0)),"No")&lt;&gt;"Yes","Skip - Inactive",IF($P161=0,"Paid",IF(TODAY()&gt;$I161,"Past Due","Open"))))</f>
        <v/>
      </c>
      <c r="R161" s="12" t="n"/>
      <c r="S161" s="2" t="n"/>
    </row>
    <row r="162">
      <c r="A162" s="2">
        <f>IF($D162="","","INV-"&amp;$B162&amp;"-"&amp;$C162&amp;"-"&amp;TEXT(ROW(A158),"0000"))</f>
        <v/>
      </c>
      <c r="B162" s="2">
        <f>Setup!$B$5</f>
        <v/>
      </c>
      <c r="C162" s="2">
        <f>Setup!$B$6</f>
        <v/>
      </c>
      <c r="D162" s="2">
        <f>IFERROR(INDEX(Units_Owners!$A$5:$A$504,ROWS($A$5:A162)),"")</f>
        <v/>
      </c>
      <c r="E162" s="2">
        <f>IF($D162="","",IFERROR(INDEX(Units_Owners!$B$5:$B$504,MATCH($D162,Units_Owners!$A$5:$A$504,0)),""))</f>
        <v/>
      </c>
      <c r="F162" s="2">
        <f>IF($D162="","",IFERROR(INDEX(Units_Owners!$C$5:$C$504,MATCH($D162,Units_Owners!$A$5:$A$504,0)),""))</f>
        <v/>
      </c>
      <c r="G162" s="2">
        <f>IF($D162="","",IFERROR(INDEX(Units_Owners!$D$5:$D$504,MATCH($D162,Units_Owners!$A$5:$A$504,0)),""))</f>
        <v/>
      </c>
      <c r="H162" s="12">
        <f>Setup!$B$7</f>
        <v/>
      </c>
      <c r="I162" s="12">
        <f>Setup!$B$8</f>
        <v/>
      </c>
      <c r="J162" s="13">
        <f>IF($D162="","",IFERROR(INDEX(Units_Owners!$J$5:$J$504,MATCH($D162,Units_Owners!$A$5:$A$504,0)),0)+SUMIFS(Ledger!$F:$F,Ledger!$B:$B,$D162,Ledger!$D:$D,"&lt;"&amp;$H162)-SUMIFS(Ledger!$G:$G,Ledger!$B:$B,$D162,Ledger!$D:$D,"&lt;"&amp;$H162))</f>
        <v/>
      </c>
      <c r="K162" s="13">
        <f>IF($D162="","",IFERROR(INDEX(Units_Owners!$H$5:$H$504,MATCH($D162,Units_Owners!$A$5:$A$504,0)),Setup!$B$10))</f>
        <v/>
      </c>
      <c r="L162" s="13">
        <f>IF($D162="","",Setup!$B$11)</f>
        <v/>
      </c>
      <c r="M162" s="13">
        <f>IF($D162="","",IF(AND(TODAY()&gt;=Setup!$B$9,$P162&gt;0),Setup!$B$12,0))</f>
        <v/>
      </c>
      <c r="N162" s="13">
        <f>IF($D162="","",SUM($J162:$M162))</f>
        <v/>
      </c>
      <c r="O162" s="13">
        <f>IF($A162="","",SUMIFS(Payments!$F:$F,Payments!$D:$D,$A162))</f>
        <v/>
      </c>
      <c r="P162" s="13">
        <f>IF($D162="","",MAX(0,$N162-$O162))</f>
        <v/>
      </c>
      <c r="Q162" s="2">
        <f>IF($D162="","",IF(IFERROR(INDEX(Units_Owners!$I$5:$I$504,MATCH($D162,Units_Owners!$A$5:$A$504,0)),"No")&lt;&gt;"Yes","Skip - Inactive",IF($P162=0,"Paid",IF(TODAY()&gt;$I162,"Past Due","Open"))))</f>
        <v/>
      </c>
      <c r="R162" s="14" t="n"/>
      <c r="S162" s="6" t="n"/>
    </row>
    <row r="163">
      <c r="A163" s="2">
        <f>IF($D163="","","INV-"&amp;$B163&amp;"-"&amp;$C163&amp;"-"&amp;TEXT(ROW(A159),"0000"))</f>
        <v/>
      </c>
      <c r="B163" s="2">
        <f>Setup!$B$5</f>
        <v/>
      </c>
      <c r="C163" s="2">
        <f>Setup!$B$6</f>
        <v/>
      </c>
      <c r="D163" s="2">
        <f>IFERROR(INDEX(Units_Owners!$A$5:$A$504,ROWS($A$5:A163)),"")</f>
        <v/>
      </c>
      <c r="E163" s="2">
        <f>IF($D163="","",IFERROR(INDEX(Units_Owners!$B$5:$B$504,MATCH($D163,Units_Owners!$A$5:$A$504,0)),""))</f>
        <v/>
      </c>
      <c r="F163" s="2">
        <f>IF($D163="","",IFERROR(INDEX(Units_Owners!$C$5:$C$504,MATCH($D163,Units_Owners!$A$5:$A$504,0)),""))</f>
        <v/>
      </c>
      <c r="G163" s="2">
        <f>IF($D163="","",IFERROR(INDEX(Units_Owners!$D$5:$D$504,MATCH($D163,Units_Owners!$A$5:$A$504,0)),""))</f>
        <v/>
      </c>
      <c r="H163" s="12">
        <f>Setup!$B$7</f>
        <v/>
      </c>
      <c r="I163" s="12">
        <f>Setup!$B$8</f>
        <v/>
      </c>
      <c r="J163" s="13">
        <f>IF($D163="","",IFERROR(INDEX(Units_Owners!$J$5:$J$504,MATCH($D163,Units_Owners!$A$5:$A$504,0)),0)+SUMIFS(Ledger!$F:$F,Ledger!$B:$B,$D163,Ledger!$D:$D,"&lt;"&amp;$H163)-SUMIFS(Ledger!$G:$G,Ledger!$B:$B,$D163,Ledger!$D:$D,"&lt;"&amp;$H163))</f>
        <v/>
      </c>
      <c r="K163" s="13">
        <f>IF($D163="","",IFERROR(INDEX(Units_Owners!$H$5:$H$504,MATCH($D163,Units_Owners!$A$5:$A$504,0)),Setup!$B$10))</f>
        <v/>
      </c>
      <c r="L163" s="13">
        <f>IF($D163="","",Setup!$B$11)</f>
        <v/>
      </c>
      <c r="M163" s="13">
        <f>IF($D163="","",IF(AND(TODAY()&gt;=Setup!$B$9,$P163&gt;0),Setup!$B$12,0))</f>
        <v/>
      </c>
      <c r="N163" s="13">
        <f>IF($D163="","",SUM($J163:$M163))</f>
        <v/>
      </c>
      <c r="O163" s="13">
        <f>IF($A163="","",SUMIFS(Payments!$F:$F,Payments!$D:$D,$A163))</f>
        <v/>
      </c>
      <c r="P163" s="13">
        <f>IF($D163="","",MAX(0,$N163-$O163))</f>
        <v/>
      </c>
      <c r="Q163" s="2">
        <f>IF($D163="","",IF(IFERROR(INDEX(Units_Owners!$I$5:$I$504,MATCH($D163,Units_Owners!$A$5:$A$504,0)),"No")&lt;&gt;"Yes","Skip - Inactive",IF($P163=0,"Paid",IF(TODAY()&gt;$I163,"Past Due","Open"))))</f>
        <v/>
      </c>
      <c r="R163" s="12" t="n"/>
      <c r="S163" s="2" t="n"/>
    </row>
    <row r="164">
      <c r="A164" s="2">
        <f>IF($D164="","","INV-"&amp;$B164&amp;"-"&amp;$C164&amp;"-"&amp;TEXT(ROW(A160),"0000"))</f>
        <v/>
      </c>
      <c r="B164" s="2">
        <f>Setup!$B$5</f>
        <v/>
      </c>
      <c r="C164" s="2">
        <f>Setup!$B$6</f>
        <v/>
      </c>
      <c r="D164" s="2">
        <f>IFERROR(INDEX(Units_Owners!$A$5:$A$504,ROWS($A$5:A164)),"")</f>
        <v/>
      </c>
      <c r="E164" s="2">
        <f>IF($D164="","",IFERROR(INDEX(Units_Owners!$B$5:$B$504,MATCH($D164,Units_Owners!$A$5:$A$504,0)),""))</f>
        <v/>
      </c>
      <c r="F164" s="2">
        <f>IF($D164="","",IFERROR(INDEX(Units_Owners!$C$5:$C$504,MATCH($D164,Units_Owners!$A$5:$A$504,0)),""))</f>
        <v/>
      </c>
      <c r="G164" s="2">
        <f>IF($D164="","",IFERROR(INDEX(Units_Owners!$D$5:$D$504,MATCH($D164,Units_Owners!$A$5:$A$504,0)),""))</f>
        <v/>
      </c>
      <c r="H164" s="12">
        <f>Setup!$B$7</f>
        <v/>
      </c>
      <c r="I164" s="12">
        <f>Setup!$B$8</f>
        <v/>
      </c>
      <c r="J164" s="13">
        <f>IF($D164="","",IFERROR(INDEX(Units_Owners!$J$5:$J$504,MATCH($D164,Units_Owners!$A$5:$A$504,0)),0)+SUMIFS(Ledger!$F:$F,Ledger!$B:$B,$D164,Ledger!$D:$D,"&lt;"&amp;$H164)-SUMIFS(Ledger!$G:$G,Ledger!$B:$B,$D164,Ledger!$D:$D,"&lt;"&amp;$H164))</f>
        <v/>
      </c>
      <c r="K164" s="13">
        <f>IF($D164="","",IFERROR(INDEX(Units_Owners!$H$5:$H$504,MATCH($D164,Units_Owners!$A$5:$A$504,0)),Setup!$B$10))</f>
        <v/>
      </c>
      <c r="L164" s="13">
        <f>IF($D164="","",Setup!$B$11)</f>
        <v/>
      </c>
      <c r="M164" s="13">
        <f>IF($D164="","",IF(AND(TODAY()&gt;=Setup!$B$9,$P164&gt;0),Setup!$B$12,0))</f>
        <v/>
      </c>
      <c r="N164" s="13">
        <f>IF($D164="","",SUM($J164:$M164))</f>
        <v/>
      </c>
      <c r="O164" s="13">
        <f>IF($A164="","",SUMIFS(Payments!$F:$F,Payments!$D:$D,$A164))</f>
        <v/>
      </c>
      <c r="P164" s="13">
        <f>IF($D164="","",MAX(0,$N164-$O164))</f>
        <v/>
      </c>
      <c r="Q164" s="2">
        <f>IF($D164="","",IF(IFERROR(INDEX(Units_Owners!$I$5:$I$504,MATCH($D164,Units_Owners!$A$5:$A$504,0)),"No")&lt;&gt;"Yes","Skip - Inactive",IF($P164=0,"Paid",IF(TODAY()&gt;$I164,"Past Due","Open"))))</f>
        <v/>
      </c>
      <c r="R164" s="14" t="n"/>
      <c r="S164" s="6" t="n"/>
    </row>
    <row r="165">
      <c r="A165" s="2">
        <f>IF($D165="","","INV-"&amp;$B165&amp;"-"&amp;$C165&amp;"-"&amp;TEXT(ROW(A161),"0000"))</f>
        <v/>
      </c>
      <c r="B165" s="2">
        <f>Setup!$B$5</f>
        <v/>
      </c>
      <c r="C165" s="2">
        <f>Setup!$B$6</f>
        <v/>
      </c>
      <c r="D165" s="2">
        <f>IFERROR(INDEX(Units_Owners!$A$5:$A$504,ROWS($A$5:A165)),"")</f>
        <v/>
      </c>
      <c r="E165" s="2">
        <f>IF($D165="","",IFERROR(INDEX(Units_Owners!$B$5:$B$504,MATCH($D165,Units_Owners!$A$5:$A$504,0)),""))</f>
        <v/>
      </c>
      <c r="F165" s="2">
        <f>IF($D165="","",IFERROR(INDEX(Units_Owners!$C$5:$C$504,MATCH($D165,Units_Owners!$A$5:$A$504,0)),""))</f>
        <v/>
      </c>
      <c r="G165" s="2">
        <f>IF($D165="","",IFERROR(INDEX(Units_Owners!$D$5:$D$504,MATCH($D165,Units_Owners!$A$5:$A$504,0)),""))</f>
        <v/>
      </c>
      <c r="H165" s="12">
        <f>Setup!$B$7</f>
        <v/>
      </c>
      <c r="I165" s="12">
        <f>Setup!$B$8</f>
        <v/>
      </c>
      <c r="J165" s="13">
        <f>IF($D165="","",IFERROR(INDEX(Units_Owners!$J$5:$J$504,MATCH($D165,Units_Owners!$A$5:$A$504,0)),0)+SUMIFS(Ledger!$F:$F,Ledger!$B:$B,$D165,Ledger!$D:$D,"&lt;"&amp;$H165)-SUMIFS(Ledger!$G:$G,Ledger!$B:$B,$D165,Ledger!$D:$D,"&lt;"&amp;$H165))</f>
        <v/>
      </c>
      <c r="K165" s="13">
        <f>IF($D165="","",IFERROR(INDEX(Units_Owners!$H$5:$H$504,MATCH($D165,Units_Owners!$A$5:$A$504,0)),Setup!$B$10))</f>
        <v/>
      </c>
      <c r="L165" s="13">
        <f>IF($D165="","",Setup!$B$11)</f>
        <v/>
      </c>
      <c r="M165" s="13">
        <f>IF($D165="","",IF(AND(TODAY()&gt;=Setup!$B$9,$P165&gt;0),Setup!$B$12,0))</f>
        <v/>
      </c>
      <c r="N165" s="13">
        <f>IF($D165="","",SUM($J165:$M165))</f>
        <v/>
      </c>
      <c r="O165" s="13">
        <f>IF($A165="","",SUMIFS(Payments!$F:$F,Payments!$D:$D,$A165))</f>
        <v/>
      </c>
      <c r="P165" s="13">
        <f>IF($D165="","",MAX(0,$N165-$O165))</f>
        <v/>
      </c>
      <c r="Q165" s="2">
        <f>IF($D165="","",IF(IFERROR(INDEX(Units_Owners!$I$5:$I$504,MATCH($D165,Units_Owners!$A$5:$A$504,0)),"No")&lt;&gt;"Yes","Skip - Inactive",IF($P165=0,"Paid",IF(TODAY()&gt;$I165,"Past Due","Open"))))</f>
        <v/>
      </c>
      <c r="R165" s="12" t="n"/>
      <c r="S165" s="2" t="n"/>
    </row>
    <row r="166">
      <c r="A166" s="2">
        <f>IF($D166="","","INV-"&amp;$B166&amp;"-"&amp;$C166&amp;"-"&amp;TEXT(ROW(A162),"0000"))</f>
        <v/>
      </c>
      <c r="B166" s="2">
        <f>Setup!$B$5</f>
        <v/>
      </c>
      <c r="C166" s="2">
        <f>Setup!$B$6</f>
        <v/>
      </c>
      <c r="D166" s="2">
        <f>IFERROR(INDEX(Units_Owners!$A$5:$A$504,ROWS($A$5:A166)),"")</f>
        <v/>
      </c>
      <c r="E166" s="2">
        <f>IF($D166="","",IFERROR(INDEX(Units_Owners!$B$5:$B$504,MATCH($D166,Units_Owners!$A$5:$A$504,0)),""))</f>
        <v/>
      </c>
      <c r="F166" s="2">
        <f>IF($D166="","",IFERROR(INDEX(Units_Owners!$C$5:$C$504,MATCH($D166,Units_Owners!$A$5:$A$504,0)),""))</f>
        <v/>
      </c>
      <c r="G166" s="2">
        <f>IF($D166="","",IFERROR(INDEX(Units_Owners!$D$5:$D$504,MATCH($D166,Units_Owners!$A$5:$A$504,0)),""))</f>
        <v/>
      </c>
      <c r="H166" s="12">
        <f>Setup!$B$7</f>
        <v/>
      </c>
      <c r="I166" s="12">
        <f>Setup!$B$8</f>
        <v/>
      </c>
      <c r="J166" s="13">
        <f>IF($D166="","",IFERROR(INDEX(Units_Owners!$J$5:$J$504,MATCH($D166,Units_Owners!$A$5:$A$504,0)),0)+SUMIFS(Ledger!$F:$F,Ledger!$B:$B,$D166,Ledger!$D:$D,"&lt;"&amp;$H166)-SUMIFS(Ledger!$G:$G,Ledger!$B:$B,$D166,Ledger!$D:$D,"&lt;"&amp;$H166))</f>
        <v/>
      </c>
      <c r="K166" s="13">
        <f>IF($D166="","",IFERROR(INDEX(Units_Owners!$H$5:$H$504,MATCH($D166,Units_Owners!$A$5:$A$504,0)),Setup!$B$10))</f>
        <v/>
      </c>
      <c r="L166" s="13">
        <f>IF($D166="","",Setup!$B$11)</f>
        <v/>
      </c>
      <c r="M166" s="13">
        <f>IF($D166="","",IF(AND(TODAY()&gt;=Setup!$B$9,$P166&gt;0),Setup!$B$12,0))</f>
        <v/>
      </c>
      <c r="N166" s="13">
        <f>IF($D166="","",SUM($J166:$M166))</f>
        <v/>
      </c>
      <c r="O166" s="13">
        <f>IF($A166="","",SUMIFS(Payments!$F:$F,Payments!$D:$D,$A166))</f>
        <v/>
      </c>
      <c r="P166" s="13">
        <f>IF($D166="","",MAX(0,$N166-$O166))</f>
        <v/>
      </c>
      <c r="Q166" s="2">
        <f>IF($D166="","",IF(IFERROR(INDEX(Units_Owners!$I$5:$I$504,MATCH($D166,Units_Owners!$A$5:$A$504,0)),"No")&lt;&gt;"Yes","Skip - Inactive",IF($P166=0,"Paid",IF(TODAY()&gt;$I166,"Past Due","Open"))))</f>
        <v/>
      </c>
      <c r="R166" s="14" t="n"/>
      <c r="S166" s="6" t="n"/>
    </row>
    <row r="167">
      <c r="A167" s="2">
        <f>IF($D167="","","INV-"&amp;$B167&amp;"-"&amp;$C167&amp;"-"&amp;TEXT(ROW(A163),"0000"))</f>
        <v/>
      </c>
      <c r="B167" s="2">
        <f>Setup!$B$5</f>
        <v/>
      </c>
      <c r="C167" s="2">
        <f>Setup!$B$6</f>
        <v/>
      </c>
      <c r="D167" s="2">
        <f>IFERROR(INDEX(Units_Owners!$A$5:$A$504,ROWS($A$5:A167)),"")</f>
        <v/>
      </c>
      <c r="E167" s="2">
        <f>IF($D167="","",IFERROR(INDEX(Units_Owners!$B$5:$B$504,MATCH($D167,Units_Owners!$A$5:$A$504,0)),""))</f>
        <v/>
      </c>
      <c r="F167" s="2">
        <f>IF($D167="","",IFERROR(INDEX(Units_Owners!$C$5:$C$504,MATCH($D167,Units_Owners!$A$5:$A$504,0)),""))</f>
        <v/>
      </c>
      <c r="G167" s="2">
        <f>IF($D167="","",IFERROR(INDEX(Units_Owners!$D$5:$D$504,MATCH($D167,Units_Owners!$A$5:$A$504,0)),""))</f>
        <v/>
      </c>
      <c r="H167" s="12">
        <f>Setup!$B$7</f>
        <v/>
      </c>
      <c r="I167" s="12">
        <f>Setup!$B$8</f>
        <v/>
      </c>
      <c r="J167" s="13">
        <f>IF($D167="","",IFERROR(INDEX(Units_Owners!$J$5:$J$504,MATCH($D167,Units_Owners!$A$5:$A$504,0)),0)+SUMIFS(Ledger!$F:$F,Ledger!$B:$B,$D167,Ledger!$D:$D,"&lt;"&amp;$H167)-SUMIFS(Ledger!$G:$G,Ledger!$B:$B,$D167,Ledger!$D:$D,"&lt;"&amp;$H167))</f>
        <v/>
      </c>
      <c r="K167" s="13">
        <f>IF($D167="","",IFERROR(INDEX(Units_Owners!$H$5:$H$504,MATCH($D167,Units_Owners!$A$5:$A$504,0)),Setup!$B$10))</f>
        <v/>
      </c>
      <c r="L167" s="13">
        <f>IF($D167="","",Setup!$B$11)</f>
        <v/>
      </c>
      <c r="M167" s="13">
        <f>IF($D167="","",IF(AND(TODAY()&gt;=Setup!$B$9,$P167&gt;0),Setup!$B$12,0))</f>
        <v/>
      </c>
      <c r="N167" s="13">
        <f>IF($D167="","",SUM($J167:$M167))</f>
        <v/>
      </c>
      <c r="O167" s="13">
        <f>IF($A167="","",SUMIFS(Payments!$F:$F,Payments!$D:$D,$A167))</f>
        <v/>
      </c>
      <c r="P167" s="13">
        <f>IF($D167="","",MAX(0,$N167-$O167))</f>
        <v/>
      </c>
      <c r="Q167" s="2">
        <f>IF($D167="","",IF(IFERROR(INDEX(Units_Owners!$I$5:$I$504,MATCH($D167,Units_Owners!$A$5:$A$504,0)),"No")&lt;&gt;"Yes","Skip - Inactive",IF($P167=0,"Paid",IF(TODAY()&gt;$I167,"Past Due","Open"))))</f>
        <v/>
      </c>
      <c r="R167" s="12" t="n"/>
      <c r="S167" s="2" t="n"/>
    </row>
    <row r="168">
      <c r="A168" s="2">
        <f>IF($D168="","","INV-"&amp;$B168&amp;"-"&amp;$C168&amp;"-"&amp;TEXT(ROW(A164),"0000"))</f>
        <v/>
      </c>
      <c r="B168" s="2">
        <f>Setup!$B$5</f>
        <v/>
      </c>
      <c r="C168" s="2">
        <f>Setup!$B$6</f>
        <v/>
      </c>
      <c r="D168" s="2">
        <f>IFERROR(INDEX(Units_Owners!$A$5:$A$504,ROWS($A$5:A168)),"")</f>
        <v/>
      </c>
      <c r="E168" s="2">
        <f>IF($D168="","",IFERROR(INDEX(Units_Owners!$B$5:$B$504,MATCH($D168,Units_Owners!$A$5:$A$504,0)),""))</f>
        <v/>
      </c>
      <c r="F168" s="2">
        <f>IF($D168="","",IFERROR(INDEX(Units_Owners!$C$5:$C$504,MATCH($D168,Units_Owners!$A$5:$A$504,0)),""))</f>
        <v/>
      </c>
      <c r="G168" s="2">
        <f>IF($D168="","",IFERROR(INDEX(Units_Owners!$D$5:$D$504,MATCH($D168,Units_Owners!$A$5:$A$504,0)),""))</f>
        <v/>
      </c>
      <c r="H168" s="12">
        <f>Setup!$B$7</f>
        <v/>
      </c>
      <c r="I168" s="12">
        <f>Setup!$B$8</f>
        <v/>
      </c>
      <c r="J168" s="13">
        <f>IF($D168="","",IFERROR(INDEX(Units_Owners!$J$5:$J$504,MATCH($D168,Units_Owners!$A$5:$A$504,0)),0)+SUMIFS(Ledger!$F:$F,Ledger!$B:$B,$D168,Ledger!$D:$D,"&lt;"&amp;$H168)-SUMIFS(Ledger!$G:$G,Ledger!$B:$B,$D168,Ledger!$D:$D,"&lt;"&amp;$H168))</f>
        <v/>
      </c>
      <c r="K168" s="13">
        <f>IF($D168="","",IFERROR(INDEX(Units_Owners!$H$5:$H$504,MATCH($D168,Units_Owners!$A$5:$A$504,0)),Setup!$B$10))</f>
        <v/>
      </c>
      <c r="L168" s="13">
        <f>IF($D168="","",Setup!$B$11)</f>
        <v/>
      </c>
      <c r="M168" s="13">
        <f>IF($D168="","",IF(AND(TODAY()&gt;=Setup!$B$9,$P168&gt;0),Setup!$B$12,0))</f>
        <v/>
      </c>
      <c r="N168" s="13">
        <f>IF($D168="","",SUM($J168:$M168))</f>
        <v/>
      </c>
      <c r="O168" s="13">
        <f>IF($A168="","",SUMIFS(Payments!$F:$F,Payments!$D:$D,$A168))</f>
        <v/>
      </c>
      <c r="P168" s="13">
        <f>IF($D168="","",MAX(0,$N168-$O168))</f>
        <v/>
      </c>
      <c r="Q168" s="2">
        <f>IF($D168="","",IF(IFERROR(INDEX(Units_Owners!$I$5:$I$504,MATCH($D168,Units_Owners!$A$5:$A$504,0)),"No")&lt;&gt;"Yes","Skip - Inactive",IF($P168=0,"Paid",IF(TODAY()&gt;$I168,"Past Due","Open"))))</f>
        <v/>
      </c>
      <c r="R168" s="14" t="n"/>
      <c r="S168" s="6" t="n"/>
    </row>
    <row r="169">
      <c r="A169" s="2">
        <f>IF($D169="","","INV-"&amp;$B169&amp;"-"&amp;$C169&amp;"-"&amp;TEXT(ROW(A165),"0000"))</f>
        <v/>
      </c>
      <c r="B169" s="2">
        <f>Setup!$B$5</f>
        <v/>
      </c>
      <c r="C169" s="2">
        <f>Setup!$B$6</f>
        <v/>
      </c>
      <c r="D169" s="2">
        <f>IFERROR(INDEX(Units_Owners!$A$5:$A$504,ROWS($A$5:A169)),"")</f>
        <v/>
      </c>
      <c r="E169" s="2">
        <f>IF($D169="","",IFERROR(INDEX(Units_Owners!$B$5:$B$504,MATCH($D169,Units_Owners!$A$5:$A$504,0)),""))</f>
        <v/>
      </c>
      <c r="F169" s="2">
        <f>IF($D169="","",IFERROR(INDEX(Units_Owners!$C$5:$C$504,MATCH($D169,Units_Owners!$A$5:$A$504,0)),""))</f>
        <v/>
      </c>
      <c r="G169" s="2">
        <f>IF($D169="","",IFERROR(INDEX(Units_Owners!$D$5:$D$504,MATCH($D169,Units_Owners!$A$5:$A$504,0)),""))</f>
        <v/>
      </c>
      <c r="H169" s="12">
        <f>Setup!$B$7</f>
        <v/>
      </c>
      <c r="I169" s="12">
        <f>Setup!$B$8</f>
        <v/>
      </c>
      <c r="J169" s="13">
        <f>IF($D169="","",IFERROR(INDEX(Units_Owners!$J$5:$J$504,MATCH($D169,Units_Owners!$A$5:$A$504,0)),0)+SUMIFS(Ledger!$F:$F,Ledger!$B:$B,$D169,Ledger!$D:$D,"&lt;"&amp;$H169)-SUMIFS(Ledger!$G:$G,Ledger!$B:$B,$D169,Ledger!$D:$D,"&lt;"&amp;$H169))</f>
        <v/>
      </c>
      <c r="K169" s="13">
        <f>IF($D169="","",IFERROR(INDEX(Units_Owners!$H$5:$H$504,MATCH($D169,Units_Owners!$A$5:$A$504,0)),Setup!$B$10))</f>
        <v/>
      </c>
      <c r="L169" s="13">
        <f>IF($D169="","",Setup!$B$11)</f>
        <v/>
      </c>
      <c r="M169" s="13">
        <f>IF($D169="","",IF(AND(TODAY()&gt;=Setup!$B$9,$P169&gt;0),Setup!$B$12,0))</f>
        <v/>
      </c>
      <c r="N169" s="13">
        <f>IF($D169="","",SUM($J169:$M169))</f>
        <v/>
      </c>
      <c r="O169" s="13">
        <f>IF($A169="","",SUMIFS(Payments!$F:$F,Payments!$D:$D,$A169))</f>
        <v/>
      </c>
      <c r="P169" s="13">
        <f>IF($D169="","",MAX(0,$N169-$O169))</f>
        <v/>
      </c>
      <c r="Q169" s="2">
        <f>IF($D169="","",IF(IFERROR(INDEX(Units_Owners!$I$5:$I$504,MATCH($D169,Units_Owners!$A$5:$A$504,0)),"No")&lt;&gt;"Yes","Skip - Inactive",IF($P169=0,"Paid",IF(TODAY()&gt;$I169,"Past Due","Open"))))</f>
        <v/>
      </c>
      <c r="R169" s="12" t="n"/>
      <c r="S169" s="2" t="n"/>
    </row>
    <row r="170">
      <c r="A170" s="2">
        <f>IF($D170="","","INV-"&amp;$B170&amp;"-"&amp;$C170&amp;"-"&amp;TEXT(ROW(A166),"0000"))</f>
        <v/>
      </c>
      <c r="B170" s="2">
        <f>Setup!$B$5</f>
        <v/>
      </c>
      <c r="C170" s="2">
        <f>Setup!$B$6</f>
        <v/>
      </c>
      <c r="D170" s="2">
        <f>IFERROR(INDEX(Units_Owners!$A$5:$A$504,ROWS($A$5:A170)),"")</f>
        <v/>
      </c>
      <c r="E170" s="2">
        <f>IF($D170="","",IFERROR(INDEX(Units_Owners!$B$5:$B$504,MATCH($D170,Units_Owners!$A$5:$A$504,0)),""))</f>
        <v/>
      </c>
      <c r="F170" s="2">
        <f>IF($D170="","",IFERROR(INDEX(Units_Owners!$C$5:$C$504,MATCH($D170,Units_Owners!$A$5:$A$504,0)),""))</f>
        <v/>
      </c>
      <c r="G170" s="2">
        <f>IF($D170="","",IFERROR(INDEX(Units_Owners!$D$5:$D$504,MATCH($D170,Units_Owners!$A$5:$A$504,0)),""))</f>
        <v/>
      </c>
      <c r="H170" s="12">
        <f>Setup!$B$7</f>
        <v/>
      </c>
      <c r="I170" s="12">
        <f>Setup!$B$8</f>
        <v/>
      </c>
      <c r="J170" s="13">
        <f>IF($D170="","",IFERROR(INDEX(Units_Owners!$J$5:$J$504,MATCH($D170,Units_Owners!$A$5:$A$504,0)),0)+SUMIFS(Ledger!$F:$F,Ledger!$B:$B,$D170,Ledger!$D:$D,"&lt;"&amp;$H170)-SUMIFS(Ledger!$G:$G,Ledger!$B:$B,$D170,Ledger!$D:$D,"&lt;"&amp;$H170))</f>
        <v/>
      </c>
      <c r="K170" s="13">
        <f>IF($D170="","",IFERROR(INDEX(Units_Owners!$H$5:$H$504,MATCH($D170,Units_Owners!$A$5:$A$504,0)),Setup!$B$10))</f>
        <v/>
      </c>
      <c r="L170" s="13">
        <f>IF($D170="","",Setup!$B$11)</f>
        <v/>
      </c>
      <c r="M170" s="13">
        <f>IF($D170="","",IF(AND(TODAY()&gt;=Setup!$B$9,$P170&gt;0),Setup!$B$12,0))</f>
        <v/>
      </c>
      <c r="N170" s="13">
        <f>IF($D170="","",SUM($J170:$M170))</f>
        <v/>
      </c>
      <c r="O170" s="13">
        <f>IF($A170="","",SUMIFS(Payments!$F:$F,Payments!$D:$D,$A170))</f>
        <v/>
      </c>
      <c r="P170" s="13">
        <f>IF($D170="","",MAX(0,$N170-$O170))</f>
        <v/>
      </c>
      <c r="Q170" s="2">
        <f>IF($D170="","",IF(IFERROR(INDEX(Units_Owners!$I$5:$I$504,MATCH($D170,Units_Owners!$A$5:$A$504,0)),"No")&lt;&gt;"Yes","Skip - Inactive",IF($P170=0,"Paid",IF(TODAY()&gt;$I170,"Past Due","Open"))))</f>
        <v/>
      </c>
      <c r="R170" s="14" t="n"/>
      <c r="S170" s="6" t="n"/>
    </row>
    <row r="171">
      <c r="A171" s="2">
        <f>IF($D171="","","INV-"&amp;$B171&amp;"-"&amp;$C171&amp;"-"&amp;TEXT(ROW(A167),"0000"))</f>
        <v/>
      </c>
      <c r="B171" s="2">
        <f>Setup!$B$5</f>
        <v/>
      </c>
      <c r="C171" s="2">
        <f>Setup!$B$6</f>
        <v/>
      </c>
      <c r="D171" s="2">
        <f>IFERROR(INDEX(Units_Owners!$A$5:$A$504,ROWS($A$5:A171)),"")</f>
        <v/>
      </c>
      <c r="E171" s="2">
        <f>IF($D171="","",IFERROR(INDEX(Units_Owners!$B$5:$B$504,MATCH($D171,Units_Owners!$A$5:$A$504,0)),""))</f>
        <v/>
      </c>
      <c r="F171" s="2">
        <f>IF($D171="","",IFERROR(INDEX(Units_Owners!$C$5:$C$504,MATCH($D171,Units_Owners!$A$5:$A$504,0)),""))</f>
        <v/>
      </c>
      <c r="G171" s="2">
        <f>IF($D171="","",IFERROR(INDEX(Units_Owners!$D$5:$D$504,MATCH($D171,Units_Owners!$A$5:$A$504,0)),""))</f>
        <v/>
      </c>
      <c r="H171" s="12">
        <f>Setup!$B$7</f>
        <v/>
      </c>
      <c r="I171" s="12">
        <f>Setup!$B$8</f>
        <v/>
      </c>
      <c r="J171" s="13">
        <f>IF($D171="","",IFERROR(INDEX(Units_Owners!$J$5:$J$504,MATCH($D171,Units_Owners!$A$5:$A$504,0)),0)+SUMIFS(Ledger!$F:$F,Ledger!$B:$B,$D171,Ledger!$D:$D,"&lt;"&amp;$H171)-SUMIFS(Ledger!$G:$G,Ledger!$B:$B,$D171,Ledger!$D:$D,"&lt;"&amp;$H171))</f>
        <v/>
      </c>
      <c r="K171" s="13">
        <f>IF($D171="","",IFERROR(INDEX(Units_Owners!$H$5:$H$504,MATCH($D171,Units_Owners!$A$5:$A$504,0)),Setup!$B$10))</f>
        <v/>
      </c>
      <c r="L171" s="13">
        <f>IF($D171="","",Setup!$B$11)</f>
        <v/>
      </c>
      <c r="M171" s="13">
        <f>IF($D171="","",IF(AND(TODAY()&gt;=Setup!$B$9,$P171&gt;0),Setup!$B$12,0))</f>
        <v/>
      </c>
      <c r="N171" s="13">
        <f>IF($D171="","",SUM($J171:$M171))</f>
        <v/>
      </c>
      <c r="O171" s="13">
        <f>IF($A171="","",SUMIFS(Payments!$F:$F,Payments!$D:$D,$A171))</f>
        <v/>
      </c>
      <c r="P171" s="13">
        <f>IF($D171="","",MAX(0,$N171-$O171))</f>
        <v/>
      </c>
      <c r="Q171" s="2">
        <f>IF($D171="","",IF(IFERROR(INDEX(Units_Owners!$I$5:$I$504,MATCH($D171,Units_Owners!$A$5:$A$504,0)),"No")&lt;&gt;"Yes","Skip - Inactive",IF($P171=0,"Paid",IF(TODAY()&gt;$I171,"Past Due","Open"))))</f>
        <v/>
      </c>
      <c r="R171" s="12" t="n"/>
      <c r="S171" s="2" t="n"/>
    </row>
    <row r="172">
      <c r="A172" s="2">
        <f>IF($D172="","","INV-"&amp;$B172&amp;"-"&amp;$C172&amp;"-"&amp;TEXT(ROW(A168),"0000"))</f>
        <v/>
      </c>
      <c r="B172" s="2">
        <f>Setup!$B$5</f>
        <v/>
      </c>
      <c r="C172" s="2">
        <f>Setup!$B$6</f>
        <v/>
      </c>
      <c r="D172" s="2">
        <f>IFERROR(INDEX(Units_Owners!$A$5:$A$504,ROWS($A$5:A172)),"")</f>
        <v/>
      </c>
      <c r="E172" s="2">
        <f>IF($D172="","",IFERROR(INDEX(Units_Owners!$B$5:$B$504,MATCH($D172,Units_Owners!$A$5:$A$504,0)),""))</f>
        <v/>
      </c>
      <c r="F172" s="2">
        <f>IF($D172="","",IFERROR(INDEX(Units_Owners!$C$5:$C$504,MATCH($D172,Units_Owners!$A$5:$A$504,0)),""))</f>
        <v/>
      </c>
      <c r="G172" s="2">
        <f>IF($D172="","",IFERROR(INDEX(Units_Owners!$D$5:$D$504,MATCH($D172,Units_Owners!$A$5:$A$504,0)),""))</f>
        <v/>
      </c>
      <c r="H172" s="12">
        <f>Setup!$B$7</f>
        <v/>
      </c>
      <c r="I172" s="12">
        <f>Setup!$B$8</f>
        <v/>
      </c>
      <c r="J172" s="13">
        <f>IF($D172="","",IFERROR(INDEX(Units_Owners!$J$5:$J$504,MATCH($D172,Units_Owners!$A$5:$A$504,0)),0)+SUMIFS(Ledger!$F:$F,Ledger!$B:$B,$D172,Ledger!$D:$D,"&lt;"&amp;$H172)-SUMIFS(Ledger!$G:$G,Ledger!$B:$B,$D172,Ledger!$D:$D,"&lt;"&amp;$H172))</f>
        <v/>
      </c>
      <c r="K172" s="13">
        <f>IF($D172="","",IFERROR(INDEX(Units_Owners!$H$5:$H$504,MATCH($D172,Units_Owners!$A$5:$A$504,0)),Setup!$B$10))</f>
        <v/>
      </c>
      <c r="L172" s="13">
        <f>IF($D172="","",Setup!$B$11)</f>
        <v/>
      </c>
      <c r="M172" s="13">
        <f>IF($D172="","",IF(AND(TODAY()&gt;=Setup!$B$9,$P172&gt;0),Setup!$B$12,0))</f>
        <v/>
      </c>
      <c r="N172" s="13">
        <f>IF($D172="","",SUM($J172:$M172))</f>
        <v/>
      </c>
      <c r="O172" s="13">
        <f>IF($A172="","",SUMIFS(Payments!$F:$F,Payments!$D:$D,$A172))</f>
        <v/>
      </c>
      <c r="P172" s="13">
        <f>IF($D172="","",MAX(0,$N172-$O172))</f>
        <v/>
      </c>
      <c r="Q172" s="2">
        <f>IF($D172="","",IF(IFERROR(INDEX(Units_Owners!$I$5:$I$504,MATCH($D172,Units_Owners!$A$5:$A$504,0)),"No")&lt;&gt;"Yes","Skip - Inactive",IF($P172=0,"Paid",IF(TODAY()&gt;$I172,"Past Due","Open"))))</f>
        <v/>
      </c>
      <c r="R172" s="14" t="n"/>
      <c r="S172" s="6" t="n"/>
    </row>
    <row r="173">
      <c r="A173" s="2">
        <f>IF($D173="","","INV-"&amp;$B173&amp;"-"&amp;$C173&amp;"-"&amp;TEXT(ROW(A169),"0000"))</f>
        <v/>
      </c>
      <c r="B173" s="2">
        <f>Setup!$B$5</f>
        <v/>
      </c>
      <c r="C173" s="2">
        <f>Setup!$B$6</f>
        <v/>
      </c>
      <c r="D173" s="2">
        <f>IFERROR(INDEX(Units_Owners!$A$5:$A$504,ROWS($A$5:A173)),"")</f>
        <v/>
      </c>
      <c r="E173" s="2">
        <f>IF($D173="","",IFERROR(INDEX(Units_Owners!$B$5:$B$504,MATCH($D173,Units_Owners!$A$5:$A$504,0)),""))</f>
        <v/>
      </c>
      <c r="F173" s="2">
        <f>IF($D173="","",IFERROR(INDEX(Units_Owners!$C$5:$C$504,MATCH($D173,Units_Owners!$A$5:$A$504,0)),""))</f>
        <v/>
      </c>
      <c r="G173" s="2">
        <f>IF($D173="","",IFERROR(INDEX(Units_Owners!$D$5:$D$504,MATCH($D173,Units_Owners!$A$5:$A$504,0)),""))</f>
        <v/>
      </c>
      <c r="H173" s="12">
        <f>Setup!$B$7</f>
        <v/>
      </c>
      <c r="I173" s="12">
        <f>Setup!$B$8</f>
        <v/>
      </c>
      <c r="J173" s="13">
        <f>IF($D173="","",IFERROR(INDEX(Units_Owners!$J$5:$J$504,MATCH($D173,Units_Owners!$A$5:$A$504,0)),0)+SUMIFS(Ledger!$F:$F,Ledger!$B:$B,$D173,Ledger!$D:$D,"&lt;"&amp;$H173)-SUMIFS(Ledger!$G:$G,Ledger!$B:$B,$D173,Ledger!$D:$D,"&lt;"&amp;$H173))</f>
        <v/>
      </c>
      <c r="K173" s="13">
        <f>IF($D173="","",IFERROR(INDEX(Units_Owners!$H$5:$H$504,MATCH($D173,Units_Owners!$A$5:$A$504,0)),Setup!$B$10))</f>
        <v/>
      </c>
      <c r="L173" s="13">
        <f>IF($D173="","",Setup!$B$11)</f>
        <v/>
      </c>
      <c r="M173" s="13">
        <f>IF($D173="","",IF(AND(TODAY()&gt;=Setup!$B$9,$P173&gt;0),Setup!$B$12,0))</f>
        <v/>
      </c>
      <c r="N173" s="13">
        <f>IF($D173="","",SUM($J173:$M173))</f>
        <v/>
      </c>
      <c r="O173" s="13">
        <f>IF($A173="","",SUMIFS(Payments!$F:$F,Payments!$D:$D,$A173))</f>
        <v/>
      </c>
      <c r="P173" s="13">
        <f>IF($D173="","",MAX(0,$N173-$O173))</f>
        <v/>
      </c>
      <c r="Q173" s="2">
        <f>IF($D173="","",IF(IFERROR(INDEX(Units_Owners!$I$5:$I$504,MATCH($D173,Units_Owners!$A$5:$A$504,0)),"No")&lt;&gt;"Yes","Skip - Inactive",IF($P173=0,"Paid",IF(TODAY()&gt;$I173,"Past Due","Open"))))</f>
        <v/>
      </c>
      <c r="R173" s="12" t="n"/>
      <c r="S173" s="2" t="n"/>
    </row>
    <row r="174">
      <c r="A174" s="2">
        <f>IF($D174="","","INV-"&amp;$B174&amp;"-"&amp;$C174&amp;"-"&amp;TEXT(ROW(A170),"0000"))</f>
        <v/>
      </c>
      <c r="B174" s="2">
        <f>Setup!$B$5</f>
        <v/>
      </c>
      <c r="C174" s="2">
        <f>Setup!$B$6</f>
        <v/>
      </c>
      <c r="D174" s="2">
        <f>IFERROR(INDEX(Units_Owners!$A$5:$A$504,ROWS($A$5:A174)),"")</f>
        <v/>
      </c>
      <c r="E174" s="2">
        <f>IF($D174="","",IFERROR(INDEX(Units_Owners!$B$5:$B$504,MATCH($D174,Units_Owners!$A$5:$A$504,0)),""))</f>
        <v/>
      </c>
      <c r="F174" s="2">
        <f>IF($D174="","",IFERROR(INDEX(Units_Owners!$C$5:$C$504,MATCH($D174,Units_Owners!$A$5:$A$504,0)),""))</f>
        <v/>
      </c>
      <c r="G174" s="2">
        <f>IF($D174="","",IFERROR(INDEX(Units_Owners!$D$5:$D$504,MATCH($D174,Units_Owners!$A$5:$A$504,0)),""))</f>
        <v/>
      </c>
      <c r="H174" s="12">
        <f>Setup!$B$7</f>
        <v/>
      </c>
      <c r="I174" s="12">
        <f>Setup!$B$8</f>
        <v/>
      </c>
      <c r="J174" s="13">
        <f>IF($D174="","",IFERROR(INDEX(Units_Owners!$J$5:$J$504,MATCH($D174,Units_Owners!$A$5:$A$504,0)),0)+SUMIFS(Ledger!$F:$F,Ledger!$B:$B,$D174,Ledger!$D:$D,"&lt;"&amp;$H174)-SUMIFS(Ledger!$G:$G,Ledger!$B:$B,$D174,Ledger!$D:$D,"&lt;"&amp;$H174))</f>
        <v/>
      </c>
      <c r="K174" s="13">
        <f>IF($D174="","",IFERROR(INDEX(Units_Owners!$H$5:$H$504,MATCH($D174,Units_Owners!$A$5:$A$504,0)),Setup!$B$10))</f>
        <v/>
      </c>
      <c r="L174" s="13">
        <f>IF($D174="","",Setup!$B$11)</f>
        <v/>
      </c>
      <c r="M174" s="13">
        <f>IF($D174="","",IF(AND(TODAY()&gt;=Setup!$B$9,$P174&gt;0),Setup!$B$12,0))</f>
        <v/>
      </c>
      <c r="N174" s="13">
        <f>IF($D174="","",SUM($J174:$M174))</f>
        <v/>
      </c>
      <c r="O174" s="13">
        <f>IF($A174="","",SUMIFS(Payments!$F:$F,Payments!$D:$D,$A174))</f>
        <v/>
      </c>
      <c r="P174" s="13">
        <f>IF($D174="","",MAX(0,$N174-$O174))</f>
        <v/>
      </c>
      <c r="Q174" s="2">
        <f>IF($D174="","",IF(IFERROR(INDEX(Units_Owners!$I$5:$I$504,MATCH($D174,Units_Owners!$A$5:$A$504,0)),"No")&lt;&gt;"Yes","Skip - Inactive",IF($P174=0,"Paid",IF(TODAY()&gt;$I174,"Past Due","Open"))))</f>
        <v/>
      </c>
      <c r="R174" s="14" t="n"/>
      <c r="S174" s="6" t="n"/>
    </row>
    <row r="175">
      <c r="A175" s="2">
        <f>IF($D175="","","INV-"&amp;$B175&amp;"-"&amp;$C175&amp;"-"&amp;TEXT(ROW(A171),"0000"))</f>
        <v/>
      </c>
      <c r="B175" s="2">
        <f>Setup!$B$5</f>
        <v/>
      </c>
      <c r="C175" s="2">
        <f>Setup!$B$6</f>
        <v/>
      </c>
      <c r="D175" s="2">
        <f>IFERROR(INDEX(Units_Owners!$A$5:$A$504,ROWS($A$5:A175)),"")</f>
        <v/>
      </c>
      <c r="E175" s="2">
        <f>IF($D175="","",IFERROR(INDEX(Units_Owners!$B$5:$B$504,MATCH($D175,Units_Owners!$A$5:$A$504,0)),""))</f>
        <v/>
      </c>
      <c r="F175" s="2">
        <f>IF($D175="","",IFERROR(INDEX(Units_Owners!$C$5:$C$504,MATCH($D175,Units_Owners!$A$5:$A$504,0)),""))</f>
        <v/>
      </c>
      <c r="G175" s="2">
        <f>IF($D175="","",IFERROR(INDEX(Units_Owners!$D$5:$D$504,MATCH($D175,Units_Owners!$A$5:$A$504,0)),""))</f>
        <v/>
      </c>
      <c r="H175" s="12">
        <f>Setup!$B$7</f>
        <v/>
      </c>
      <c r="I175" s="12">
        <f>Setup!$B$8</f>
        <v/>
      </c>
      <c r="J175" s="13">
        <f>IF($D175="","",IFERROR(INDEX(Units_Owners!$J$5:$J$504,MATCH($D175,Units_Owners!$A$5:$A$504,0)),0)+SUMIFS(Ledger!$F:$F,Ledger!$B:$B,$D175,Ledger!$D:$D,"&lt;"&amp;$H175)-SUMIFS(Ledger!$G:$G,Ledger!$B:$B,$D175,Ledger!$D:$D,"&lt;"&amp;$H175))</f>
        <v/>
      </c>
      <c r="K175" s="13">
        <f>IF($D175="","",IFERROR(INDEX(Units_Owners!$H$5:$H$504,MATCH($D175,Units_Owners!$A$5:$A$504,0)),Setup!$B$10))</f>
        <v/>
      </c>
      <c r="L175" s="13">
        <f>IF($D175="","",Setup!$B$11)</f>
        <v/>
      </c>
      <c r="M175" s="13">
        <f>IF($D175="","",IF(AND(TODAY()&gt;=Setup!$B$9,$P175&gt;0),Setup!$B$12,0))</f>
        <v/>
      </c>
      <c r="N175" s="13">
        <f>IF($D175="","",SUM($J175:$M175))</f>
        <v/>
      </c>
      <c r="O175" s="13">
        <f>IF($A175="","",SUMIFS(Payments!$F:$F,Payments!$D:$D,$A175))</f>
        <v/>
      </c>
      <c r="P175" s="13">
        <f>IF($D175="","",MAX(0,$N175-$O175))</f>
        <v/>
      </c>
      <c r="Q175" s="2">
        <f>IF($D175="","",IF(IFERROR(INDEX(Units_Owners!$I$5:$I$504,MATCH($D175,Units_Owners!$A$5:$A$504,0)),"No")&lt;&gt;"Yes","Skip - Inactive",IF($P175=0,"Paid",IF(TODAY()&gt;$I175,"Past Due","Open"))))</f>
        <v/>
      </c>
      <c r="R175" s="12" t="n"/>
      <c r="S175" s="2" t="n"/>
    </row>
    <row r="176">
      <c r="A176" s="2">
        <f>IF($D176="","","INV-"&amp;$B176&amp;"-"&amp;$C176&amp;"-"&amp;TEXT(ROW(A172),"0000"))</f>
        <v/>
      </c>
      <c r="B176" s="2">
        <f>Setup!$B$5</f>
        <v/>
      </c>
      <c r="C176" s="2">
        <f>Setup!$B$6</f>
        <v/>
      </c>
      <c r="D176" s="2">
        <f>IFERROR(INDEX(Units_Owners!$A$5:$A$504,ROWS($A$5:A176)),"")</f>
        <v/>
      </c>
      <c r="E176" s="2">
        <f>IF($D176="","",IFERROR(INDEX(Units_Owners!$B$5:$B$504,MATCH($D176,Units_Owners!$A$5:$A$504,0)),""))</f>
        <v/>
      </c>
      <c r="F176" s="2">
        <f>IF($D176="","",IFERROR(INDEX(Units_Owners!$C$5:$C$504,MATCH($D176,Units_Owners!$A$5:$A$504,0)),""))</f>
        <v/>
      </c>
      <c r="G176" s="2">
        <f>IF($D176="","",IFERROR(INDEX(Units_Owners!$D$5:$D$504,MATCH($D176,Units_Owners!$A$5:$A$504,0)),""))</f>
        <v/>
      </c>
      <c r="H176" s="12">
        <f>Setup!$B$7</f>
        <v/>
      </c>
      <c r="I176" s="12">
        <f>Setup!$B$8</f>
        <v/>
      </c>
      <c r="J176" s="13">
        <f>IF($D176="","",IFERROR(INDEX(Units_Owners!$J$5:$J$504,MATCH($D176,Units_Owners!$A$5:$A$504,0)),0)+SUMIFS(Ledger!$F:$F,Ledger!$B:$B,$D176,Ledger!$D:$D,"&lt;"&amp;$H176)-SUMIFS(Ledger!$G:$G,Ledger!$B:$B,$D176,Ledger!$D:$D,"&lt;"&amp;$H176))</f>
        <v/>
      </c>
      <c r="K176" s="13">
        <f>IF($D176="","",IFERROR(INDEX(Units_Owners!$H$5:$H$504,MATCH($D176,Units_Owners!$A$5:$A$504,0)),Setup!$B$10))</f>
        <v/>
      </c>
      <c r="L176" s="13">
        <f>IF($D176="","",Setup!$B$11)</f>
        <v/>
      </c>
      <c r="M176" s="13">
        <f>IF($D176="","",IF(AND(TODAY()&gt;=Setup!$B$9,$P176&gt;0),Setup!$B$12,0))</f>
        <v/>
      </c>
      <c r="N176" s="13">
        <f>IF($D176="","",SUM($J176:$M176))</f>
        <v/>
      </c>
      <c r="O176" s="13">
        <f>IF($A176="","",SUMIFS(Payments!$F:$F,Payments!$D:$D,$A176))</f>
        <v/>
      </c>
      <c r="P176" s="13">
        <f>IF($D176="","",MAX(0,$N176-$O176))</f>
        <v/>
      </c>
      <c r="Q176" s="2">
        <f>IF($D176="","",IF(IFERROR(INDEX(Units_Owners!$I$5:$I$504,MATCH($D176,Units_Owners!$A$5:$A$504,0)),"No")&lt;&gt;"Yes","Skip - Inactive",IF($P176=0,"Paid",IF(TODAY()&gt;$I176,"Past Due","Open"))))</f>
        <v/>
      </c>
      <c r="R176" s="14" t="n"/>
      <c r="S176" s="6" t="n"/>
    </row>
    <row r="177">
      <c r="A177" s="2">
        <f>IF($D177="","","INV-"&amp;$B177&amp;"-"&amp;$C177&amp;"-"&amp;TEXT(ROW(A173),"0000"))</f>
        <v/>
      </c>
      <c r="B177" s="2">
        <f>Setup!$B$5</f>
        <v/>
      </c>
      <c r="C177" s="2">
        <f>Setup!$B$6</f>
        <v/>
      </c>
      <c r="D177" s="2">
        <f>IFERROR(INDEX(Units_Owners!$A$5:$A$504,ROWS($A$5:A177)),"")</f>
        <v/>
      </c>
      <c r="E177" s="2">
        <f>IF($D177="","",IFERROR(INDEX(Units_Owners!$B$5:$B$504,MATCH($D177,Units_Owners!$A$5:$A$504,0)),""))</f>
        <v/>
      </c>
      <c r="F177" s="2">
        <f>IF($D177="","",IFERROR(INDEX(Units_Owners!$C$5:$C$504,MATCH($D177,Units_Owners!$A$5:$A$504,0)),""))</f>
        <v/>
      </c>
      <c r="G177" s="2">
        <f>IF($D177="","",IFERROR(INDEX(Units_Owners!$D$5:$D$504,MATCH($D177,Units_Owners!$A$5:$A$504,0)),""))</f>
        <v/>
      </c>
      <c r="H177" s="12">
        <f>Setup!$B$7</f>
        <v/>
      </c>
      <c r="I177" s="12">
        <f>Setup!$B$8</f>
        <v/>
      </c>
      <c r="J177" s="13">
        <f>IF($D177="","",IFERROR(INDEX(Units_Owners!$J$5:$J$504,MATCH($D177,Units_Owners!$A$5:$A$504,0)),0)+SUMIFS(Ledger!$F:$F,Ledger!$B:$B,$D177,Ledger!$D:$D,"&lt;"&amp;$H177)-SUMIFS(Ledger!$G:$G,Ledger!$B:$B,$D177,Ledger!$D:$D,"&lt;"&amp;$H177))</f>
        <v/>
      </c>
      <c r="K177" s="13">
        <f>IF($D177="","",IFERROR(INDEX(Units_Owners!$H$5:$H$504,MATCH($D177,Units_Owners!$A$5:$A$504,0)),Setup!$B$10))</f>
        <v/>
      </c>
      <c r="L177" s="13">
        <f>IF($D177="","",Setup!$B$11)</f>
        <v/>
      </c>
      <c r="M177" s="13">
        <f>IF($D177="","",IF(AND(TODAY()&gt;=Setup!$B$9,$P177&gt;0),Setup!$B$12,0))</f>
        <v/>
      </c>
      <c r="N177" s="13">
        <f>IF($D177="","",SUM($J177:$M177))</f>
        <v/>
      </c>
      <c r="O177" s="13">
        <f>IF($A177="","",SUMIFS(Payments!$F:$F,Payments!$D:$D,$A177))</f>
        <v/>
      </c>
      <c r="P177" s="13">
        <f>IF($D177="","",MAX(0,$N177-$O177))</f>
        <v/>
      </c>
      <c r="Q177" s="2">
        <f>IF($D177="","",IF(IFERROR(INDEX(Units_Owners!$I$5:$I$504,MATCH($D177,Units_Owners!$A$5:$A$504,0)),"No")&lt;&gt;"Yes","Skip - Inactive",IF($P177=0,"Paid",IF(TODAY()&gt;$I177,"Past Due","Open"))))</f>
        <v/>
      </c>
      <c r="R177" s="12" t="n"/>
      <c r="S177" s="2" t="n"/>
    </row>
    <row r="178">
      <c r="A178" s="2">
        <f>IF($D178="","","INV-"&amp;$B178&amp;"-"&amp;$C178&amp;"-"&amp;TEXT(ROW(A174),"0000"))</f>
        <v/>
      </c>
      <c r="B178" s="2">
        <f>Setup!$B$5</f>
        <v/>
      </c>
      <c r="C178" s="2">
        <f>Setup!$B$6</f>
        <v/>
      </c>
      <c r="D178" s="2">
        <f>IFERROR(INDEX(Units_Owners!$A$5:$A$504,ROWS($A$5:A178)),"")</f>
        <v/>
      </c>
      <c r="E178" s="2">
        <f>IF($D178="","",IFERROR(INDEX(Units_Owners!$B$5:$B$504,MATCH($D178,Units_Owners!$A$5:$A$504,0)),""))</f>
        <v/>
      </c>
      <c r="F178" s="2">
        <f>IF($D178="","",IFERROR(INDEX(Units_Owners!$C$5:$C$504,MATCH($D178,Units_Owners!$A$5:$A$504,0)),""))</f>
        <v/>
      </c>
      <c r="G178" s="2">
        <f>IF($D178="","",IFERROR(INDEX(Units_Owners!$D$5:$D$504,MATCH($D178,Units_Owners!$A$5:$A$504,0)),""))</f>
        <v/>
      </c>
      <c r="H178" s="12">
        <f>Setup!$B$7</f>
        <v/>
      </c>
      <c r="I178" s="12">
        <f>Setup!$B$8</f>
        <v/>
      </c>
      <c r="J178" s="13">
        <f>IF($D178="","",IFERROR(INDEX(Units_Owners!$J$5:$J$504,MATCH($D178,Units_Owners!$A$5:$A$504,0)),0)+SUMIFS(Ledger!$F:$F,Ledger!$B:$B,$D178,Ledger!$D:$D,"&lt;"&amp;$H178)-SUMIFS(Ledger!$G:$G,Ledger!$B:$B,$D178,Ledger!$D:$D,"&lt;"&amp;$H178))</f>
        <v/>
      </c>
      <c r="K178" s="13">
        <f>IF($D178="","",IFERROR(INDEX(Units_Owners!$H$5:$H$504,MATCH($D178,Units_Owners!$A$5:$A$504,0)),Setup!$B$10))</f>
        <v/>
      </c>
      <c r="L178" s="13">
        <f>IF($D178="","",Setup!$B$11)</f>
        <v/>
      </c>
      <c r="M178" s="13">
        <f>IF($D178="","",IF(AND(TODAY()&gt;=Setup!$B$9,$P178&gt;0),Setup!$B$12,0))</f>
        <v/>
      </c>
      <c r="N178" s="13">
        <f>IF($D178="","",SUM($J178:$M178))</f>
        <v/>
      </c>
      <c r="O178" s="13">
        <f>IF($A178="","",SUMIFS(Payments!$F:$F,Payments!$D:$D,$A178))</f>
        <v/>
      </c>
      <c r="P178" s="13">
        <f>IF($D178="","",MAX(0,$N178-$O178))</f>
        <v/>
      </c>
      <c r="Q178" s="2">
        <f>IF($D178="","",IF(IFERROR(INDEX(Units_Owners!$I$5:$I$504,MATCH($D178,Units_Owners!$A$5:$A$504,0)),"No")&lt;&gt;"Yes","Skip - Inactive",IF($P178=0,"Paid",IF(TODAY()&gt;$I178,"Past Due","Open"))))</f>
        <v/>
      </c>
      <c r="R178" s="14" t="n"/>
      <c r="S178" s="6" t="n"/>
    </row>
    <row r="179">
      <c r="A179" s="2">
        <f>IF($D179="","","INV-"&amp;$B179&amp;"-"&amp;$C179&amp;"-"&amp;TEXT(ROW(A175),"0000"))</f>
        <v/>
      </c>
      <c r="B179" s="2">
        <f>Setup!$B$5</f>
        <v/>
      </c>
      <c r="C179" s="2">
        <f>Setup!$B$6</f>
        <v/>
      </c>
      <c r="D179" s="2">
        <f>IFERROR(INDEX(Units_Owners!$A$5:$A$504,ROWS($A$5:A179)),"")</f>
        <v/>
      </c>
      <c r="E179" s="2">
        <f>IF($D179="","",IFERROR(INDEX(Units_Owners!$B$5:$B$504,MATCH($D179,Units_Owners!$A$5:$A$504,0)),""))</f>
        <v/>
      </c>
      <c r="F179" s="2">
        <f>IF($D179="","",IFERROR(INDEX(Units_Owners!$C$5:$C$504,MATCH($D179,Units_Owners!$A$5:$A$504,0)),""))</f>
        <v/>
      </c>
      <c r="G179" s="2">
        <f>IF($D179="","",IFERROR(INDEX(Units_Owners!$D$5:$D$504,MATCH($D179,Units_Owners!$A$5:$A$504,0)),""))</f>
        <v/>
      </c>
      <c r="H179" s="12">
        <f>Setup!$B$7</f>
        <v/>
      </c>
      <c r="I179" s="12">
        <f>Setup!$B$8</f>
        <v/>
      </c>
      <c r="J179" s="13">
        <f>IF($D179="","",IFERROR(INDEX(Units_Owners!$J$5:$J$504,MATCH($D179,Units_Owners!$A$5:$A$504,0)),0)+SUMIFS(Ledger!$F:$F,Ledger!$B:$B,$D179,Ledger!$D:$D,"&lt;"&amp;$H179)-SUMIFS(Ledger!$G:$G,Ledger!$B:$B,$D179,Ledger!$D:$D,"&lt;"&amp;$H179))</f>
        <v/>
      </c>
      <c r="K179" s="13">
        <f>IF($D179="","",IFERROR(INDEX(Units_Owners!$H$5:$H$504,MATCH($D179,Units_Owners!$A$5:$A$504,0)),Setup!$B$10))</f>
        <v/>
      </c>
      <c r="L179" s="13">
        <f>IF($D179="","",Setup!$B$11)</f>
        <v/>
      </c>
      <c r="M179" s="13">
        <f>IF($D179="","",IF(AND(TODAY()&gt;=Setup!$B$9,$P179&gt;0),Setup!$B$12,0))</f>
        <v/>
      </c>
      <c r="N179" s="13">
        <f>IF($D179="","",SUM($J179:$M179))</f>
        <v/>
      </c>
      <c r="O179" s="13">
        <f>IF($A179="","",SUMIFS(Payments!$F:$F,Payments!$D:$D,$A179))</f>
        <v/>
      </c>
      <c r="P179" s="13">
        <f>IF($D179="","",MAX(0,$N179-$O179))</f>
        <v/>
      </c>
      <c r="Q179" s="2">
        <f>IF($D179="","",IF(IFERROR(INDEX(Units_Owners!$I$5:$I$504,MATCH($D179,Units_Owners!$A$5:$A$504,0)),"No")&lt;&gt;"Yes","Skip - Inactive",IF($P179=0,"Paid",IF(TODAY()&gt;$I179,"Past Due","Open"))))</f>
        <v/>
      </c>
      <c r="R179" s="12" t="n"/>
      <c r="S179" s="2" t="n"/>
    </row>
    <row r="180">
      <c r="A180" s="2">
        <f>IF($D180="","","INV-"&amp;$B180&amp;"-"&amp;$C180&amp;"-"&amp;TEXT(ROW(A176),"0000"))</f>
        <v/>
      </c>
      <c r="B180" s="2">
        <f>Setup!$B$5</f>
        <v/>
      </c>
      <c r="C180" s="2">
        <f>Setup!$B$6</f>
        <v/>
      </c>
      <c r="D180" s="2">
        <f>IFERROR(INDEX(Units_Owners!$A$5:$A$504,ROWS($A$5:A180)),"")</f>
        <v/>
      </c>
      <c r="E180" s="2">
        <f>IF($D180="","",IFERROR(INDEX(Units_Owners!$B$5:$B$504,MATCH($D180,Units_Owners!$A$5:$A$504,0)),""))</f>
        <v/>
      </c>
      <c r="F180" s="2">
        <f>IF($D180="","",IFERROR(INDEX(Units_Owners!$C$5:$C$504,MATCH($D180,Units_Owners!$A$5:$A$504,0)),""))</f>
        <v/>
      </c>
      <c r="G180" s="2">
        <f>IF($D180="","",IFERROR(INDEX(Units_Owners!$D$5:$D$504,MATCH($D180,Units_Owners!$A$5:$A$504,0)),""))</f>
        <v/>
      </c>
      <c r="H180" s="12">
        <f>Setup!$B$7</f>
        <v/>
      </c>
      <c r="I180" s="12">
        <f>Setup!$B$8</f>
        <v/>
      </c>
      <c r="J180" s="13">
        <f>IF($D180="","",IFERROR(INDEX(Units_Owners!$J$5:$J$504,MATCH($D180,Units_Owners!$A$5:$A$504,0)),0)+SUMIFS(Ledger!$F:$F,Ledger!$B:$B,$D180,Ledger!$D:$D,"&lt;"&amp;$H180)-SUMIFS(Ledger!$G:$G,Ledger!$B:$B,$D180,Ledger!$D:$D,"&lt;"&amp;$H180))</f>
        <v/>
      </c>
      <c r="K180" s="13">
        <f>IF($D180="","",IFERROR(INDEX(Units_Owners!$H$5:$H$504,MATCH($D180,Units_Owners!$A$5:$A$504,0)),Setup!$B$10))</f>
        <v/>
      </c>
      <c r="L180" s="13">
        <f>IF($D180="","",Setup!$B$11)</f>
        <v/>
      </c>
      <c r="M180" s="13">
        <f>IF($D180="","",IF(AND(TODAY()&gt;=Setup!$B$9,$P180&gt;0),Setup!$B$12,0))</f>
        <v/>
      </c>
      <c r="N180" s="13">
        <f>IF($D180="","",SUM($J180:$M180))</f>
        <v/>
      </c>
      <c r="O180" s="13">
        <f>IF($A180="","",SUMIFS(Payments!$F:$F,Payments!$D:$D,$A180))</f>
        <v/>
      </c>
      <c r="P180" s="13">
        <f>IF($D180="","",MAX(0,$N180-$O180))</f>
        <v/>
      </c>
      <c r="Q180" s="2">
        <f>IF($D180="","",IF(IFERROR(INDEX(Units_Owners!$I$5:$I$504,MATCH($D180,Units_Owners!$A$5:$A$504,0)),"No")&lt;&gt;"Yes","Skip - Inactive",IF($P180=0,"Paid",IF(TODAY()&gt;$I180,"Past Due","Open"))))</f>
        <v/>
      </c>
      <c r="R180" s="14" t="n"/>
      <c r="S180" s="6" t="n"/>
    </row>
    <row r="181">
      <c r="A181" s="2">
        <f>IF($D181="","","INV-"&amp;$B181&amp;"-"&amp;$C181&amp;"-"&amp;TEXT(ROW(A177),"0000"))</f>
        <v/>
      </c>
      <c r="B181" s="2">
        <f>Setup!$B$5</f>
        <v/>
      </c>
      <c r="C181" s="2">
        <f>Setup!$B$6</f>
        <v/>
      </c>
      <c r="D181" s="2">
        <f>IFERROR(INDEX(Units_Owners!$A$5:$A$504,ROWS($A$5:A181)),"")</f>
        <v/>
      </c>
      <c r="E181" s="2">
        <f>IF($D181="","",IFERROR(INDEX(Units_Owners!$B$5:$B$504,MATCH($D181,Units_Owners!$A$5:$A$504,0)),""))</f>
        <v/>
      </c>
      <c r="F181" s="2">
        <f>IF($D181="","",IFERROR(INDEX(Units_Owners!$C$5:$C$504,MATCH($D181,Units_Owners!$A$5:$A$504,0)),""))</f>
        <v/>
      </c>
      <c r="G181" s="2">
        <f>IF($D181="","",IFERROR(INDEX(Units_Owners!$D$5:$D$504,MATCH($D181,Units_Owners!$A$5:$A$504,0)),""))</f>
        <v/>
      </c>
      <c r="H181" s="12">
        <f>Setup!$B$7</f>
        <v/>
      </c>
      <c r="I181" s="12">
        <f>Setup!$B$8</f>
        <v/>
      </c>
      <c r="J181" s="13">
        <f>IF($D181="","",IFERROR(INDEX(Units_Owners!$J$5:$J$504,MATCH($D181,Units_Owners!$A$5:$A$504,0)),0)+SUMIFS(Ledger!$F:$F,Ledger!$B:$B,$D181,Ledger!$D:$D,"&lt;"&amp;$H181)-SUMIFS(Ledger!$G:$G,Ledger!$B:$B,$D181,Ledger!$D:$D,"&lt;"&amp;$H181))</f>
        <v/>
      </c>
      <c r="K181" s="13">
        <f>IF($D181="","",IFERROR(INDEX(Units_Owners!$H$5:$H$504,MATCH($D181,Units_Owners!$A$5:$A$504,0)),Setup!$B$10))</f>
        <v/>
      </c>
      <c r="L181" s="13">
        <f>IF($D181="","",Setup!$B$11)</f>
        <v/>
      </c>
      <c r="M181" s="13">
        <f>IF($D181="","",IF(AND(TODAY()&gt;=Setup!$B$9,$P181&gt;0),Setup!$B$12,0))</f>
        <v/>
      </c>
      <c r="N181" s="13">
        <f>IF($D181="","",SUM($J181:$M181))</f>
        <v/>
      </c>
      <c r="O181" s="13">
        <f>IF($A181="","",SUMIFS(Payments!$F:$F,Payments!$D:$D,$A181))</f>
        <v/>
      </c>
      <c r="P181" s="13">
        <f>IF($D181="","",MAX(0,$N181-$O181))</f>
        <v/>
      </c>
      <c r="Q181" s="2">
        <f>IF($D181="","",IF(IFERROR(INDEX(Units_Owners!$I$5:$I$504,MATCH($D181,Units_Owners!$A$5:$A$504,0)),"No")&lt;&gt;"Yes","Skip - Inactive",IF($P181=0,"Paid",IF(TODAY()&gt;$I181,"Past Due","Open"))))</f>
        <v/>
      </c>
      <c r="R181" s="12" t="n"/>
      <c r="S181" s="2" t="n"/>
    </row>
    <row r="182">
      <c r="A182" s="2">
        <f>IF($D182="","","INV-"&amp;$B182&amp;"-"&amp;$C182&amp;"-"&amp;TEXT(ROW(A178),"0000"))</f>
        <v/>
      </c>
      <c r="B182" s="2">
        <f>Setup!$B$5</f>
        <v/>
      </c>
      <c r="C182" s="2">
        <f>Setup!$B$6</f>
        <v/>
      </c>
      <c r="D182" s="2">
        <f>IFERROR(INDEX(Units_Owners!$A$5:$A$504,ROWS($A$5:A182)),"")</f>
        <v/>
      </c>
      <c r="E182" s="2">
        <f>IF($D182="","",IFERROR(INDEX(Units_Owners!$B$5:$B$504,MATCH($D182,Units_Owners!$A$5:$A$504,0)),""))</f>
        <v/>
      </c>
      <c r="F182" s="2">
        <f>IF($D182="","",IFERROR(INDEX(Units_Owners!$C$5:$C$504,MATCH($D182,Units_Owners!$A$5:$A$504,0)),""))</f>
        <v/>
      </c>
      <c r="G182" s="2">
        <f>IF($D182="","",IFERROR(INDEX(Units_Owners!$D$5:$D$504,MATCH($D182,Units_Owners!$A$5:$A$504,0)),""))</f>
        <v/>
      </c>
      <c r="H182" s="12">
        <f>Setup!$B$7</f>
        <v/>
      </c>
      <c r="I182" s="12">
        <f>Setup!$B$8</f>
        <v/>
      </c>
      <c r="J182" s="13">
        <f>IF($D182="","",IFERROR(INDEX(Units_Owners!$J$5:$J$504,MATCH($D182,Units_Owners!$A$5:$A$504,0)),0)+SUMIFS(Ledger!$F:$F,Ledger!$B:$B,$D182,Ledger!$D:$D,"&lt;"&amp;$H182)-SUMIFS(Ledger!$G:$G,Ledger!$B:$B,$D182,Ledger!$D:$D,"&lt;"&amp;$H182))</f>
        <v/>
      </c>
      <c r="K182" s="13">
        <f>IF($D182="","",IFERROR(INDEX(Units_Owners!$H$5:$H$504,MATCH($D182,Units_Owners!$A$5:$A$504,0)),Setup!$B$10))</f>
        <v/>
      </c>
      <c r="L182" s="13">
        <f>IF($D182="","",Setup!$B$11)</f>
        <v/>
      </c>
      <c r="M182" s="13">
        <f>IF($D182="","",IF(AND(TODAY()&gt;=Setup!$B$9,$P182&gt;0),Setup!$B$12,0))</f>
        <v/>
      </c>
      <c r="N182" s="13">
        <f>IF($D182="","",SUM($J182:$M182))</f>
        <v/>
      </c>
      <c r="O182" s="13">
        <f>IF($A182="","",SUMIFS(Payments!$F:$F,Payments!$D:$D,$A182))</f>
        <v/>
      </c>
      <c r="P182" s="13">
        <f>IF($D182="","",MAX(0,$N182-$O182))</f>
        <v/>
      </c>
      <c r="Q182" s="2">
        <f>IF($D182="","",IF(IFERROR(INDEX(Units_Owners!$I$5:$I$504,MATCH($D182,Units_Owners!$A$5:$A$504,0)),"No")&lt;&gt;"Yes","Skip - Inactive",IF($P182=0,"Paid",IF(TODAY()&gt;$I182,"Past Due","Open"))))</f>
        <v/>
      </c>
      <c r="R182" s="14" t="n"/>
      <c r="S182" s="6" t="n"/>
    </row>
    <row r="183">
      <c r="A183" s="2">
        <f>IF($D183="","","INV-"&amp;$B183&amp;"-"&amp;$C183&amp;"-"&amp;TEXT(ROW(A179),"0000"))</f>
        <v/>
      </c>
      <c r="B183" s="2">
        <f>Setup!$B$5</f>
        <v/>
      </c>
      <c r="C183" s="2">
        <f>Setup!$B$6</f>
        <v/>
      </c>
      <c r="D183" s="2">
        <f>IFERROR(INDEX(Units_Owners!$A$5:$A$504,ROWS($A$5:A183)),"")</f>
        <v/>
      </c>
      <c r="E183" s="2">
        <f>IF($D183="","",IFERROR(INDEX(Units_Owners!$B$5:$B$504,MATCH($D183,Units_Owners!$A$5:$A$504,0)),""))</f>
        <v/>
      </c>
      <c r="F183" s="2">
        <f>IF($D183="","",IFERROR(INDEX(Units_Owners!$C$5:$C$504,MATCH($D183,Units_Owners!$A$5:$A$504,0)),""))</f>
        <v/>
      </c>
      <c r="G183" s="2">
        <f>IF($D183="","",IFERROR(INDEX(Units_Owners!$D$5:$D$504,MATCH($D183,Units_Owners!$A$5:$A$504,0)),""))</f>
        <v/>
      </c>
      <c r="H183" s="12">
        <f>Setup!$B$7</f>
        <v/>
      </c>
      <c r="I183" s="12">
        <f>Setup!$B$8</f>
        <v/>
      </c>
      <c r="J183" s="13">
        <f>IF($D183="","",IFERROR(INDEX(Units_Owners!$J$5:$J$504,MATCH($D183,Units_Owners!$A$5:$A$504,0)),0)+SUMIFS(Ledger!$F:$F,Ledger!$B:$B,$D183,Ledger!$D:$D,"&lt;"&amp;$H183)-SUMIFS(Ledger!$G:$G,Ledger!$B:$B,$D183,Ledger!$D:$D,"&lt;"&amp;$H183))</f>
        <v/>
      </c>
      <c r="K183" s="13">
        <f>IF($D183="","",IFERROR(INDEX(Units_Owners!$H$5:$H$504,MATCH($D183,Units_Owners!$A$5:$A$504,0)),Setup!$B$10))</f>
        <v/>
      </c>
      <c r="L183" s="13">
        <f>IF($D183="","",Setup!$B$11)</f>
        <v/>
      </c>
      <c r="M183" s="13">
        <f>IF($D183="","",IF(AND(TODAY()&gt;=Setup!$B$9,$P183&gt;0),Setup!$B$12,0))</f>
        <v/>
      </c>
      <c r="N183" s="13">
        <f>IF($D183="","",SUM($J183:$M183))</f>
        <v/>
      </c>
      <c r="O183" s="13">
        <f>IF($A183="","",SUMIFS(Payments!$F:$F,Payments!$D:$D,$A183))</f>
        <v/>
      </c>
      <c r="P183" s="13">
        <f>IF($D183="","",MAX(0,$N183-$O183))</f>
        <v/>
      </c>
      <c r="Q183" s="2">
        <f>IF($D183="","",IF(IFERROR(INDEX(Units_Owners!$I$5:$I$504,MATCH($D183,Units_Owners!$A$5:$A$504,0)),"No")&lt;&gt;"Yes","Skip - Inactive",IF($P183=0,"Paid",IF(TODAY()&gt;$I183,"Past Due","Open"))))</f>
        <v/>
      </c>
      <c r="R183" s="12" t="n"/>
      <c r="S183" s="2" t="n"/>
    </row>
    <row r="184">
      <c r="A184" s="2">
        <f>IF($D184="","","INV-"&amp;$B184&amp;"-"&amp;$C184&amp;"-"&amp;TEXT(ROW(A180),"0000"))</f>
        <v/>
      </c>
      <c r="B184" s="2">
        <f>Setup!$B$5</f>
        <v/>
      </c>
      <c r="C184" s="2">
        <f>Setup!$B$6</f>
        <v/>
      </c>
      <c r="D184" s="2">
        <f>IFERROR(INDEX(Units_Owners!$A$5:$A$504,ROWS($A$5:A184)),"")</f>
        <v/>
      </c>
      <c r="E184" s="2">
        <f>IF($D184="","",IFERROR(INDEX(Units_Owners!$B$5:$B$504,MATCH($D184,Units_Owners!$A$5:$A$504,0)),""))</f>
        <v/>
      </c>
      <c r="F184" s="2">
        <f>IF($D184="","",IFERROR(INDEX(Units_Owners!$C$5:$C$504,MATCH($D184,Units_Owners!$A$5:$A$504,0)),""))</f>
        <v/>
      </c>
      <c r="G184" s="2">
        <f>IF($D184="","",IFERROR(INDEX(Units_Owners!$D$5:$D$504,MATCH($D184,Units_Owners!$A$5:$A$504,0)),""))</f>
        <v/>
      </c>
      <c r="H184" s="12">
        <f>Setup!$B$7</f>
        <v/>
      </c>
      <c r="I184" s="12">
        <f>Setup!$B$8</f>
        <v/>
      </c>
      <c r="J184" s="13">
        <f>IF($D184="","",IFERROR(INDEX(Units_Owners!$J$5:$J$504,MATCH($D184,Units_Owners!$A$5:$A$504,0)),0)+SUMIFS(Ledger!$F:$F,Ledger!$B:$B,$D184,Ledger!$D:$D,"&lt;"&amp;$H184)-SUMIFS(Ledger!$G:$G,Ledger!$B:$B,$D184,Ledger!$D:$D,"&lt;"&amp;$H184))</f>
        <v/>
      </c>
      <c r="K184" s="13">
        <f>IF($D184="","",IFERROR(INDEX(Units_Owners!$H$5:$H$504,MATCH($D184,Units_Owners!$A$5:$A$504,0)),Setup!$B$10))</f>
        <v/>
      </c>
      <c r="L184" s="13">
        <f>IF($D184="","",Setup!$B$11)</f>
        <v/>
      </c>
      <c r="M184" s="13">
        <f>IF($D184="","",IF(AND(TODAY()&gt;=Setup!$B$9,$P184&gt;0),Setup!$B$12,0))</f>
        <v/>
      </c>
      <c r="N184" s="13">
        <f>IF($D184="","",SUM($J184:$M184))</f>
        <v/>
      </c>
      <c r="O184" s="13">
        <f>IF($A184="","",SUMIFS(Payments!$F:$F,Payments!$D:$D,$A184))</f>
        <v/>
      </c>
      <c r="P184" s="13">
        <f>IF($D184="","",MAX(0,$N184-$O184))</f>
        <v/>
      </c>
      <c r="Q184" s="2">
        <f>IF($D184="","",IF(IFERROR(INDEX(Units_Owners!$I$5:$I$504,MATCH($D184,Units_Owners!$A$5:$A$504,0)),"No")&lt;&gt;"Yes","Skip - Inactive",IF($P184=0,"Paid",IF(TODAY()&gt;$I184,"Past Due","Open"))))</f>
        <v/>
      </c>
      <c r="R184" s="14" t="n"/>
      <c r="S184" s="6" t="n"/>
    </row>
    <row r="185">
      <c r="A185" s="2">
        <f>IF($D185="","","INV-"&amp;$B185&amp;"-"&amp;$C185&amp;"-"&amp;TEXT(ROW(A181),"0000"))</f>
        <v/>
      </c>
      <c r="B185" s="2">
        <f>Setup!$B$5</f>
        <v/>
      </c>
      <c r="C185" s="2">
        <f>Setup!$B$6</f>
        <v/>
      </c>
      <c r="D185" s="2">
        <f>IFERROR(INDEX(Units_Owners!$A$5:$A$504,ROWS($A$5:A185)),"")</f>
        <v/>
      </c>
      <c r="E185" s="2">
        <f>IF($D185="","",IFERROR(INDEX(Units_Owners!$B$5:$B$504,MATCH($D185,Units_Owners!$A$5:$A$504,0)),""))</f>
        <v/>
      </c>
      <c r="F185" s="2">
        <f>IF($D185="","",IFERROR(INDEX(Units_Owners!$C$5:$C$504,MATCH($D185,Units_Owners!$A$5:$A$504,0)),""))</f>
        <v/>
      </c>
      <c r="G185" s="2">
        <f>IF($D185="","",IFERROR(INDEX(Units_Owners!$D$5:$D$504,MATCH($D185,Units_Owners!$A$5:$A$504,0)),""))</f>
        <v/>
      </c>
      <c r="H185" s="12">
        <f>Setup!$B$7</f>
        <v/>
      </c>
      <c r="I185" s="12">
        <f>Setup!$B$8</f>
        <v/>
      </c>
      <c r="J185" s="13">
        <f>IF($D185="","",IFERROR(INDEX(Units_Owners!$J$5:$J$504,MATCH($D185,Units_Owners!$A$5:$A$504,0)),0)+SUMIFS(Ledger!$F:$F,Ledger!$B:$B,$D185,Ledger!$D:$D,"&lt;"&amp;$H185)-SUMIFS(Ledger!$G:$G,Ledger!$B:$B,$D185,Ledger!$D:$D,"&lt;"&amp;$H185))</f>
        <v/>
      </c>
      <c r="K185" s="13">
        <f>IF($D185="","",IFERROR(INDEX(Units_Owners!$H$5:$H$504,MATCH($D185,Units_Owners!$A$5:$A$504,0)),Setup!$B$10))</f>
        <v/>
      </c>
      <c r="L185" s="13">
        <f>IF($D185="","",Setup!$B$11)</f>
        <v/>
      </c>
      <c r="M185" s="13">
        <f>IF($D185="","",IF(AND(TODAY()&gt;=Setup!$B$9,$P185&gt;0),Setup!$B$12,0))</f>
        <v/>
      </c>
      <c r="N185" s="13">
        <f>IF($D185="","",SUM($J185:$M185))</f>
        <v/>
      </c>
      <c r="O185" s="13">
        <f>IF($A185="","",SUMIFS(Payments!$F:$F,Payments!$D:$D,$A185))</f>
        <v/>
      </c>
      <c r="P185" s="13">
        <f>IF($D185="","",MAX(0,$N185-$O185))</f>
        <v/>
      </c>
      <c r="Q185" s="2">
        <f>IF($D185="","",IF(IFERROR(INDEX(Units_Owners!$I$5:$I$504,MATCH($D185,Units_Owners!$A$5:$A$504,0)),"No")&lt;&gt;"Yes","Skip - Inactive",IF($P185=0,"Paid",IF(TODAY()&gt;$I185,"Past Due","Open"))))</f>
        <v/>
      </c>
      <c r="R185" s="12" t="n"/>
      <c r="S185" s="2" t="n"/>
    </row>
    <row r="186">
      <c r="A186" s="2">
        <f>IF($D186="","","INV-"&amp;$B186&amp;"-"&amp;$C186&amp;"-"&amp;TEXT(ROW(A182),"0000"))</f>
        <v/>
      </c>
      <c r="B186" s="2">
        <f>Setup!$B$5</f>
        <v/>
      </c>
      <c r="C186" s="2">
        <f>Setup!$B$6</f>
        <v/>
      </c>
      <c r="D186" s="2">
        <f>IFERROR(INDEX(Units_Owners!$A$5:$A$504,ROWS($A$5:A186)),"")</f>
        <v/>
      </c>
      <c r="E186" s="2">
        <f>IF($D186="","",IFERROR(INDEX(Units_Owners!$B$5:$B$504,MATCH($D186,Units_Owners!$A$5:$A$504,0)),""))</f>
        <v/>
      </c>
      <c r="F186" s="2">
        <f>IF($D186="","",IFERROR(INDEX(Units_Owners!$C$5:$C$504,MATCH($D186,Units_Owners!$A$5:$A$504,0)),""))</f>
        <v/>
      </c>
      <c r="G186" s="2">
        <f>IF($D186="","",IFERROR(INDEX(Units_Owners!$D$5:$D$504,MATCH($D186,Units_Owners!$A$5:$A$504,0)),""))</f>
        <v/>
      </c>
      <c r="H186" s="12">
        <f>Setup!$B$7</f>
        <v/>
      </c>
      <c r="I186" s="12">
        <f>Setup!$B$8</f>
        <v/>
      </c>
      <c r="J186" s="13">
        <f>IF($D186="","",IFERROR(INDEX(Units_Owners!$J$5:$J$504,MATCH($D186,Units_Owners!$A$5:$A$504,0)),0)+SUMIFS(Ledger!$F:$F,Ledger!$B:$B,$D186,Ledger!$D:$D,"&lt;"&amp;$H186)-SUMIFS(Ledger!$G:$G,Ledger!$B:$B,$D186,Ledger!$D:$D,"&lt;"&amp;$H186))</f>
        <v/>
      </c>
      <c r="K186" s="13">
        <f>IF($D186="","",IFERROR(INDEX(Units_Owners!$H$5:$H$504,MATCH($D186,Units_Owners!$A$5:$A$504,0)),Setup!$B$10))</f>
        <v/>
      </c>
      <c r="L186" s="13">
        <f>IF($D186="","",Setup!$B$11)</f>
        <v/>
      </c>
      <c r="M186" s="13">
        <f>IF($D186="","",IF(AND(TODAY()&gt;=Setup!$B$9,$P186&gt;0),Setup!$B$12,0))</f>
        <v/>
      </c>
      <c r="N186" s="13">
        <f>IF($D186="","",SUM($J186:$M186))</f>
        <v/>
      </c>
      <c r="O186" s="13">
        <f>IF($A186="","",SUMIFS(Payments!$F:$F,Payments!$D:$D,$A186))</f>
        <v/>
      </c>
      <c r="P186" s="13">
        <f>IF($D186="","",MAX(0,$N186-$O186))</f>
        <v/>
      </c>
      <c r="Q186" s="2">
        <f>IF($D186="","",IF(IFERROR(INDEX(Units_Owners!$I$5:$I$504,MATCH($D186,Units_Owners!$A$5:$A$504,0)),"No")&lt;&gt;"Yes","Skip - Inactive",IF($P186=0,"Paid",IF(TODAY()&gt;$I186,"Past Due","Open"))))</f>
        <v/>
      </c>
      <c r="R186" s="14" t="n"/>
      <c r="S186" s="6" t="n"/>
    </row>
    <row r="187">
      <c r="A187" s="2">
        <f>IF($D187="","","INV-"&amp;$B187&amp;"-"&amp;$C187&amp;"-"&amp;TEXT(ROW(A183),"0000"))</f>
        <v/>
      </c>
      <c r="B187" s="2">
        <f>Setup!$B$5</f>
        <v/>
      </c>
      <c r="C187" s="2">
        <f>Setup!$B$6</f>
        <v/>
      </c>
      <c r="D187" s="2">
        <f>IFERROR(INDEX(Units_Owners!$A$5:$A$504,ROWS($A$5:A187)),"")</f>
        <v/>
      </c>
      <c r="E187" s="2">
        <f>IF($D187="","",IFERROR(INDEX(Units_Owners!$B$5:$B$504,MATCH($D187,Units_Owners!$A$5:$A$504,0)),""))</f>
        <v/>
      </c>
      <c r="F187" s="2">
        <f>IF($D187="","",IFERROR(INDEX(Units_Owners!$C$5:$C$504,MATCH($D187,Units_Owners!$A$5:$A$504,0)),""))</f>
        <v/>
      </c>
      <c r="G187" s="2">
        <f>IF($D187="","",IFERROR(INDEX(Units_Owners!$D$5:$D$504,MATCH($D187,Units_Owners!$A$5:$A$504,0)),""))</f>
        <v/>
      </c>
      <c r="H187" s="12">
        <f>Setup!$B$7</f>
        <v/>
      </c>
      <c r="I187" s="12">
        <f>Setup!$B$8</f>
        <v/>
      </c>
      <c r="J187" s="13">
        <f>IF($D187="","",IFERROR(INDEX(Units_Owners!$J$5:$J$504,MATCH($D187,Units_Owners!$A$5:$A$504,0)),0)+SUMIFS(Ledger!$F:$F,Ledger!$B:$B,$D187,Ledger!$D:$D,"&lt;"&amp;$H187)-SUMIFS(Ledger!$G:$G,Ledger!$B:$B,$D187,Ledger!$D:$D,"&lt;"&amp;$H187))</f>
        <v/>
      </c>
      <c r="K187" s="13">
        <f>IF($D187="","",IFERROR(INDEX(Units_Owners!$H$5:$H$504,MATCH($D187,Units_Owners!$A$5:$A$504,0)),Setup!$B$10))</f>
        <v/>
      </c>
      <c r="L187" s="13">
        <f>IF($D187="","",Setup!$B$11)</f>
        <v/>
      </c>
      <c r="M187" s="13">
        <f>IF($D187="","",IF(AND(TODAY()&gt;=Setup!$B$9,$P187&gt;0),Setup!$B$12,0))</f>
        <v/>
      </c>
      <c r="N187" s="13">
        <f>IF($D187="","",SUM($J187:$M187))</f>
        <v/>
      </c>
      <c r="O187" s="13">
        <f>IF($A187="","",SUMIFS(Payments!$F:$F,Payments!$D:$D,$A187))</f>
        <v/>
      </c>
      <c r="P187" s="13">
        <f>IF($D187="","",MAX(0,$N187-$O187))</f>
        <v/>
      </c>
      <c r="Q187" s="2">
        <f>IF($D187="","",IF(IFERROR(INDEX(Units_Owners!$I$5:$I$504,MATCH($D187,Units_Owners!$A$5:$A$504,0)),"No")&lt;&gt;"Yes","Skip - Inactive",IF($P187=0,"Paid",IF(TODAY()&gt;$I187,"Past Due","Open"))))</f>
        <v/>
      </c>
      <c r="R187" s="12" t="n"/>
      <c r="S187" s="2" t="n"/>
    </row>
    <row r="188">
      <c r="A188" s="2">
        <f>IF($D188="","","INV-"&amp;$B188&amp;"-"&amp;$C188&amp;"-"&amp;TEXT(ROW(A184),"0000"))</f>
        <v/>
      </c>
      <c r="B188" s="2">
        <f>Setup!$B$5</f>
        <v/>
      </c>
      <c r="C188" s="2">
        <f>Setup!$B$6</f>
        <v/>
      </c>
      <c r="D188" s="2">
        <f>IFERROR(INDEX(Units_Owners!$A$5:$A$504,ROWS($A$5:A188)),"")</f>
        <v/>
      </c>
      <c r="E188" s="2">
        <f>IF($D188="","",IFERROR(INDEX(Units_Owners!$B$5:$B$504,MATCH($D188,Units_Owners!$A$5:$A$504,0)),""))</f>
        <v/>
      </c>
      <c r="F188" s="2">
        <f>IF($D188="","",IFERROR(INDEX(Units_Owners!$C$5:$C$504,MATCH($D188,Units_Owners!$A$5:$A$504,0)),""))</f>
        <v/>
      </c>
      <c r="G188" s="2">
        <f>IF($D188="","",IFERROR(INDEX(Units_Owners!$D$5:$D$504,MATCH($D188,Units_Owners!$A$5:$A$504,0)),""))</f>
        <v/>
      </c>
      <c r="H188" s="12">
        <f>Setup!$B$7</f>
        <v/>
      </c>
      <c r="I188" s="12">
        <f>Setup!$B$8</f>
        <v/>
      </c>
      <c r="J188" s="13">
        <f>IF($D188="","",IFERROR(INDEX(Units_Owners!$J$5:$J$504,MATCH($D188,Units_Owners!$A$5:$A$504,0)),0)+SUMIFS(Ledger!$F:$F,Ledger!$B:$B,$D188,Ledger!$D:$D,"&lt;"&amp;$H188)-SUMIFS(Ledger!$G:$G,Ledger!$B:$B,$D188,Ledger!$D:$D,"&lt;"&amp;$H188))</f>
        <v/>
      </c>
      <c r="K188" s="13">
        <f>IF($D188="","",IFERROR(INDEX(Units_Owners!$H$5:$H$504,MATCH($D188,Units_Owners!$A$5:$A$504,0)),Setup!$B$10))</f>
        <v/>
      </c>
      <c r="L188" s="13">
        <f>IF($D188="","",Setup!$B$11)</f>
        <v/>
      </c>
      <c r="M188" s="13">
        <f>IF($D188="","",IF(AND(TODAY()&gt;=Setup!$B$9,$P188&gt;0),Setup!$B$12,0))</f>
        <v/>
      </c>
      <c r="N188" s="13">
        <f>IF($D188="","",SUM($J188:$M188))</f>
        <v/>
      </c>
      <c r="O188" s="13">
        <f>IF($A188="","",SUMIFS(Payments!$F:$F,Payments!$D:$D,$A188))</f>
        <v/>
      </c>
      <c r="P188" s="13">
        <f>IF($D188="","",MAX(0,$N188-$O188))</f>
        <v/>
      </c>
      <c r="Q188" s="2">
        <f>IF($D188="","",IF(IFERROR(INDEX(Units_Owners!$I$5:$I$504,MATCH($D188,Units_Owners!$A$5:$A$504,0)),"No")&lt;&gt;"Yes","Skip - Inactive",IF($P188=0,"Paid",IF(TODAY()&gt;$I188,"Past Due","Open"))))</f>
        <v/>
      </c>
      <c r="R188" s="14" t="n"/>
      <c r="S188" s="6" t="n"/>
    </row>
    <row r="189">
      <c r="A189" s="2">
        <f>IF($D189="","","INV-"&amp;$B189&amp;"-"&amp;$C189&amp;"-"&amp;TEXT(ROW(A185),"0000"))</f>
        <v/>
      </c>
      <c r="B189" s="2">
        <f>Setup!$B$5</f>
        <v/>
      </c>
      <c r="C189" s="2">
        <f>Setup!$B$6</f>
        <v/>
      </c>
      <c r="D189" s="2">
        <f>IFERROR(INDEX(Units_Owners!$A$5:$A$504,ROWS($A$5:A189)),"")</f>
        <v/>
      </c>
      <c r="E189" s="2">
        <f>IF($D189="","",IFERROR(INDEX(Units_Owners!$B$5:$B$504,MATCH($D189,Units_Owners!$A$5:$A$504,0)),""))</f>
        <v/>
      </c>
      <c r="F189" s="2">
        <f>IF($D189="","",IFERROR(INDEX(Units_Owners!$C$5:$C$504,MATCH($D189,Units_Owners!$A$5:$A$504,0)),""))</f>
        <v/>
      </c>
      <c r="G189" s="2">
        <f>IF($D189="","",IFERROR(INDEX(Units_Owners!$D$5:$D$504,MATCH($D189,Units_Owners!$A$5:$A$504,0)),""))</f>
        <v/>
      </c>
      <c r="H189" s="12">
        <f>Setup!$B$7</f>
        <v/>
      </c>
      <c r="I189" s="12">
        <f>Setup!$B$8</f>
        <v/>
      </c>
      <c r="J189" s="13">
        <f>IF($D189="","",IFERROR(INDEX(Units_Owners!$J$5:$J$504,MATCH($D189,Units_Owners!$A$5:$A$504,0)),0)+SUMIFS(Ledger!$F:$F,Ledger!$B:$B,$D189,Ledger!$D:$D,"&lt;"&amp;$H189)-SUMIFS(Ledger!$G:$G,Ledger!$B:$B,$D189,Ledger!$D:$D,"&lt;"&amp;$H189))</f>
        <v/>
      </c>
      <c r="K189" s="13">
        <f>IF($D189="","",IFERROR(INDEX(Units_Owners!$H$5:$H$504,MATCH($D189,Units_Owners!$A$5:$A$504,0)),Setup!$B$10))</f>
        <v/>
      </c>
      <c r="L189" s="13">
        <f>IF($D189="","",Setup!$B$11)</f>
        <v/>
      </c>
      <c r="M189" s="13">
        <f>IF($D189="","",IF(AND(TODAY()&gt;=Setup!$B$9,$P189&gt;0),Setup!$B$12,0))</f>
        <v/>
      </c>
      <c r="N189" s="13">
        <f>IF($D189="","",SUM($J189:$M189))</f>
        <v/>
      </c>
      <c r="O189" s="13">
        <f>IF($A189="","",SUMIFS(Payments!$F:$F,Payments!$D:$D,$A189))</f>
        <v/>
      </c>
      <c r="P189" s="13">
        <f>IF($D189="","",MAX(0,$N189-$O189))</f>
        <v/>
      </c>
      <c r="Q189" s="2">
        <f>IF($D189="","",IF(IFERROR(INDEX(Units_Owners!$I$5:$I$504,MATCH($D189,Units_Owners!$A$5:$A$504,0)),"No")&lt;&gt;"Yes","Skip - Inactive",IF($P189=0,"Paid",IF(TODAY()&gt;$I189,"Past Due","Open"))))</f>
        <v/>
      </c>
      <c r="R189" s="12" t="n"/>
      <c r="S189" s="2" t="n"/>
    </row>
    <row r="190">
      <c r="A190" s="2">
        <f>IF($D190="","","INV-"&amp;$B190&amp;"-"&amp;$C190&amp;"-"&amp;TEXT(ROW(A186),"0000"))</f>
        <v/>
      </c>
      <c r="B190" s="2">
        <f>Setup!$B$5</f>
        <v/>
      </c>
      <c r="C190" s="2">
        <f>Setup!$B$6</f>
        <v/>
      </c>
      <c r="D190" s="2">
        <f>IFERROR(INDEX(Units_Owners!$A$5:$A$504,ROWS($A$5:A190)),"")</f>
        <v/>
      </c>
      <c r="E190" s="2">
        <f>IF($D190="","",IFERROR(INDEX(Units_Owners!$B$5:$B$504,MATCH($D190,Units_Owners!$A$5:$A$504,0)),""))</f>
        <v/>
      </c>
      <c r="F190" s="2">
        <f>IF($D190="","",IFERROR(INDEX(Units_Owners!$C$5:$C$504,MATCH($D190,Units_Owners!$A$5:$A$504,0)),""))</f>
        <v/>
      </c>
      <c r="G190" s="2">
        <f>IF($D190="","",IFERROR(INDEX(Units_Owners!$D$5:$D$504,MATCH($D190,Units_Owners!$A$5:$A$504,0)),""))</f>
        <v/>
      </c>
      <c r="H190" s="12">
        <f>Setup!$B$7</f>
        <v/>
      </c>
      <c r="I190" s="12">
        <f>Setup!$B$8</f>
        <v/>
      </c>
      <c r="J190" s="13">
        <f>IF($D190="","",IFERROR(INDEX(Units_Owners!$J$5:$J$504,MATCH($D190,Units_Owners!$A$5:$A$504,0)),0)+SUMIFS(Ledger!$F:$F,Ledger!$B:$B,$D190,Ledger!$D:$D,"&lt;"&amp;$H190)-SUMIFS(Ledger!$G:$G,Ledger!$B:$B,$D190,Ledger!$D:$D,"&lt;"&amp;$H190))</f>
        <v/>
      </c>
      <c r="K190" s="13">
        <f>IF($D190="","",IFERROR(INDEX(Units_Owners!$H$5:$H$504,MATCH($D190,Units_Owners!$A$5:$A$504,0)),Setup!$B$10))</f>
        <v/>
      </c>
      <c r="L190" s="13">
        <f>IF($D190="","",Setup!$B$11)</f>
        <v/>
      </c>
      <c r="M190" s="13">
        <f>IF($D190="","",IF(AND(TODAY()&gt;=Setup!$B$9,$P190&gt;0),Setup!$B$12,0))</f>
        <v/>
      </c>
      <c r="N190" s="13">
        <f>IF($D190="","",SUM($J190:$M190))</f>
        <v/>
      </c>
      <c r="O190" s="13">
        <f>IF($A190="","",SUMIFS(Payments!$F:$F,Payments!$D:$D,$A190))</f>
        <v/>
      </c>
      <c r="P190" s="13">
        <f>IF($D190="","",MAX(0,$N190-$O190))</f>
        <v/>
      </c>
      <c r="Q190" s="2">
        <f>IF($D190="","",IF(IFERROR(INDEX(Units_Owners!$I$5:$I$504,MATCH($D190,Units_Owners!$A$5:$A$504,0)),"No")&lt;&gt;"Yes","Skip - Inactive",IF($P190=0,"Paid",IF(TODAY()&gt;$I190,"Past Due","Open"))))</f>
        <v/>
      </c>
      <c r="R190" s="14" t="n"/>
      <c r="S190" s="6" t="n"/>
    </row>
    <row r="191">
      <c r="A191" s="2">
        <f>IF($D191="","","INV-"&amp;$B191&amp;"-"&amp;$C191&amp;"-"&amp;TEXT(ROW(A187),"0000"))</f>
        <v/>
      </c>
      <c r="B191" s="2">
        <f>Setup!$B$5</f>
        <v/>
      </c>
      <c r="C191" s="2">
        <f>Setup!$B$6</f>
        <v/>
      </c>
      <c r="D191" s="2">
        <f>IFERROR(INDEX(Units_Owners!$A$5:$A$504,ROWS($A$5:A191)),"")</f>
        <v/>
      </c>
      <c r="E191" s="2">
        <f>IF($D191="","",IFERROR(INDEX(Units_Owners!$B$5:$B$504,MATCH($D191,Units_Owners!$A$5:$A$504,0)),""))</f>
        <v/>
      </c>
      <c r="F191" s="2">
        <f>IF($D191="","",IFERROR(INDEX(Units_Owners!$C$5:$C$504,MATCH($D191,Units_Owners!$A$5:$A$504,0)),""))</f>
        <v/>
      </c>
      <c r="G191" s="2">
        <f>IF($D191="","",IFERROR(INDEX(Units_Owners!$D$5:$D$504,MATCH($D191,Units_Owners!$A$5:$A$504,0)),""))</f>
        <v/>
      </c>
      <c r="H191" s="12">
        <f>Setup!$B$7</f>
        <v/>
      </c>
      <c r="I191" s="12">
        <f>Setup!$B$8</f>
        <v/>
      </c>
      <c r="J191" s="13">
        <f>IF($D191="","",IFERROR(INDEX(Units_Owners!$J$5:$J$504,MATCH($D191,Units_Owners!$A$5:$A$504,0)),0)+SUMIFS(Ledger!$F:$F,Ledger!$B:$B,$D191,Ledger!$D:$D,"&lt;"&amp;$H191)-SUMIFS(Ledger!$G:$G,Ledger!$B:$B,$D191,Ledger!$D:$D,"&lt;"&amp;$H191))</f>
        <v/>
      </c>
      <c r="K191" s="13">
        <f>IF($D191="","",IFERROR(INDEX(Units_Owners!$H$5:$H$504,MATCH($D191,Units_Owners!$A$5:$A$504,0)),Setup!$B$10))</f>
        <v/>
      </c>
      <c r="L191" s="13">
        <f>IF($D191="","",Setup!$B$11)</f>
        <v/>
      </c>
      <c r="M191" s="13">
        <f>IF($D191="","",IF(AND(TODAY()&gt;=Setup!$B$9,$P191&gt;0),Setup!$B$12,0))</f>
        <v/>
      </c>
      <c r="N191" s="13">
        <f>IF($D191="","",SUM($J191:$M191))</f>
        <v/>
      </c>
      <c r="O191" s="13">
        <f>IF($A191="","",SUMIFS(Payments!$F:$F,Payments!$D:$D,$A191))</f>
        <v/>
      </c>
      <c r="P191" s="13">
        <f>IF($D191="","",MAX(0,$N191-$O191))</f>
        <v/>
      </c>
      <c r="Q191" s="2">
        <f>IF($D191="","",IF(IFERROR(INDEX(Units_Owners!$I$5:$I$504,MATCH($D191,Units_Owners!$A$5:$A$504,0)),"No")&lt;&gt;"Yes","Skip - Inactive",IF($P191=0,"Paid",IF(TODAY()&gt;$I191,"Past Due","Open"))))</f>
        <v/>
      </c>
      <c r="R191" s="12" t="n"/>
      <c r="S191" s="2" t="n"/>
    </row>
    <row r="192">
      <c r="A192" s="2">
        <f>IF($D192="","","INV-"&amp;$B192&amp;"-"&amp;$C192&amp;"-"&amp;TEXT(ROW(A188),"0000"))</f>
        <v/>
      </c>
      <c r="B192" s="2">
        <f>Setup!$B$5</f>
        <v/>
      </c>
      <c r="C192" s="2">
        <f>Setup!$B$6</f>
        <v/>
      </c>
      <c r="D192" s="2">
        <f>IFERROR(INDEX(Units_Owners!$A$5:$A$504,ROWS($A$5:A192)),"")</f>
        <v/>
      </c>
      <c r="E192" s="2">
        <f>IF($D192="","",IFERROR(INDEX(Units_Owners!$B$5:$B$504,MATCH($D192,Units_Owners!$A$5:$A$504,0)),""))</f>
        <v/>
      </c>
      <c r="F192" s="2">
        <f>IF($D192="","",IFERROR(INDEX(Units_Owners!$C$5:$C$504,MATCH($D192,Units_Owners!$A$5:$A$504,0)),""))</f>
        <v/>
      </c>
      <c r="G192" s="2">
        <f>IF($D192="","",IFERROR(INDEX(Units_Owners!$D$5:$D$504,MATCH($D192,Units_Owners!$A$5:$A$504,0)),""))</f>
        <v/>
      </c>
      <c r="H192" s="12">
        <f>Setup!$B$7</f>
        <v/>
      </c>
      <c r="I192" s="12">
        <f>Setup!$B$8</f>
        <v/>
      </c>
      <c r="J192" s="13">
        <f>IF($D192="","",IFERROR(INDEX(Units_Owners!$J$5:$J$504,MATCH($D192,Units_Owners!$A$5:$A$504,0)),0)+SUMIFS(Ledger!$F:$F,Ledger!$B:$B,$D192,Ledger!$D:$D,"&lt;"&amp;$H192)-SUMIFS(Ledger!$G:$G,Ledger!$B:$B,$D192,Ledger!$D:$D,"&lt;"&amp;$H192))</f>
        <v/>
      </c>
      <c r="K192" s="13">
        <f>IF($D192="","",IFERROR(INDEX(Units_Owners!$H$5:$H$504,MATCH($D192,Units_Owners!$A$5:$A$504,0)),Setup!$B$10))</f>
        <v/>
      </c>
      <c r="L192" s="13">
        <f>IF($D192="","",Setup!$B$11)</f>
        <v/>
      </c>
      <c r="M192" s="13">
        <f>IF($D192="","",IF(AND(TODAY()&gt;=Setup!$B$9,$P192&gt;0),Setup!$B$12,0))</f>
        <v/>
      </c>
      <c r="N192" s="13">
        <f>IF($D192="","",SUM($J192:$M192))</f>
        <v/>
      </c>
      <c r="O192" s="13">
        <f>IF($A192="","",SUMIFS(Payments!$F:$F,Payments!$D:$D,$A192))</f>
        <v/>
      </c>
      <c r="P192" s="13">
        <f>IF($D192="","",MAX(0,$N192-$O192))</f>
        <v/>
      </c>
      <c r="Q192" s="2">
        <f>IF($D192="","",IF(IFERROR(INDEX(Units_Owners!$I$5:$I$504,MATCH($D192,Units_Owners!$A$5:$A$504,0)),"No")&lt;&gt;"Yes","Skip - Inactive",IF($P192=0,"Paid",IF(TODAY()&gt;$I192,"Past Due","Open"))))</f>
        <v/>
      </c>
      <c r="R192" s="14" t="n"/>
      <c r="S192" s="6" t="n"/>
    </row>
    <row r="193">
      <c r="A193" s="2">
        <f>IF($D193="","","INV-"&amp;$B193&amp;"-"&amp;$C193&amp;"-"&amp;TEXT(ROW(A189),"0000"))</f>
        <v/>
      </c>
      <c r="B193" s="2">
        <f>Setup!$B$5</f>
        <v/>
      </c>
      <c r="C193" s="2">
        <f>Setup!$B$6</f>
        <v/>
      </c>
      <c r="D193" s="2">
        <f>IFERROR(INDEX(Units_Owners!$A$5:$A$504,ROWS($A$5:A193)),"")</f>
        <v/>
      </c>
      <c r="E193" s="2">
        <f>IF($D193="","",IFERROR(INDEX(Units_Owners!$B$5:$B$504,MATCH($D193,Units_Owners!$A$5:$A$504,0)),""))</f>
        <v/>
      </c>
      <c r="F193" s="2">
        <f>IF($D193="","",IFERROR(INDEX(Units_Owners!$C$5:$C$504,MATCH($D193,Units_Owners!$A$5:$A$504,0)),""))</f>
        <v/>
      </c>
      <c r="G193" s="2">
        <f>IF($D193="","",IFERROR(INDEX(Units_Owners!$D$5:$D$504,MATCH($D193,Units_Owners!$A$5:$A$504,0)),""))</f>
        <v/>
      </c>
      <c r="H193" s="12">
        <f>Setup!$B$7</f>
        <v/>
      </c>
      <c r="I193" s="12">
        <f>Setup!$B$8</f>
        <v/>
      </c>
      <c r="J193" s="13">
        <f>IF($D193="","",IFERROR(INDEX(Units_Owners!$J$5:$J$504,MATCH($D193,Units_Owners!$A$5:$A$504,0)),0)+SUMIFS(Ledger!$F:$F,Ledger!$B:$B,$D193,Ledger!$D:$D,"&lt;"&amp;$H193)-SUMIFS(Ledger!$G:$G,Ledger!$B:$B,$D193,Ledger!$D:$D,"&lt;"&amp;$H193))</f>
        <v/>
      </c>
      <c r="K193" s="13">
        <f>IF($D193="","",IFERROR(INDEX(Units_Owners!$H$5:$H$504,MATCH($D193,Units_Owners!$A$5:$A$504,0)),Setup!$B$10))</f>
        <v/>
      </c>
      <c r="L193" s="13">
        <f>IF($D193="","",Setup!$B$11)</f>
        <v/>
      </c>
      <c r="M193" s="13">
        <f>IF($D193="","",IF(AND(TODAY()&gt;=Setup!$B$9,$P193&gt;0),Setup!$B$12,0))</f>
        <v/>
      </c>
      <c r="N193" s="13">
        <f>IF($D193="","",SUM($J193:$M193))</f>
        <v/>
      </c>
      <c r="O193" s="13">
        <f>IF($A193="","",SUMIFS(Payments!$F:$F,Payments!$D:$D,$A193))</f>
        <v/>
      </c>
      <c r="P193" s="13">
        <f>IF($D193="","",MAX(0,$N193-$O193))</f>
        <v/>
      </c>
      <c r="Q193" s="2">
        <f>IF($D193="","",IF(IFERROR(INDEX(Units_Owners!$I$5:$I$504,MATCH($D193,Units_Owners!$A$5:$A$504,0)),"No")&lt;&gt;"Yes","Skip - Inactive",IF($P193=0,"Paid",IF(TODAY()&gt;$I193,"Past Due","Open"))))</f>
        <v/>
      </c>
      <c r="R193" s="12" t="n"/>
      <c r="S193" s="2" t="n"/>
    </row>
    <row r="194">
      <c r="A194" s="2">
        <f>IF($D194="","","INV-"&amp;$B194&amp;"-"&amp;$C194&amp;"-"&amp;TEXT(ROW(A190),"0000"))</f>
        <v/>
      </c>
      <c r="B194" s="2">
        <f>Setup!$B$5</f>
        <v/>
      </c>
      <c r="C194" s="2">
        <f>Setup!$B$6</f>
        <v/>
      </c>
      <c r="D194" s="2">
        <f>IFERROR(INDEX(Units_Owners!$A$5:$A$504,ROWS($A$5:A194)),"")</f>
        <v/>
      </c>
      <c r="E194" s="2">
        <f>IF($D194="","",IFERROR(INDEX(Units_Owners!$B$5:$B$504,MATCH($D194,Units_Owners!$A$5:$A$504,0)),""))</f>
        <v/>
      </c>
      <c r="F194" s="2">
        <f>IF($D194="","",IFERROR(INDEX(Units_Owners!$C$5:$C$504,MATCH($D194,Units_Owners!$A$5:$A$504,0)),""))</f>
        <v/>
      </c>
      <c r="G194" s="2">
        <f>IF($D194="","",IFERROR(INDEX(Units_Owners!$D$5:$D$504,MATCH($D194,Units_Owners!$A$5:$A$504,0)),""))</f>
        <v/>
      </c>
      <c r="H194" s="12">
        <f>Setup!$B$7</f>
        <v/>
      </c>
      <c r="I194" s="12">
        <f>Setup!$B$8</f>
        <v/>
      </c>
      <c r="J194" s="13">
        <f>IF($D194="","",IFERROR(INDEX(Units_Owners!$J$5:$J$504,MATCH($D194,Units_Owners!$A$5:$A$504,0)),0)+SUMIFS(Ledger!$F:$F,Ledger!$B:$B,$D194,Ledger!$D:$D,"&lt;"&amp;$H194)-SUMIFS(Ledger!$G:$G,Ledger!$B:$B,$D194,Ledger!$D:$D,"&lt;"&amp;$H194))</f>
        <v/>
      </c>
      <c r="K194" s="13">
        <f>IF($D194="","",IFERROR(INDEX(Units_Owners!$H$5:$H$504,MATCH($D194,Units_Owners!$A$5:$A$504,0)),Setup!$B$10))</f>
        <v/>
      </c>
      <c r="L194" s="13">
        <f>IF($D194="","",Setup!$B$11)</f>
        <v/>
      </c>
      <c r="M194" s="13">
        <f>IF($D194="","",IF(AND(TODAY()&gt;=Setup!$B$9,$P194&gt;0),Setup!$B$12,0))</f>
        <v/>
      </c>
      <c r="N194" s="13">
        <f>IF($D194="","",SUM($J194:$M194))</f>
        <v/>
      </c>
      <c r="O194" s="13">
        <f>IF($A194="","",SUMIFS(Payments!$F:$F,Payments!$D:$D,$A194))</f>
        <v/>
      </c>
      <c r="P194" s="13">
        <f>IF($D194="","",MAX(0,$N194-$O194))</f>
        <v/>
      </c>
      <c r="Q194" s="2">
        <f>IF($D194="","",IF(IFERROR(INDEX(Units_Owners!$I$5:$I$504,MATCH($D194,Units_Owners!$A$5:$A$504,0)),"No")&lt;&gt;"Yes","Skip - Inactive",IF($P194=0,"Paid",IF(TODAY()&gt;$I194,"Past Due","Open"))))</f>
        <v/>
      </c>
      <c r="R194" s="14" t="n"/>
      <c r="S194" s="6" t="n"/>
    </row>
    <row r="195">
      <c r="A195" s="2">
        <f>IF($D195="","","INV-"&amp;$B195&amp;"-"&amp;$C195&amp;"-"&amp;TEXT(ROW(A191),"0000"))</f>
        <v/>
      </c>
      <c r="B195" s="2">
        <f>Setup!$B$5</f>
        <v/>
      </c>
      <c r="C195" s="2">
        <f>Setup!$B$6</f>
        <v/>
      </c>
      <c r="D195" s="2">
        <f>IFERROR(INDEX(Units_Owners!$A$5:$A$504,ROWS($A$5:A195)),"")</f>
        <v/>
      </c>
      <c r="E195" s="2">
        <f>IF($D195="","",IFERROR(INDEX(Units_Owners!$B$5:$B$504,MATCH($D195,Units_Owners!$A$5:$A$504,0)),""))</f>
        <v/>
      </c>
      <c r="F195" s="2">
        <f>IF($D195="","",IFERROR(INDEX(Units_Owners!$C$5:$C$504,MATCH($D195,Units_Owners!$A$5:$A$504,0)),""))</f>
        <v/>
      </c>
      <c r="G195" s="2">
        <f>IF($D195="","",IFERROR(INDEX(Units_Owners!$D$5:$D$504,MATCH($D195,Units_Owners!$A$5:$A$504,0)),""))</f>
        <v/>
      </c>
      <c r="H195" s="12">
        <f>Setup!$B$7</f>
        <v/>
      </c>
      <c r="I195" s="12">
        <f>Setup!$B$8</f>
        <v/>
      </c>
      <c r="J195" s="13">
        <f>IF($D195="","",IFERROR(INDEX(Units_Owners!$J$5:$J$504,MATCH($D195,Units_Owners!$A$5:$A$504,0)),0)+SUMIFS(Ledger!$F:$F,Ledger!$B:$B,$D195,Ledger!$D:$D,"&lt;"&amp;$H195)-SUMIFS(Ledger!$G:$G,Ledger!$B:$B,$D195,Ledger!$D:$D,"&lt;"&amp;$H195))</f>
        <v/>
      </c>
      <c r="K195" s="13">
        <f>IF($D195="","",IFERROR(INDEX(Units_Owners!$H$5:$H$504,MATCH($D195,Units_Owners!$A$5:$A$504,0)),Setup!$B$10))</f>
        <v/>
      </c>
      <c r="L195" s="13">
        <f>IF($D195="","",Setup!$B$11)</f>
        <v/>
      </c>
      <c r="M195" s="13">
        <f>IF($D195="","",IF(AND(TODAY()&gt;=Setup!$B$9,$P195&gt;0),Setup!$B$12,0))</f>
        <v/>
      </c>
      <c r="N195" s="13">
        <f>IF($D195="","",SUM($J195:$M195))</f>
        <v/>
      </c>
      <c r="O195" s="13">
        <f>IF($A195="","",SUMIFS(Payments!$F:$F,Payments!$D:$D,$A195))</f>
        <v/>
      </c>
      <c r="P195" s="13">
        <f>IF($D195="","",MAX(0,$N195-$O195))</f>
        <v/>
      </c>
      <c r="Q195" s="2">
        <f>IF($D195="","",IF(IFERROR(INDEX(Units_Owners!$I$5:$I$504,MATCH($D195,Units_Owners!$A$5:$A$504,0)),"No")&lt;&gt;"Yes","Skip - Inactive",IF($P195=0,"Paid",IF(TODAY()&gt;$I195,"Past Due","Open"))))</f>
        <v/>
      </c>
      <c r="R195" s="12" t="n"/>
      <c r="S195" s="2" t="n"/>
    </row>
    <row r="196">
      <c r="A196" s="2">
        <f>IF($D196="","","INV-"&amp;$B196&amp;"-"&amp;$C196&amp;"-"&amp;TEXT(ROW(A192),"0000"))</f>
        <v/>
      </c>
      <c r="B196" s="2">
        <f>Setup!$B$5</f>
        <v/>
      </c>
      <c r="C196" s="2">
        <f>Setup!$B$6</f>
        <v/>
      </c>
      <c r="D196" s="2">
        <f>IFERROR(INDEX(Units_Owners!$A$5:$A$504,ROWS($A$5:A196)),"")</f>
        <v/>
      </c>
      <c r="E196" s="2">
        <f>IF($D196="","",IFERROR(INDEX(Units_Owners!$B$5:$B$504,MATCH($D196,Units_Owners!$A$5:$A$504,0)),""))</f>
        <v/>
      </c>
      <c r="F196" s="2">
        <f>IF($D196="","",IFERROR(INDEX(Units_Owners!$C$5:$C$504,MATCH($D196,Units_Owners!$A$5:$A$504,0)),""))</f>
        <v/>
      </c>
      <c r="G196" s="2">
        <f>IF($D196="","",IFERROR(INDEX(Units_Owners!$D$5:$D$504,MATCH($D196,Units_Owners!$A$5:$A$504,0)),""))</f>
        <v/>
      </c>
      <c r="H196" s="12">
        <f>Setup!$B$7</f>
        <v/>
      </c>
      <c r="I196" s="12">
        <f>Setup!$B$8</f>
        <v/>
      </c>
      <c r="J196" s="13">
        <f>IF($D196="","",IFERROR(INDEX(Units_Owners!$J$5:$J$504,MATCH($D196,Units_Owners!$A$5:$A$504,0)),0)+SUMIFS(Ledger!$F:$F,Ledger!$B:$B,$D196,Ledger!$D:$D,"&lt;"&amp;$H196)-SUMIFS(Ledger!$G:$G,Ledger!$B:$B,$D196,Ledger!$D:$D,"&lt;"&amp;$H196))</f>
        <v/>
      </c>
      <c r="K196" s="13">
        <f>IF($D196="","",IFERROR(INDEX(Units_Owners!$H$5:$H$504,MATCH($D196,Units_Owners!$A$5:$A$504,0)),Setup!$B$10))</f>
        <v/>
      </c>
      <c r="L196" s="13">
        <f>IF($D196="","",Setup!$B$11)</f>
        <v/>
      </c>
      <c r="M196" s="13">
        <f>IF($D196="","",IF(AND(TODAY()&gt;=Setup!$B$9,$P196&gt;0),Setup!$B$12,0))</f>
        <v/>
      </c>
      <c r="N196" s="13">
        <f>IF($D196="","",SUM($J196:$M196))</f>
        <v/>
      </c>
      <c r="O196" s="13">
        <f>IF($A196="","",SUMIFS(Payments!$F:$F,Payments!$D:$D,$A196))</f>
        <v/>
      </c>
      <c r="P196" s="13">
        <f>IF($D196="","",MAX(0,$N196-$O196))</f>
        <v/>
      </c>
      <c r="Q196" s="2">
        <f>IF($D196="","",IF(IFERROR(INDEX(Units_Owners!$I$5:$I$504,MATCH($D196,Units_Owners!$A$5:$A$504,0)),"No")&lt;&gt;"Yes","Skip - Inactive",IF($P196=0,"Paid",IF(TODAY()&gt;$I196,"Past Due","Open"))))</f>
        <v/>
      </c>
      <c r="R196" s="14" t="n"/>
      <c r="S196" s="6" t="n"/>
    </row>
    <row r="197">
      <c r="A197" s="2">
        <f>IF($D197="","","INV-"&amp;$B197&amp;"-"&amp;$C197&amp;"-"&amp;TEXT(ROW(A193),"0000"))</f>
        <v/>
      </c>
      <c r="B197" s="2">
        <f>Setup!$B$5</f>
        <v/>
      </c>
      <c r="C197" s="2">
        <f>Setup!$B$6</f>
        <v/>
      </c>
      <c r="D197" s="2">
        <f>IFERROR(INDEX(Units_Owners!$A$5:$A$504,ROWS($A$5:A197)),"")</f>
        <v/>
      </c>
      <c r="E197" s="2">
        <f>IF($D197="","",IFERROR(INDEX(Units_Owners!$B$5:$B$504,MATCH($D197,Units_Owners!$A$5:$A$504,0)),""))</f>
        <v/>
      </c>
      <c r="F197" s="2">
        <f>IF($D197="","",IFERROR(INDEX(Units_Owners!$C$5:$C$504,MATCH($D197,Units_Owners!$A$5:$A$504,0)),""))</f>
        <v/>
      </c>
      <c r="G197" s="2">
        <f>IF($D197="","",IFERROR(INDEX(Units_Owners!$D$5:$D$504,MATCH($D197,Units_Owners!$A$5:$A$504,0)),""))</f>
        <v/>
      </c>
      <c r="H197" s="12">
        <f>Setup!$B$7</f>
        <v/>
      </c>
      <c r="I197" s="12">
        <f>Setup!$B$8</f>
        <v/>
      </c>
      <c r="J197" s="13">
        <f>IF($D197="","",IFERROR(INDEX(Units_Owners!$J$5:$J$504,MATCH($D197,Units_Owners!$A$5:$A$504,0)),0)+SUMIFS(Ledger!$F:$F,Ledger!$B:$B,$D197,Ledger!$D:$D,"&lt;"&amp;$H197)-SUMIFS(Ledger!$G:$G,Ledger!$B:$B,$D197,Ledger!$D:$D,"&lt;"&amp;$H197))</f>
        <v/>
      </c>
      <c r="K197" s="13">
        <f>IF($D197="","",IFERROR(INDEX(Units_Owners!$H$5:$H$504,MATCH($D197,Units_Owners!$A$5:$A$504,0)),Setup!$B$10))</f>
        <v/>
      </c>
      <c r="L197" s="13">
        <f>IF($D197="","",Setup!$B$11)</f>
        <v/>
      </c>
      <c r="M197" s="13">
        <f>IF($D197="","",IF(AND(TODAY()&gt;=Setup!$B$9,$P197&gt;0),Setup!$B$12,0))</f>
        <v/>
      </c>
      <c r="N197" s="13">
        <f>IF($D197="","",SUM($J197:$M197))</f>
        <v/>
      </c>
      <c r="O197" s="13">
        <f>IF($A197="","",SUMIFS(Payments!$F:$F,Payments!$D:$D,$A197))</f>
        <v/>
      </c>
      <c r="P197" s="13">
        <f>IF($D197="","",MAX(0,$N197-$O197))</f>
        <v/>
      </c>
      <c r="Q197" s="2">
        <f>IF($D197="","",IF(IFERROR(INDEX(Units_Owners!$I$5:$I$504,MATCH($D197,Units_Owners!$A$5:$A$504,0)),"No")&lt;&gt;"Yes","Skip - Inactive",IF($P197=0,"Paid",IF(TODAY()&gt;$I197,"Past Due","Open"))))</f>
        <v/>
      </c>
      <c r="R197" s="12" t="n"/>
      <c r="S197" s="2" t="n"/>
    </row>
    <row r="198">
      <c r="A198" s="2">
        <f>IF($D198="","","INV-"&amp;$B198&amp;"-"&amp;$C198&amp;"-"&amp;TEXT(ROW(A194),"0000"))</f>
        <v/>
      </c>
      <c r="B198" s="2">
        <f>Setup!$B$5</f>
        <v/>
      </c>
      <c r="C198" s="2">
        <f>Setup!$B$6</f>
        <v/>
      </c>
      <c r="D198" s="2">
        <f>IFERROR(INDEX(Units_Owners!$A$5:$A$504,ROWS($A$5:A198)),"")</f>
        <v/>
      </c>
      <c r="E198" s="2">
        <f>IF($D198="","",IFERROR(INDEX(Units_Owners!$B$5:$B$504,MATCH($D198,Units_Owners!$A$5:$A$504,0)),""))</f>
        <v/>
      </c>
      <c r="F198" s="2">
        <f>IF($D198="","",IFERROR(INDEX(Units_Owners!$C$5:$C$504,MATCH($D198,Units_Owners!$A$5:$A$504,0)),""))</f>
        <v/>
      </c>
      <c r="G198" s="2">
        <f>IF($D198="","",IFERROR(INDEX(Units_Owners!$D$5:$D$504,MATCH($D198,Units_Owners!$A$5:$A$504,0)),""))</f>
        <v/>
      </c>
      <c r="H198" s="12">
        <f>Setup!$B$7</f>
        <v/>
      </c>
      <c r="I198" s="12">
        <f>Setup!$B$8</f>
        <v/>
      </c>
      <c r="J198" s="13">
        <f>IF($D198="","",IFERROR(INDEX(Units_Owners!$J$5:$J$504,MATCH($D198,Units_Owners!$A$5:$A$504,0)),0)+SUMIFS(Ledger!$F:$F,Ledger!$B:$B,$D198,Ledger!$D:$D,"&lt;"&amp;$H198)-SUMIFS(Ledger!$G:$G,Ledger!$B:$B,$D198,Ledger!$D:$D,"&lt;"&amp;$H198))</f>
        <v/>
      </c>
      <c r="K198" s="13">
        <f>IF($D198="","",IFERROR(INDEX(Units_Owners!$H$5:$H$504,MATCH($D198,Units_Owners!$A$5:$A$504,0)),Setup!$B$10))</f>
        <v/>
      </c>
      <c r="L198" s="13">
        <f>IF($D198="","",Setup!$B$11)</f>
        <v/>
      </c>
      <c r="M198" s="13">
        <f>IF($D198="","",IF(AND(TODAY()&gt;=Setup!$B$9,$P198&gt;0),Setup!$B$12,0))</f>
        <v/>
      </c>
      <c r="N198" s="13">
        <f>IF($D198="","",SUM($J198:$M198))</f>
        <v/>
      </c>
      <c r="O198" s="13">
        <f>IF($A198="","",SUMIFS(Payments!$F:$F,Payments!$D:$D,$A198))</f>
        <v/>
      </c>
      <c r="P198" s="13">
        <f>IF($D198="","",MAX(0,$N198-$O198))</f>
        <v/>
      </c>
      <c r="Q198" s="2">
        <f>IF($D198="","",IF(IFERROR(INDEX(Units_Owners!$I$5:$I$504,MATCH($D198,Units_Owners!$A$5:$A$504,0)),"No")&lt;&gt;"Yes","Skip - Inactive",IF($P198=0,"Paid",IF(TODAY()&gt;$I198,"Past Due","Open"))))</f>
        <v/>
      </c>
      <c r="R198" s="14" t="n"/>
      <c r="S198" s="6" t="n"/>
    </row>
    <row r="199">
      <c r="A199" s="2">
        <f>IF($D199="","","INV-"&amp;$B199&amp;"-"&amp;$C199&amp;"-"&amp;TEXT(ROW(A195),"0000"))</f>
        <v/>
      </c>
      <c r="B199" s="2">
        <f>Setup!$B$5</f>
        <v/>
      </c>
      <c r="C199" s="2">
        <f>Setup!$B$6</f>
        <v/>
      </c>
      <c r="D199" s="2">
        <f>IFERROR(INDEX(Units_Owners!$A$5:$A$504,ROWS($A$5:A199)),"")</f>
        <v/>
      </c>
      <c r="E199" s="2">
        <f>IF($D199="","",IFERROR(INDEX(Units_Owners!$B$5:$B$504,MATCH($D199,Units_Owners!$A$5:$A$504,0)),""))</f>
        <v/>
      </c>
      <c r="F199" s="2">
        <f>IF($D199="","",IFERROR(INDEX(Units_Owners!$C$5:$C$504,MATCH($D199,Units_Owners!$A$5:$A$504,0)),""))</f>
        <v/>
      </c>
      <c r="G199" s="2">
        <f>IF($D199="","",IFERROR(INDEX(Units_Owners!$D$5:$D$504,MATCH($D199,Units_Owners!$A$5:$A$504,0)),""))</f>
        <v/>
      </c>
      <c r="H199" s="12">
        <f>Setup!$B$7</f>
        <v/>
      </c>
      <c r="I199" s="12">
        <f>Setup!$B$8</f>
        <v/>
      </c>
      <c r="J199" s="13">
        <f>IF($D199="","",IFERROR(INDEX(Units_Owners!$J$5:$J$504,MATCH($D199,Units_Owners!$A$5:$A$504,0)),0)+SUMIFS(Ledger!$F:$F,Ledger!$B:$B,$D199,Ledger!$D:$D,"&lt;"&amp;$H199)-SUMIFS(Ledger!$G:$G,Ledger!$B:$B,$D199,Ledger!$D:$D,"&lt;"&amp;$H199))</f>
        <v/>
      </c>
      <c r="K199" s="13">
        <f>IF($D199="","",IFERROR(INDEX(Units_Owners!$H$5:$H$504,MATCH($D199,Units_Owners!$A$5:$A$504,0)),Setup!$B$10))</f>
        <v/>
      </c>
      <c r="L199" s="13">
        <f>IF($D199="","",Setup!$B$11)</f>
        <v/>
      </c>
      <c r="M199" s="13">
        <f>IF($D199="","",IF(AND(TODAY()&gt;=Setup!$B$9,$P199&gt;0),Setup!$B$12,0))</f>
        <v/>
      </c>
      <c r="N199" s="13">
        <f>IF($D199="","",SUM($J199:$M199))</f>
        <v/>
      </c>
      <c r="O199" s="13">
        <f>IF($A199="","",SUMIFS(Payments!$F:$F,Payments!$D:$D,$A199))</f>
        <v/>
      </c>
      <c r="P199" s="13">
        <f>IF($D199="","",MAX(0,$N199-$O199))</f>
        <v/>
      </c>
      <c r="Q199" s="2">
        <f>IF($D199="","",IF(IFERROR(INDEX(Units_Owners!$I$5:$I$504,MATCH($D199,Units_Owners!$A$5:$A$504,0)),"No")&lt;&gt;"Yes","Skip - Inactive",IF($P199=0,"Paid",IF(TODAY()&gt;$I199,"Past Due","Open"))))</f>
        <v/>
      </c>
      <c r="R199" s="12" t="n"/>
      <c r="S199" s="2" t="n"/>
    </row>
    <row r="200">
      <c r="A200" s="2">
        <f>IF($D200="","","INV-"&amp;$B200&amp;"-"&amp;$C200&amp;"-"&amp;TEXT(ROW(A196),"0000"))</f>
        <v/>
      </c>
      <c r="B200" s="2">
        <f>Setup!$B$5</f>
        <v/>
      </c>
      <c r="C200" s="2">
        <f>Setup!$B$6</f>
        <v/>
      </c>
      <c r="D200" s="2">
        <f>IFERROR(INDEX(Units_Owners!$A$5:$A$504,ROWS($A$5:A200)),"")</f>
        <v/>
      </c>
      <c r="E200" s="2">
        <f>IF($D200="","",IFERROR(INDEX(Units_Owners!$B$5:$B$504,MATCH($D200,Units_Owners!$A$5:$A$504,0)),""))</f>
        <v/>
      </c>
      <c r="F200" s="2">
        <f>IF($D200="","",IFERROR(INDEX(Units_Owners!$C$5:$C$504,MATCH($D200,Units_Owners!$A$5:$A$504,0)),""))</f>
        <v/>
      </c>
      <c r="G200" s="2">
        <f>IF($D200="","",IFERROR(INDEX(Units_Owners!$D$5:$D$504,MATCH($D200,Units_Owners!$A$5:$A$504,0)),""))</f>
        <v/>
      </c>
      <c r="H200" s="12">
        <f>Setup!$B$7</f>
        <v/>
      </c>
      <c r="I200" s="12">
        <f>Setup!$B$8</f>
        <v/>
      </c>
      <c r="J200" s="13">
        <f>IF($D200="","",IFERROR(INDEX(Units_Owners!$J$5:$J$504,MATCH($D200,Units_Owners!$A$5:$A$504,0)),0)+SUMIFS(Ledger!$F:$F,Ledger!$B:$B,$D200,Ledger!$D:$D,"&lt;"&amp;$H200)-SUMIFS(Ledger!$G:$G,Ledger!$B:$B,$D200,Ledger!$D:$D,"&lt;"&amp;$H200))</f>
        <v/>
      </c>
      <c r="K200" s="13">
        <f>IF($D200="","",IFERROR(INDEX(Units_Owners!$H$5:$H$504,MATCH($D200,Units_Owners!$A$5:$A$504,0)),Setup!$B$10))</f>
        <v/>
      </c>
      <c r="L200" s="13">
        <f>IF($D200="","",Setup!$B$11)</f>
        <v/>
      </c>
      <c r="M200" s="13">
        <f>IF($D200="","",IF(AND(TODAY()&gt;=Setup!$B$9,$P200&gt;0),Setup!$B$12,0))</f>
        <v/>
      </c>
      <c r="N200" s="13">
        <f>IF($D200="","",SUM($J200:$M200))</f>
        <v/>
      </c>
      <c r="O200" s="13">
        <f>IF($A200="","",SUMIFS(Payments!$F:$F,Payments!$D:$D,$A200))</f>
        <v/>
      </c>
      <c r="P200" s="13">
        <f>IF($D200="","",MAX(0,$N200-$O200))</f>
        <v/>
      </c>
      <c r="Q200" s="2">
        <f>IF($D200="","",IF(IFERROR(INDEX(Units_Owners!$I$5:$I$504,MATCH($D200,Units_Owners!$A$5:$A$504,0)),"No")&lt;&gt;"Yes","Skip - Inactive",IF($P200=0,"Paid",IF(TODAY()&gt;$I200,"Past Due","Open"))))</f>
        <v/>
      </c>
      <c r="R200" s="14" t="n"/>
      <c r="S200" s="6" t="n"/>
    </row>
    <row r="201">
      <c r="A201" s="2">
        <f>IF($D201="","","INV-"&amp;$B201&amp;"-"&amp;$C201&amp;"-"&amp;TEXT(ROW(A197),"0000"))</f>
        <v/>
      </c>
      <c r="B201" s="2">
        <f>Setup!$B$5</f>
        <v/>
      </c>
      <c r="C201" s="2">
        <f>Setup!$B$6</f>
        <v/>
      </c>
      <c r="D201" s="2">
        <f>IFERROR(INDEX(Units_Owners!$A$5:$A$504,ROWS($A$5:A201)),"")</f>
        <v/>
      </c>
      <c r="E201" s="2">
        <f>IF($D201="","",IFERROR(INDEX(Units_Owners!$B$5:$B$504,MATCH($D201,Units_Owners!$A$5:$A$504,0)),""))</f>
        <v/>
      </c>
      <c r="F201" s="2">
        <f>IF($D201="","",IFERROR(INDEX(Units_Owners!$C$5:$C$504,MATCH($D201,Units_Owners!$A$5:$A$504,0)),""))</f>
        <v/>
      </c>
      <c r="G201" s="2">
        <f>IF($D201="","",IFERROR(INDEX(Units_Owners!$D$5:$D$504,MATCH($D201,Units_Owners!$A$5:$A$504,0)),""))</f>
        <v/>
      </c>
      <c r="H201" s="12">
        <f>Setup!$B$7</f>
        <v/>
      </c>
      <c r="I201" s="12">
        <f>Setup!$B$8</f>
        <v/>
      </c>
      <c r="J201" s="13">
        <f>IF($D201="","",IFERROR(INDEX(Units_Owners!$J$5:$J$504,MATCH($D201,Units_Owners!$A$5:$A$504,0)),0)+SUMIFS(Ledger!$F:$F,Ledger!$B:$B,$D201,Ledger!$D:$D,"&lt;"&amp;$H201)-SUMIFS(Ledger!$G:$G,Ledger!$B:$B,$D201,Ledger!$D:$D,"&lt;"&amp;$H201))</f>
        <v/>
      </c>
      <c r="K201" s="13">
        <f>IF($D201="","",IFERROR(INDEX(Units_Owners!$H$5:$H$504,MATCH($D201,Units_Owners!$A$5:$A$504,0)),Setup!$B$10))</f>
        <v/>
      </c>
      <c r="L201" s="13">
        <f>IF($D201="","",Setup!$B$11)</f>
        <v/>
      </c>
      <c r="M201" s="13">
        <f>IF($D201="","",IF(AND(TODAY()&gt;=Setup!$B$9,$P201&gt;0),Setup!$B$12,0))</f>
        <v/>
      </c>
      <c r="N201" s="13">
        <f>IF($D201="","",SUM($J201:$M201))</f>
        <v/>
      </c>
      <c r="O201" s="13">
        <f>IF($A201="","",SUMIFS(Payments!$F:$F,Payments!$D:$D,$A201))</f>
        <v/>
      </c>
      <c r="P201" s="13">
        <f>IF($D201="","",MAX(0,$N201-$O201))</f>
        <v/>
      </c>
      <c r="Q201" s="2">
        <f>IF($D201="","",IF(IFERROR(INDEX(Units_Owners!$I$5:$I$504,MATCH($D201,Units_Owners!$A$5:$A$504,0)),"No")&lt;&gt;"Yes","Skip - Inactive",IF($P201=0,"Paid",IF(TODAY()&gt;$I201,"Past Due","Open"))))</f>
        <v/>
      </c>
      <c r="R201" s="12" t="n"/>
      <c r="S201" s="2" t="n"/>
    </row>
    <row r="202">
      <c r="A202" s="2">
        <f>IF($D202="","","INV-"&amp;$B202&amp;"-"&amp;$C202&amp;"-"&amp;TEXT(ROW(A198),"0000"))</f>
        <v/>
      </c>
      <c r="B202" s="2">
        <f>Setup!$B$5</f>
        <v/>
      </c>
      <c r="C202" s="2">
        <f>Setup!$B$6</f>
        <v/>
      </c>
      <c r="D202" s="2">
        <f>IFERROR(INDEX(Units_Owners!$A$5:$A$504,ROWS($A$5:A202)),"")</f>
        <v/>
      </c>
      <c r="E202" s="2">
        <f>IF($D202="","",IFERROR(INDEX(Units_Owners!$B$5:$B$504,MATCH($D202,Units_Owners!$A$5:$A$504,0)),""))</f>
        <v/>
      </c>
      <c r="F202" s="2">
        <f>IF($D202="","",IFERROR(INDEX(Units_Owners!$C$5:$C$504,MATCH($D202,Units_Owners!$A$5:$A$504,0)),""))</f>
        <v/>
      </c>
      <c r="G202" s="2">
        <f>IF($D202="","",IFERROR(INDEX(Units_Owners!$D$5:$D$504,MATCH($D202,Units_Owners!$A$5:$A$504,0)),""))</f>
        <v/>
      </c>
      <c r="H202" s="12">
        <f>Setup!$B$7</f>
        <v/>
      </c>
      <c r="I202" s="12">
        <f>Setup!$B$8</f>
        <v/>
      </c>
      <c r="J202" s="13">
        <f>IF($D202="","",IFERROR(INDEX(Units_Owners!$J$5:$J$504,MATCH($D202,Units_Owners!$A$5:$A$504,0)),0)+SUMIFS(Ledger!$F:$F,Ledger!$B:$B,$D202,Ledger!$D:$D,"&lt;"&amp;$H202)-SUMIFS(Ledger!$G:$G,Ledger!$B:$B,$D202,Ledger!$D:$D,"&lt;"&amp;$H202))</f>
        <v/>
      </c>
      <c r="K202" s="13">
        <f>IF($D202="","",IFERROR(INDEX(Units_Owners!$H$5:$H$504,MATCH($D202,Units_Owners!$A$5:$A$504,0)),Setup!$B$10))</f>
        <v/>
      </c>
      <c r="L202" s="13">
        <f>IF($D202="","",Setup!$B$11)</f>
        <v/>
      </c>
      <c r="M202" s="13">
        <f>IF($D202="","",IF(AND(TODAY()&gt;=Setup!$B$9,$P202&gt;0),Setup!$B$12,0))</f>
        <v/>
      </c>
      <c r="N202" s="13">
        <f>IF($D202="","",SUM($J202:$M202))</f>
        <v/>
      </c>
      <c r="O202" s="13">
        <f>IF($A202="","",SUMIFS(Payments!$F:$F,Payments!$D:$D,$A202))</f>
        <v/>
      </c>
      <c r="P202" s="13">
        <f>IF($D202="","",MAX(0,$N202-$O202))</f>
        <v/>
      </c>
      <c r="Q202" s="2">
        <f>IF($D202="","",IF(IFERROR(INDEX(Units_Owners!$I$5:$I$504,MATCH($D202,Units_Owners!$A$5:$A$504,0)),"No")&lt;&gt;"Yes","Skip - Inactive",IF($P202=0,"Paid",IF(TODAY()&gt;$I202,"Past Due","Open"))))</f>
        <v/>
      </c>
      <c r="R202" s="14" t="n"/>
      <c r="S202" s="6" t="n"/>
    </row>
    <row r="203">
      <c r="A203" s="2">
        <f>IF($D203="","","INV-"&amp;$B203&amp;"-"&amp;$C203&amp;"-"&amp;TEXT(ROW(A199),"0000"))</f>
        <v/>
      </c>
      <c r="B203" s="2">
        <f>Setup!$B$5</f>
        <v/>
      </c>
      <c r="C203" s="2">
        <f>Setup!$B$6</f>
        <v/>
      </c>
      <c r="D203" s="2">
        <f>IFERROR(INDEX(Units_Owners!$A$5:$A$504,ROWS($A$5:A203)),"")</f>
        <v/>
      </c>
      <c r="E203" s="2">
        <f>IF($D203="","",IFERROR(INDEX(Units_Owners!$B$5:$B$504,MATCH($D203,Units_Owners!$A$5:$A$504,0)),""))</f>
        <v/>
      </c>
      <c r="F203" s="2">
        <f>IF($D203="","",IFERROR(INDEX(Units_Owners!$C$5:$C$504,MATCH($D203,Units_Owners!$A$5:$A$504,0)),""))</f>
        <v/>
      </c>
      <c r="G203" s="2">
        <f>IF($D203="","",IFERROR(INDEX(Units_Owners!$D$5:$D$504,MATCH($D203,Units_Owners!$A$5:$A$504,0)),""))</f>
        <v/>
      </c>
      <c r="H203" s="12">
        <f>Setup!$B$7</f>
        <v/>
      </c>
      <c r="I203" s="12">
        <f>Setup!$B$8</f>
        <v/>
      </c>
      <c r="J203" s="13">
        <f>IF($D203="","",IFERROR(INDEX(Units_Owners!$J$5:$J$504,MATCH($D203,Units_Owners!$A$5:$A$504,0)),0)+SUMIFS(Ledger!$F:$F,Ledger!$B:$B,$D203,Ledger!$D:$D,"&lt;"&amp;$H203)-SUMIFS(Ledger!$G:$G,Ledger!$B:$B,$D203,Ledger!$D:$D,"&lt;"&amp;$H203))</f>
        <v/>
      </c>
      <c r="K203" s="13">
        <f>IF($D203="","",IFERROR(INDEX(Units_Owners!$H$5:$H$504,MATCH($D203,Units_Owners!$A$5:$A$504,0)),Setup!$B$10))</f>
        <v/>
      </c>
      <c r="L203" s="13">
        <f>IF($D203="","",Setup!$B$11)</f>
        <v/>
      </c>
      <c r="M203" s="13">
        <f>IF($D203="","",IF(AND(TODAY()&gt;=Setup!$B$9,$P203&gt;0),Setup!$B$12,0))</f>
        <v/>
      </c>
      <c r="N203" s="13">
        <f>IF($D203="","",SUM($J203:$M203))</f>
        <v/>
      </c>
      <c r="O203" s="13">
        <f>IF($A203="","",SUMIFS(Payments!$F:$F,Payments!$D:$D,$A203))</f>
        <v/>
      </c>
      <c r="P203" s="13">
        <f>IF($D203="","",MAX(0,$N203-$O203))</f>
        <v/>
      </c>
      <c r="Q203" s="2">
        <f>IF($D203="","",IF(IFERROR(INDEX(Units_Owners!$I$5:$I$504,MATCH($D203,Units_Owners!$A$5:$A$504,0)),"No")&lt;&gt;"Yes","Skip - Inactive",IF($P203=0,"Paid",IF(TODAY()&gt;$I203,"Past Due","Open"))))</f>
        <v/>
      </c>
      <c r="R203" s="12" t="n"/>
      <c r="S203" s="2" t="n"/>
    </row>
    <row r="204">
      <c r="A204" s="2">
        <f>IF($D204="","","INV-"&amp;$B204&amp;"-"&amp;$C204&amp;"-"&amp;TEXT(ROW(A200),"0000"))</f>
        <v/>
      </c>
      <c r="B204" s="2">
        <f>Setup!$B$5</f>
        <v/>
      </c>
      <c r="C204" s="2">
        <f>Setup!$B$6</f>
        <v/>
      </c>
      <c r="D204" s="2">
        <f>IFERROR(INDEX(Units_Owners!$A$5:$A$504,ROWS($A$5:A204)),"")</f>
        <v/>
      </c>
      <c r="E204" s="2">
        <f>IF($D204="","",IFERROR(INDEX(Units_Owners!$B$5:$B$504,MATCH($D204,Units_Owners!$A$5:$A$504,0)),""))</f>
        <v/>
      </c>
      <c r="F204" s="2">
        <f>IF($D204="","",IFERROR(INDEX(Units_Owners!$C$5:$C$504,MATCH($D204,Units_Owners!$A$5:$A$504,0)),""))</f>
        <v/>
      </c>
      <c r="G204" s="2">
        <f>IF($D204="","",IFERROR(INDEX(Units_Owners!$D$5:$D$504,MATCH($D204,Units_Owners!$A$5:$A$504,0)),""))</f>
        <v/>
      </c>
      <c r="H204" s="12">
        <f>Setup!$B$7</f>
        <v/>
      </c>
      <c r="I204" s="12">
        <f>Setup!$B$8</f>
        <v/>
      </c>
      <c r="J204" s="13">
        <f>IF($D204="","",IFERROR(INDEX(Units_Owners!$J$5:$J$504,MATCH($D204,Units_Owners!$A$5:$A$504,0)),0)+SUMIFS(Ledger!$F:$F,Ledger!$B:$B,$D204,Ledger!$D:$D,"&lt;"&amp;$H204)-SUMIFS(Ledger!$G:$G,Ledger!$B:$B,$D204,Ledger!$D:$D,"&lt;"&amp;$H204))</f>
        <v/>
      </c>
      <c r="K204" s="13">
        <f>IF($D204="","",IFERROR(INDEX(Units_Owners!$H$5:$H$504,MATCH($D204,Units_Owners!$A$5:$A$504,0)),Setup!$B$10))</f>
        <v/>
      </c>
      <c r="L204" s="13">
        <f>IF($D204="","",Setup!$B$11)</f>
        <v/>
      </c>
      <c r="M204" s="13">
        <f>IF($D204="","",IF(AND(TODAY()&gt;=Setup!$B$9,$P204&gt;0),Setup!$B$12,0))</f>
        <v/>
      </c>
      <c r="N204" s="13">
        <f>IF($D204="","",SUM($J204:$M204))</f>
        <v/>
      </c>
      <c r="O204" s="13">
        <f>IF($A204="","",SUMIFS(Payments!$F:$F,Payments!$D:$D,$A204))</f>
        <v/>
      </c>
      <c r="P204" s="13">
        <f>IF($D204="","",MAX(0,$N204-$O204))</f>
        <v/>
      </c>
      <c r="Q204" s="2">
        <f>IF($D204="","",IF(IFERROR(INDEX(Units_Owners!$I$5:$I$504,MATCH($D204,Units_Owners!$A$5:$A$504,0)),"No")&lt;&gt;"Yes","Skip - Inactive",IF($P204=0,"Paid",IF(TODAY()&gt;$I204,"Past Due","Open"))))</f>
        <v/>
      </c>
      <c r="R204" s="14" t="n"/>
      <c r="S204" s="6" t="n"/>
    </row>
    <row r="205">
      <c r="A205" s="2">
        <f>IF($D205="","","INV-"&amp;$B205&amp;"-"&amp;$C205&amp;"-"&amp;TEXT(ROW(A201),"0000"))</f>
        <v/>
      </c>
      <c r="B205" s="2">
        <f>Setup!$B$5</f>
        <v/>
      </c>
      <c r="C205" s="2">
        <f>Setup!$B$6</f>
        <v/>
      </c>
      <c r="D205" s="2">
        <f>IFERROR(INDEX(Units_Owners!$A$5:$A$504,ROWS($A$5:A205)),"")</f>
        <v/>
      </c>
      <c r="E205" s="2">
        <f>IF($D205="","",IFERROR(INDEX(Units_Owners!$B$5:$B$504,MATCH($D205,Units_Owners!$A$5:$A$504,0)),""))</f>
        <v/>
      </c>
      <c r="F205" s="2">
        <f>IF($D205="","",IFERROR(INDEX(Units_Owners!$C$5:$C$504,MATCH($D205,Units_Owners!$A$5:$A$504,0)),""))</f>
        <v/>
      </c>
      <c r="G205" s="2">
        <f>IF($D205="","",IFERROR(INDEX(Units_Owners!$D$5:$D$504,MATCH($D205,Units_Owners!$A$5:$A$504,0)),""))</f>
        <v/>
      </c>
      <c r="H205" s="12">
        <f>Setup!$B$7</f>
        <v/>
      </c>
      <c r="I205" s="12">
        <f>Setup!$B$8</f>
        <v/>
      </c>
      <c r="J205" s="13">
        <f>IF($D205="","",IFERROR(INDEX(Units_Owners!$J$5:$J$504,MATCH($D205,Units_Owners!$A$5:$A$504,0)),0)+SUMIFS(Ledger!$F:$F,Ledger!$B:$B,$D205,Ledger!$D:$D,"&lt;"&amp;$H205)-SUMIFS(Ledger!$G:$G,Ledger!$B:$B,$D205,Ledger!$D:$D,"&lt;"&amp;$H205))</f>
        <v/>
      </c>
      <c r="K205" s="13">
        <f>IF($D205="","",IFERROR(INDEX(Units_Owners!$H$5:$H$504,MATCH($D205,Units_Owners!$A$5:$A$504,0)),Setup!$B$10))</f>
        <v/>
      </c>
      <c r="L205" s="13">
        <f>IF($D205="","",Setup!$B$11)</f>
        <v/>
      </c>
      <c r="M205" s="13">
        <f>IF($D205="","",IF(AND(TODAY()&gt;=Setup!$B$9,$P205&gt;0),Setup!$B$12,0))</f>
        <v/>
      </c>
      <c r="N205" s="13">
        <f>IF($D205="","",SUM($J205:$M205))</f>
        <v/>
      </c>
      <c r="O205" s="13">
        <f>IF($A205="","",SUMIFS(Payments!$F:$F,Payments!$D:$D,$A205))</f>
        <v/>
      </c>
      <c r="P205" s="13">
        <f>IF($D205="","",MAX(0,$N205-$O205))</f>
        <v/>
      </c>
      <c r="Q205" s="2">
        <f>IF($D205="","",IF(IFERROR(INDEX(Units_Owners!$I$5:$I$504,MATCH($D205,Units_Owners!$A$5:$A$504,0)),"No")&lt;&gt;"Yes","Skip - Inactive",IF($P205=0,"Paid",IF(TODAY()&gt;$I205,"Past Due","Open"))))</f>
        <v/>
      </c>
      <c r="R205" s="12" t="n"/>
      <c r="S205" s="2" t="n"/>
    </row>
    <row r="206">
      <c r="A206" s="2">
        <f>IF($D206="","","INV-"&amp;$B206&amp;"-"&amp;$C206&amp;"-"&amp;TEXT(ROW(A202),"0000"))</f>
        <v/>
      </c>
      <c r="B206" s="2">
        <f>Setup!$B$5</f>
        <v/>
      </c>
      <c r="C206" s="2">
        <f>Setup!$B$6</f>
        <v/>
      </c>
      <c r="D206" s="2">
        <f>IFERROR(INDEX(Units_Owners!$A$5:$A$504,ROWS($A$5:A206)),"")</f>
        <v/>
      </c>
      <c r="E206" s="2">
        <f>IF($D206="","",IFERROR(INDEX(Units_Owners!$B$5:$B$504,MATCH($D206,Units_Owners!$A$5:$A$504,0)),""))</f>
        <v/>
      </c>
      <c r="F206" s="2">
        <f>IF($D206="","",IFERROR(INDEX(Units_Owners!$C$5:$C$504,MATCH($D206,Units_Owners!$A$5:$A$504,0)),""))</f>
        <v/>
      </c>
      <c r="G206" s="2">
        <f>IF($D206="","",IFERROR(INDEX(Units_Owners!$D$5:$D$504,MATCH($D206,Units_Owners!$A$5:$A$504,0)),""))</f>
        <v/>
      </c>
      <c r="H206" s="12">
        <f>Setup!$B$7</f>
        <v/>
      </c>
      <c r="I206" s="12">
        <f>Setup!$B$8</f>
        <v/>
      </c>
      <c r="J206" s="13">
        <f>IF($D206="","",IFERROR(INDEX(Units_Owners!$J$5:$J$504,MATCH($D206,Units_Owners!$A$5:$A$504,0)),0)+SUMIFS(Ledger!$F:$F,Ledger!$B:$B,$D206,Ledger!$D:$D,"&lt;"&amp;$H206)-SUMIFS(Ledger!$G:$G,Ledger!$B:$B,$D206,Ledger!$D:$D,"&lt;"&amp;$H206))</f>
        <v/>
      </c>
      <c r="K206" s="13">
        <f>IF($D206="","",IFERROR(INDEX(Units_Owners!$H$5:$H$504,MATCH($D206,Units_Owners!$A$5:$A$504,0)),Setup!$B$10))</f>
        <v/>
      </c>
      <c r="L206" s="13">
        <f>IF($D206="","",Setup!$B$11)</f>
        <v/>
      </c>
      <c r="M206" s="13">
        <f>IF($D206="","",IF(AND(TODAY()&gt;=Setup!$B$9,$P206&gt;0),Setup!$B$12,0))</f>
        <v/>
      </c>
      <c r="N206" s="13">
        <f>IF($D206="","",SUM($J206:$M206))</f>
        <v/>
      </c>
      <c r="O206" s="13">
        <f>IF($A206="","",SUMIFS(Payments!$F:$F,Payments!$D:$D,$A206))</f>
        <v/>
      </c>
      <c r="P206" s="13">
        <f>IF($D206="","",MAX(0,$N206-$O206))</f>
        <v/>
      </c>
      <c r="Q206" s="2">
        <f>IF($D206="","",IF(IFERROR(INDEX(Units_Owners!$I$5:$I$504,MATCH($D206,Units_Owners!$A$5:$A$504,0)),"No")&lt;&gt;"Yes","Skip - Inactive",IF($P206=0,"Paid",IF(TODAY()&gt;$I206,"Past Due","Open"))))</f>
        <v/>
      </c>
      <c r="R206" s="14" t="n"/>
      <c r="S206" s="6" t="n"/>
    </row>
    <row r="207">
      <c r="A207" s="2">
        <f>IF($D207="","","INV-"&amp;$B207&amp;"-"&amp;$C207&amp;"-"&amp;TEXT(ROW(A203),"0000"))</f>
        <v/>
      </c>
      <c r="B207" s="2">
        <f>Setup!$B$5</f>
        <v/>
      </c>
      <c r="C207" s="2">
        <f>Setup!$B$6</f>
        <v/>
      </c>
      <c r="D207" s="2">
        <f>IFERROR(INDEX(Units_Owners!$A$5:$A$504,ROWS($A$5:A207)),"")</f>
        <v/>
      </c>
      <c r="E207" s="2">
        <f>IF($D207="","",IFERROR(INDEX(Units_Owners!$B$5:$B$504,MATCH($D207,Units_Owners!$A$5:$A$504,0)),""))</f>
        <v/>
      </c>
      <c r="F207" s="2">
        <f>IF($D207="","",IFERROR(INDEX(Units_Owners!$C$5:$C$504,MATCH($D207,Units_Owners!$A$5:$A$504,0)),""))</f>
        <v/>
      </c>
      <c r="G207" s="2">
        <f>IF($D207="","",IFERROR(INDEX(Units_Owners!$D$5:$D$504,MATCH($D207,Units_Owners!$A$5:$A$504,0)),""))</f>
        <v/>
      </c>
      <c r="H207" s="12">
        <f>Setup!$B$7</f>
        <v/>
      </c>
      <c r="I207" s="12">
        <f>Setup!$B$8</f>
        <v/>
      </c>
      <c r="J207" s="13">
        <f>IF($D207="","",IFERROR(INDEX(Units_Owners!$J$5:$J$504,MATCH($D207,Units_Owners!$A$5:$A$504,0)),0)+SUMIFS(Ledger!$F:$F,Ledger!$B:$B,$D207,Ledger!$D:$D,"&lt;"&amp;$H207)-SUMIFS(Ledger!$G:$G,Ledger!$B:$B,$D207,Ledger!$D:$D,"&lt;"&amp;$H207))</f>
        <v/>
      </c>
      <c r="K207" s="13">
        <f>IF($D207="","",IFERROR(INDEX(Units_Owners!$H$5:$H$504,MATCH($D207,Units_Owners!$A$5:$A$504,0)),Setup!$B$10))</f>
        <v/>
      </c>
      <c r="L207" s="13">
        <f>IF($D207="","",Setup!$B$11)</f>
        <v/>
      </c>
      <c r="M207" s="13">
        <f>IF($D207="","",IF(AND(TODAY()&gt;=Setup!$B$9,$P207&gt;0),Setup!$B$12,0))</f>
        <v/>
      </c>
      <c r="N207" s="13">
        <f>IF($D207="","",SUM($J207:$M207))</f>
        <v/>
      </c>
      <c r="O207" s="13">
        <f>IF($A207="","",SUMIFS(Payments!$F:$F,Payments!$D:$D,$A207))</f>
        <v/>
      </c>
      <c r="P207" s="13">
        <f>IF($D207="","",MAX(0,$N207-$O207))</f>
        <v/>
      </c>
      <c r="Q207" s="2">
        <f>IF($D207="","",IF(IFERROR(INDEX(Units_Owners!$I$5:$I$504,MATCH($D207,Units_Owners!$A$5:$A$504,0)),"No")&lt;&gt;"Yes","Skip - Inactive",IF($P207=0,"Paid",IF(TODAY()&gt;$I207,"Past Due","Open"))))</f>
        <v/>
      </c>
      <c r="R207" s="12" t="n"/>
      <c r="S207" s="2" t="n"/>
    </row>
    <row r="208">
      <c r="A208" s="2">
        <f>IF($D208="","","INV-"&amp;$B208&amp;"-"&amp;$C208&amp;"-"&amp;TEXT(ROW(A204),"0000"))</f>
        <v/>
      </c>
      <c r="B208" s="2">
        <f>Setup!$B$5</f>
        <v/>
      </c>
      <c r="C208" s="2">
        <f>Setup!$B$6</f>
        <v/>
      </c>
      <c r="D208" s="2">
        <f>IFERROR(INDEX(Units_Owners!$A$5:$A$504,ROWS($A$5:A208)),"")</f>
        <v/>
      </c>
      <c r="E208" s="2">
        <f>IF($D208="","",IFERROR(INDEX(Units_Owners!$B$5:$B$504,MATCH($D208,Units_Owners!$A$5:$A$504,0)),""))</f>
        <v/>
      </c>
      <c r="F208" s="2">
        <f>IF($D208="","",IFERROR(INDEX(Units_Owners!$C$5:$C$504,MATCH($D208,Units_Owners!$A$5:$A$504,0)),""))</f>
        <v/>
      </c>
      <c r="G208" s="2">
        <f>IF($D208="","",IFERROR(INDEX(Units_Owners!$D$5:$D$504,MATCH($D208,Units_Owners!$A$5:$A$504,0)),""))</f>
        <v/>
      </c>
      <c r="H208" s="12">
        <f>Setup!$B$7</f>
        <v/>
      </c>
      <c r="I208" s="12">
        <f>Setup!$B$8</f>
        <v/>
      </c>
      <c r="J208" s="13">
        <f>IF($D208="","",IFERROR(INDEX(Units_Owners!$J$5:$J$504,MATCH($D208,Units_Owners!$A$5:$A$504,0)),0)+SUMIFS(Ledger!$F:$F,Ledger!$B:$B,$D208,Ledger!$D:$D,"&lt;"&amp;$H208)-SUMIFS(Ledger!$G:$G,Ledger!$B:$B,$D208,Ledger!$D:$D,"&lt;"&amp;$H208))</f>
        <v/>
      </c>
      <c r="K208" s="13">
        <f>IF($D208="","",IFERROR(INDEX(Units_Owners!$H$5:$H$504,MATCH($D208,Units_Owners!$A$5:$A$504,0)),Setup!$B$10))</f>
        <v/>
      </c>
      <c r="L208" s="13">
        <f>IF($D208="","",Setup!$B$11)</f>
        <v/>
      </c>
      <c r="M208" s="13">
        <f>IF($D208="","",IF(AND(TODAY()&gt;=Setup!$B$9,$P208&gt;0),Setup!$B$12,0))</f>
        <v/>
      </c>
      <c r="N208" s="13">
        <f>IF($D208="","",SUM($J208:$M208))</f>
        <v/>
      </c>
      <c r="O208" s="13">
        <f>IF($A208="","",SUMIFS(Payments!$F:$F,Payments!$D:$D,$A208))</f>
        <v/>
      </c>
      <c r="P208" s="13">
        <f>IF($D208="","",MAX(0,$N208-$O208))</f>
        <v/>
      </c>
      <c r="Q208" s="2">
        <f>IF($D208="","",IF(IFERROR(INDEX(Units_Owners!$I$5:$I$504,MATCH($D208,Units_Owners!$A$5:$A$504,0)),"No")&lt;&gt;"Yes","Skip - Inactive",IF($P208=0,"Paid",IF(TODAY()&gt;$I208,"Past Due","Open"))))</f>
        <v/>
      </c>
      <c r="R208" s="14" t="n"/>
      <c r="S208" s="6" t="n"/>
    </row>
    <row r="209">
      <c r="A209" s="2">
        <f>IF($D209="","","INV-"&amp;$B209&amp;"-"&amp;$C209&amp;"-"&amp;TEXT(ROW(A205),"0000"))</f>
        <v/>
      </c>
      <c r="B209" s="2">
        <f>Setup!$B$5</f>
        <v/>
      </c>
      <c r="C209" s="2">
        <f>Setup!$B$6</f>
        <v/>
      </c>
      <c r="D209" s="2">
        <f>IFERROR(INDEX(Units_Owners!$A$5:$A$504,ROWS($A$5:A209)),"")</f>
        <v/>
      </c>
      <c r="E209" s="2">
        <f>IF($D209="","",IFERROR(INDEX(Units_Owners!$B$5:$B$504,MATCH($D209,Units_Owners!$A$5:$A$504,0)),""))</f>
        <v/>
      </c>
      <c r="F209" s="2">
        <f>IF($D209="","",IFERROR(INDEX(Units_Owners!$C$5:$C$504,MATCH($D209,Units_Owners!$A$5:$A$504,0)),""))</f>
        <v/>
      </c>
      <c r="G209" s="2">
        <f>IF($D209="","",IFERROR(INDEX(Units_Owners!$D$5:$D$504,MATCH($D209,Units_Owners!$A$5:$A$504,0)),""))</f>
        <v/>
      </c>
      <c r="H209" s="12">
        <f>Setup!$B$7</f>
        <v/>
      </c>
      <c r="I209" s="12">
        <f>Setup!$B$8</f>
        <v/>
      </c>
      <c r="J209" s="13">
        <f>IF($D209="","",IFERROR(INDEX(Units_Owners!$J$5:$J$504,MATCH($D209,Units_Owners!$A$5:$A$504,0)),0)+SUMIFS(Ledger!$F:$F,Ledger!$B:$B,$D209,Ledger!$D:$D,"&lt;"&amp;$H209)-SUMIFS(Ledger!$G:$G,Ledger!$B:$B,$D209,Ledger!$D:$D,"&lt;"&amp;$H209))</f>
        <v/>
      </c>
      <c r="K209" s="13">
        <f>IF($D209="","",IFERROR(INDEX(Units_Owners!$H$5:$H$504,MATCH($D209,Units_Owners!$A$5:$A$504,0)),Setup!$B$10))</f>
        <v/>
      </c>
      <c r="L209" s="13">
        <f>IF($D209="","",Setup!$B$11)</f>
        <v/>
      </c>
      <c r="M209" s="13">
        <f>IF($D209="","",IF(AND(TODAY()&gt;=Setup!$B$9,$P209&gt;0),Setup!$B$12,0))</f>
        <v/>
      </c>
      <c r="N209" s="13">
        <f>IF($D209="","",SUM($J209:$M209))</f>
        <v/>
      </c>
      <c r="O209" s="13">
        <f>IF($A209="","",SUMIFS(Payments!$F:$F,Payments!$D:$D,$A209))</f>
        <v/>
      </c>
      <c r="P209" s="13">
        <f>IF($D209="","",MAX(0,$N209-$O209))</f>
        <v/>
      </c>
      <c r="Q209" s="2">
        <f>IF($D209="","",IF(IFERROR(INDEX(Units_Owners!$I$5:$I$504,MATCH($D209,Units_Owners!$A$5:$A$504,0)),"No")&lt;&gt;"Yes","Skip - Inactive",IF($P209=0,"Paid",IF(TODAY()&gt;$I209,"Past Due","Open"))))</f>
        <v/>
      </c>
      <c r="R209" s="12" t="n"/>
      <c r="S209" s="2" t="n"/>
    </row>
    <row r="210">
      <c r="A210" s="2">
        <f>IF($D210="","","INV-"&amp;$B210&amp;"-"&amp;$C210&amp;"-"&amp;TEXT(ROW(A206),"0000"))</f>
        <v/>
      </c>
      <c r="B210" s="2">
        <f>Setup!$B$5</f>
        <v/>
      </c>
      <c r="C210" s="2">
        <f>Setup!$B$6</f>
        <v/>
      </c>
      <c r="D210" s="2">
        <f>IFERROR(INDEX(Units_Owners!$A$5:$A$504,ROWS($A$5:A210)),"")</f>
        <v/>
      </c>
      <c r="E210" s="2">
        <f>IF($D210="","",IFERROR(INDEX(Units_Owners!$B$5:$B$504,MATCH($D210,Units_Owners!$A$5:$A$504,0)),""))</f>
        <v/>
      </c>
      <c r="F210" s="2">
        <f>IF($D210="","",IFERROR(INDEX(Units_Owners!$C$5:$C$504,MATCH($D210,Units_Owners!$A$5:$A$504,0)),""))</f>
        <v/>
      </c>
      <c r="G210" s="2">
        <f>IF($D210="","",IFERROR(INDEX(Units_Owners!$D$5:$D$504,MATCH($D210,Units_Owners!$A$5:$A$504,0)),""))</f>
        <v/>
      </c>
      <c r="H210" s="12">
        <f>Setup!$B$7</f>
        <v/>
      </c>
      <c r="I210" s="12">
        <f>Setup!$B$8</f>
        <v/>
      </c>
      <c r="J210" s="13">
        <f>IF($D210="","",IFERROR(INDEX(Units_Owners!$J$5:$J$504,MATCH($D210,Units_Owners!$A$5:$A$504,0)),0)+SUMIFS(Ledger!$F:$F,Ledger!$B:$B,$D210,Ledger!$D:$D,"&lt;"&amp;$H210)-SUMIFS(Ledger!$G:$G,Ledger!$B:$B,$D210,Ledger!$D:$D,"&lt;"&amp;$H210))</f>
        <v/>
      </c>
      <c r="K210" s="13">
        <f>IF($D210="","",IFERROR(INDEX(Units_Owners!$H$5:$H$504,MATCH($D210,Units_Owners!$A$5:$A$504,0)),Setup!$B$10))</f>
        <v/>
      </c>
      <c r="L210" s="13">
        <f>IF($D210="","",Setup!$B$11)</f>
        <v/>
      </c>
      <c r="M210" s="13">
        <f>IF($D210="","",IF(AND(TODAY()&gt;=Setup!$B$9,$P210&gt;0),Setup!$B$12,0))</f>
        <v/>
      </c>
      <c r="N210" s="13">
        <f>IF($D210="","",SUM($J210:$M210))</f>
        <v/>
      </c>
      <c r="O210" s="13">
        <f>IF($A210="","",SUMIFS(Payments!$F:$F,Payments!$D:$D,$A210))</f>
        <v/>
      </c>
      <c r="P210" s="13">
        <f>IF($D210="","",MAX(0,$N210-$O210))</f>
        <v/>
      </c>
      <c r="Q210" s="2">
        <f>IF($D210="","",IF(IFERROR(INDEX(Units_Owners!$I$5:$I$504,MATCH($D210,Units_Owners!$A$5:$A$504,0)),"No")&lt;&gt;"Yes","Skip - Inactive",IF($P210=0,"Paid",IF(TODAY()&gt;$I210,"Past Due","Open"))))</f>
        <v/>
      </c>
      <c r="R210" s="14" t="n"/>
      <c r="S210" s="6" t="n"/>
    </row>
    <row r="211">
      <c r="A211" s="2">
        <f>IF($D211="","","INV-"&amp;$B211&amp;"-"&amp;$C211&amp;"-"&amp;TEXT(ROW(A207),"0000"))</f>
        <v/>
      </c>
      <c r="B211" s="2">
        <f>Setup!$B$5</f>
        <v/>
      </c>
      <c r="C211" s="2">
        <f>Setup!$B$6</f>
        <v/>
      </c>
      <c r="D211" s="2">
        <f>IFERROR(INDEX(Units_Owners!$A$5:$A$504,ROWS($A$5:A211)),"")</f>
        <v/>
      </c>
      <c r="E211" s="2">
        <f>IF($D211="","",IFERROR(INDEX(Units_Owners!$B$5:$B$504,MATCH($D211,Units_Owners!$A$5:$A$504,0)),""))</f>
        <v/>
      </c>
      <c r="F211" s="2">
        <f>IF($D211="","",IFERROR(INDEX(Units_Owners!$C$5:$C$504,MATCH($D211,Units_Owners!$A$5:$A$504,0)),""))</f>
        <v/>
      </c>
      <c r="G211" s="2">
        <f>IF($D211="","",IFERROR(INDEX(Units_Owners!$D$5:$D$504,MATCH($D211,Units_Owners!$A$5:$A$504,0)),""))</f>
        <v/>
      </c>
      <c r="H211" s="12">
        <f>Setup!$B$7</f>
        <v/>
      </c>
      <c r="I211" s="12">
        <f>Setup!$B$8</f>
        <v/>
      </c>
      <c r="J211" s="13">
        <f>IF($D211="","",IFERROR(INDEX(Units_Owners!$J$5:$J$504,MATCH($D211,Units_Owners!$A$5:$A$504,0)),0)+SUMIFS(Ledger!$F:$F,Ledger!$B:$B,$D211,Ledger!$D:$D,"&lt;"&amp;$H211)-SUMIFS(Ledger!$G:$G,Ledger!$B:$B,$D211,Ledger!$D:$D,"&lt;"&amp;$H211))</f>
        <v/>
      </c>
      <c r="K211" s="13">
        <f>IF($D211="","",IFERROR(INDEX(Units_Owners!$H$5:$H$504,MATCH($D211,Units_Owners!$A$5:$A$504,0)),Setup!$B$10))</f>
        <v/>
      </c>
      <c r="L211" s="13">
        <f>IF($D211="","",Setup!$B$11)</f>
        <v/>
      </c>
      <c r="M211" s="13">
        <f>IF($D211="","",IF(AND(TODAY()&gt;=Setup!$B$9,$P211&gt;0),Setup!$B$12,0))</f>
        <v/>
      </c>
      <c r="N211" s="13">
        <f>IF($D211="","",SUM($J211:$M211))</f>
        <v/>
      </c>
      <c r="O211" s="13">
        <f>IF($A211="","",SUMIFS(Payments!$F:$F,Payments!$D:$D,$A211))</f>
        <v/>
      </c>
      <c r="P211" s="13">
        <f>IF($D211="","",MAX(0,$N211-$O211))</f>
        <v/>
      </c>
      <c r="Q211" s="2">
        <f>IF($D211="","",IF(IFERROR(INDEX(Units_Owners!$I$5:$I$504,MATCH($D211,Units_Owners!$A$5:$A$504,0)),"No")&lt;&gt;"Yes","Skip - Inactive",IF($P211=0,"Paid",IF(TODAY()&gt;$I211,"Past Due","Open"))))</f>
        <v/>
      </c>
      <c r="R211" s="12" t="n"/>
      <c r="S211" s="2" t="n"/>
    </row>
    <row r="212">
      <c r="A212" s="2">
        <f>IF($D212="","","INV-"&amp;$B212&amp;"-"&amp;$C212&amp;"-"&amp;TEXT(ROW(A208),"0000"))</f>
        <v/>
      </c>
      <c r="B212" s="2">
        <f>Setup!$B$5</f>
        <v/>
      </c>
      <c r="C212" s="2">
        <f>Setup!$B$6</f>
        <v/>
      </c>
      <c r="D212" s="2">
        <f>IFERROR(INDEX(Units_Owners!$A$5:$A$504,ROWS($A$5:A212)),"")</f>
        <v/>
      </c>
      <c r="E212" s="2">
        <f>IF($D212="","",IFERROR(INDEX(Units_Owners!$B$5:$B$504,MATCH($D212,Units_Owners!$A$5:$A$504,0)),""))</f>
        <v/>
      </c>
      <c r="F212" s="2">
        <f>IF($D212="","",IFERROR(INDEX(Units_Owners!$C$5:$C$504,MATCH($D212,Units_Owners!$A$5:$A$504,0)),""))</f>
        <v/>
      </c>
      <c r="G212" s="2">
        <f>IF($D212="","",IFERROR(INDEX(Units_Owners!$D$5:$D$504,MATCH($D212,Units_Owners!$A$5:$A$504,0)),""))</f>
        <v/>
      </c>
      <c r="H212" s="12">
        <f>Setup!$B$7</f>
        <v/>
      </c>
      <c r="I212" s="12">
        <f>Setup!$B$8</f>
        <v/>
      </c>
      <c r="J212" s="13">
        <f>IF($D212="","",IFERROR(INDEX(Units_Owners!$J$5:$J$504,MATCH($D212,Units_Owners!$A$5:$A$504,0)),0)+SUMIFS(Ledger!$F:$F,Ledger!$B:$B,$D212,Ledger!$D:$D,"&lt;"&amp;$H212)-SUMIFS(Ledger!$G:$G,Ledger!$B:$B,$D212,Ledger!$D:$D,"&lt;"&amp;$H212))</f>
        <v/>
      </c>
      <c r="K212" s="13">
        <f>IF($D212="","",IFERROR(INDEX(Units_Owners!$H$5:$H$504,MATCH($D212,Units_Owners!$A$5:$A$504,0)),Setup!$B$10))</f>
        <v/>
      </c>
      <c r="L212" s="13">
        <f>IF($D212="","",Setup!$B$11)</f>
        <v/>
      </c>
      <c r="M212" s="13">
        <f>IF($D212="","",IF(AND(TODAY()&gt;=Setup!$B$9,$P212&gt;0),Setup!$B$12,0))</f>
        <v/>
      </c>
      <c r="N212" s="13">
        <f>IF($D212="","",SUM($J212:$M212))</f>
        <v/>
      </c>
      <c r="O212" s="13">
        <f>IF($A212="","",SUMIFS(Payments!$F:$F,Payments!$D:$D,$A212))</f>
        <v/>
      </c>
      <c r="P212" s="13">
        <f>IF($D212="","",MAX(0,$N212-$O212))</f>
        <v/>
      </c>
      <c r="Q212" s="2">
        <f>IF($D212="","",IF(IFERROR(INDEX(Units_Owners!$I$5:$I$504,MATCH($D212,Units_Owners!$A$5:$A$504,0)),"No")&lt;&gt;"Yes","Skip - Inactive",IF($P212=0,"Paid",IF(TODAY()&gt;$I212,"Past Due","Open"))))</f>
        <v/>
      </c>
      <c r="R212" s="14" t="n"/>
      <c r="S212" s="6" t="n"/>
    </row>
    <row r="213">
      <c r="A213" s="2">
        <f>IF($D213="","","INV-"&amp;$B213&amp;"-"&amp;$C213&amp;"-"&amp;TEXT(ROW(A209),"0000"))</f>
        <v/>
      </c>
      <c r="B213" s="2">
        <f>Setup!$B$5</f>
        <v/>
      </c>
      <c r="C213" s="2">
        <f>Setup!$B$6</f>
        <v/>
      </c>
      <c r="D213" s="2">
        <f>IFERROR(INDEX(Units_Owners!$A$5:$A$504,ROWS($A$5:A213)),"")</f>
        <v/>
      </c>
      <c r="E213" s="2">
        <f>IF($D213="","",IFERROR(INDEX(Units_Owners!$B$5:$B$504,MATCH($D213,Units_Owners!$A$5:$A$504,0)),""))</f>
        <v/>
      </c>
      <c r="F213" s="2">
        <f>IF($D213="","",IFERROR(INDEX(Units_Owners!$C$5:$C$504,MATCH($D213,Units_Owners!$A$5:$A$504,0)),""))</f>
        <v/>
      </c>
      <c r="G213" s="2">
        <f>IF($D213="","",IFERROR(INDEX(Units_Owners!$D$5:$D$504,MATCH($D213,Units_Owners!$A$5:$A$504,0)),""))</f>
        <v/>
      </c>
      <c r="H213" s="12">
        <f>Setup!$B$7</f>
        <v/>
      </c>
      <c r="I213" s="12">
        <f>Setup!$B$8</f>
        <v/>
      </c>
      <c r="J213" s="13">
        <f>IF($D213="","",IFERROR(INDEX(Units_Owners!$J$5:$J$504,MATCH($D213,Units_Owners!$A$5:$A$504,0)),0)+SUMIFS(Ledger!$F:$F,Ledger!$B:$B,$D213,Ledger!$D:$D,"&lt;"&amp;$H213)-SUMIFS(Ledger!$G:$G,Ledger!$B:$B,$D213,Ledger!$D:$D,"&lt;"&amp;$H213))</f>
        <v/>
      </c>
      <c r="K213" s="13">
        <f>IF($D213="","",IFERROR(INDEX(Units_Owners!$H$5:$H$504,MATCH($D213,Units_Owners!$A$5:$A$504,0)),Setup!$B$10))</f>
        <v/>
      </c>
      <c r="L213" s="13">
        <f>IF($D213="","",Setup!$B$11)</f>
        <v/>
      </c>
      <c r="M213" s="13">
        <f>IF($D213="","",IF(AND(TODAY()&gt;=Setup!$B$9,$P213&gt;0),Setup!$B$12,0))</f>
        <v/>
      </c>
      <c r="N213" s="13">
        <f>IF($D213="","",SUM($J213:$M213))</f>
        <v/>
      </c>
      <c r="O213" s="13">
        <f>IF($A213="","",SUMIFS(Payments!$F:$F,Payments!$D:$D,$A213))</f>
        <v/>
      </c>
      <c r="P213" s="13">
        <f>IF($D213="","",MAX(0,$N213-$O213))</f>
        <v/>
      </c>
      <c r="Q213" s="2">
        <f>IF($D213="","",IF(IFERROR(INDEX(Units_Owners!$I$5:$I$504,MATCH($D213,Units_Owners!$A$5:$A$504,0)),"No")&lt;&gt;"Yes","Skip - Inactive",IF($P213=0,"Paid",IF(TODAY()&gt;$I213,"Past Due","Open"))))</f>
        <v/>
      </c>
      <c r="R213" s="12" t="n"/>
      <c r="S213" s="2" t="n"/>
    </row>
    <row r="214">
      <c r="A214" s="2">
        <f>IF($D214="","","INV-"&amp;$B214&amp;"-"&amp;$C214&amp;"-"&amp;TEXT(ROW(A210),"0000"))</f>
        <v/>
      </c>
      <c r="B214" s="2">
        <f>Setup!$B$5</f>
        <v/>
      </c>
      <c r="C214" s="2">
        <f>Setup!$B$6</f>
        <v/>
      </c>
      <c r="D214" s="2">
        <f>IFERROR(INDEX(Units_Owners!$A$5:$A$504,ROWS($A$5:A214)),"")</f>
        <v/>
      </c>
      <c r="E214" s="2">
        <f>IF($D214="","",IFERROR(INDEX(Units_Owners!$B$5:$B$504,MATCH($D214,Units_Owners!$A$5:$A$504,0)),""))</f>
        <v/>
      </c>
      <c r="F214" s="2">
        <f>IF($D214="","",IFERROR(INDEX(Units_Owners!$C$5:$C$504,MATCH($D214,Units_Owners!$A$5:$A$504,0)),""))</f>
        <v/>
      </c>
      <c r="G214" s="2">
        <f>IF($D214="","",IFERROR(INDEX(Units_Owners!$D$5:$D$504,MATCH($D214,Units_Owners!$A$5:$A$504,0)),""))</f>
        <v/>
      </c>
      <c r="H214" s="12">
        <f>Setup!$B$7</f>
        <v/>
      </c>
      <c r="I214" s="12">
        <f>Setup!$B$8</f>
        <v/>
      </c>
      <c r="J214" s="13">
        <f>IF($D214="","",IFERROR(INDEX(Units_Owners!$J$5:$J$504,MATCH($D214,Units_Owners!$A$5:$A$504,0)),0)+SUMIFS(Ledger!$F:$F,Ledger!$B:$B,$D214,Ledger!$D:$D,"&lt;"&amp;$H214)-SUMIFS(Ledger!$G:$G,Ledger!$B:$B,$D214,Ledger!$D:$D,"&lt;"&amp;$H214))</f>
        <v/>
      </c>
      <c r="K214" s="13">
        <f>IF($D214="","",IFERROR(INDEX(Units_Owners!$H$5:$H$504,MATCH($D214,Units_Owners!$A$5:$A$504,0)),Setup!$B$10))</f>
        <v/>
      </c>
      <c r="L214" s="13">
        <f>IF($D214="","",Setup!$B$11)</f>
        <v/>
      </c>
      <c r="M214" s="13">
        <f>IF($D214="","",IF(AND(TODAY()&gt;=Setup!$B$9,$P214&gt;0),Setup!$B$12,0))</f>
        <v/>
      </c>
      <c r="N214" s="13">
        <f>IF($D214="","",SUM($J214:$M214))</f>
        <v/>
      </c>
      <c r="O214" s="13">
        <f>IF($A214="","",SUMIFS(Payments!$F:$F,Payments!$D:$D,$A214))</f>
        <v/>
      </c>
      <c r="P214" s="13">
        <f>IF($D214="","",MAX(0,$N214-$O214))</f>
        <v/>
      </c>
      <c r="Q214" s="2">
        <f>IF($D214="","",IF(IFERROR(INDEX(Units_Owners!$I$5:$I$504,MATCH($D214,Units_Owners!$A$5:$A$504,0)),"No")&lt;&gt;"Yes","Skip - Inactive",IF($P214=0,"Paid",IF(TODAY()&gt;$I214,"Past Due","Open"))))</f>
        <v/>
      </c>
      <c r="R214" s="14" t="n"/>
      <c r="S214" s="6" t="n"/>
    </row>
    <row r="215">
      <c r="A215" s="2">
        <f>IF($D215="","","INV-"&amp;$B215&amp;"-"&amp;$C215&amp;"-"&amp;TEXT(ROW(A211),"0000"))</f>
        <v/>
      </c>
      <c r="B215" s="2">
        <f>Setup!$B$5</f>
        <v/>
      </c>
      <c r="C215" s="2">
        <f>Setup!$B$6</f>
        <v/>
      </c>
      <c r="D215" s="2">
        <f>IFERROR(INDEX(Units_Owners!$A$5:$A$504,ROWS($A$5:A215)),"")</f>
        <v/>
      </c>
      <c r="E215" s="2">
        <f>IF($D215="","",IFERROR(INDEX(Units_Owners!$B$5:$B$504,MATCH($D215,Units_Owners!$A$5:$A$504,0)),""))</f>
        <v/>
      </c>
      <c r="F215" s="2">
        <f>IF($D215="","",IFERROR(INDEX(Units_Owners!$C$5:$C$504,MATCH($D215,Units_Owners!$A$5:$A$504,0)),""))</f>
        <v/>
      </c>
      <c r="G215" s="2">
        <f>IF($D215="","",IFERROR(INDEX(Units_Owners!$D$5:$D$504,MATCH($D215,Units_Owners!$A$5:$A$504,0)),""))</f>
        <v/>
      </c>
      <c r="H215" s="12">
        <f>Setup!$B$7</f>
        <v/>
      </c>
      <c r="I215" s="12">
        <f>Setup!$B$8</f>
        <v/>
      </c>
      <c r="J215" s="13">
        <f>IF($D215="","",IFERROR(INDEX(Units_Owners!$J$5:$J$504,MATCH($D215,Units_Owners!$A$5:$A$504,0)),0)+SUMIFS(Ledger!$F:$F,Ledger!$B:$B,$D215,Ledger!$D:$D,"&lt;"&amp;$H215)-SUMIFS(Ledger!$G:$G,Ledger!$B:$B,$D215,Ledger!$D:$D,"&lt;"&amp;$H215))</f>
        <v/>
      </c>
      <c r="K215" s="13">
        <f>IF($D215="","",IFERROR(INDEX(Units_Owners!$H$5:$H$504,MATCH($D215,Units_Owners!$A$5:$A$504,0)),Setup!$B$10))</f>
        <v/>
      </c>
      <c r="L215" s="13">
        <f>IF($D215="","",Setup!$B$11)</f>
        <v/>
      </c>
      <c r="M215" s="13">
        <f>IF($D215="","",IF(AND(TODAY()&gt;=Setup!$B$9,$P215&gt;0),Setup!$B$12,0))</f>
        <v/>
      </c>
      <c r="N215" s="13">
        <f>IF($D215="","",SUM($J215:$M215))</f>
        <v/>
      </c>
      <c r="O215" s="13">
        <f>IF($A215="","",SUMIFS(Payments!$F:$F,Payments!$D:$D,$A215))</f>
        <v/>
      </c>
      <c r="P215" s="13">
        <f>IF($D215="","",MAX(0,$N215-$O215))</f>
        <v/>
      </c>
      <c r="Q215" s="2">
        <f>IF($D215="","",IF(IFERROR(INDEX(Units_Owners!$I$5:$I$504,MATCH($D215,Units_Owners!$A$5:$A$504,0)),"No")&lt;&gt;"Yes","Skip - Inactive",IF($P215=0,"Paid",IF(TODAY()&gt;$I215,"Past Due","Open"))))</f>
        <v/>
      </c>
      <c r="R215" s="12" t="n"/>
      <c r="S215" s="2" t="n"/>
    </row>
    <row r="216">
      <c r="A216" s="2">
        <f>IF($D216="","","INV-"&amp;$B216&amp;"-"&amp;$C216&amp;"-"&amp;TEXT(ROW(A212),"0000"))</f>
        <v/>
      </c>
      <c r="B216" s="2">
        <f>Setup!$B$5</f>
        <v/>
      </c>
      <c r="C216" s="2">
        <f>Setup!$B$6</f>
        <v/>
      </c>
      <c r="D216" s="2">
        <f>IFERROR(INDEX(Units_Owners!$A$5:$A$504,ROWS($A$5:A216)),"")</f>
        <v/>
      </c>
      <c r="E216" s="2">
        <f>IF($D216="","",IFERROR(INDEX(Units_Owners!$B$5:$B$504,MATCH($D216,Units_Owners!$A$5:$A$504,0)),""))</f>
        <v/>
      </c>
      <c r="F216" s="2">
        <f>IF($D216="","",IFERROR(INDEX(Units_Owners!$C$5:$C$504,MATCH($D216,Units_Owners!$A$5:$A$504,0)),""))</f>
        <v/>
      </c>
      <c r="G216" s="2">
        <f>IF($D216="","",IFERROR(INDEX(Units_Owners!$D$5:$D$504,MATCH($D216,Units_Owners!$A$5:$A$504,0)),""))</f>
        <v/>
      </c>
      <c r="H216" s="12">
        <f>Setup!$B$7</f>
        <v/>
      </c>
      <c r="I216" s="12">
        <f>Setup!$B$8</f>
        <v/>
      </c>
      <c r="J216" s="13">
        <f>IF($D216="","",IFERROR(INDEX(Units_Owners!$J$5:$J$504,MATCH($D216,Units_Owners!$A$5:$A$504,0)),0)+SUMIFS(Ledger!$F:$F,Ledger!$B:$B,$D216,Ledger!$D:$D,"&lt;"&amp;$H216)-SUMIFS(Ledger!$G:$G,Ledger!$B:$B,$D216,Ledger!$D:$D,"&lt;"&amp;$H216))</f>
        <v/>
      </c>
      <c r="K216" s="13">
        <f>IF($D216="","",IFERROR(INDEX(Units_Owners!$H$5:$H$504,MATCH($D216,Units_Owners!$A$5:$A$504,0)),Setup!$B$10))</f>
        <v/>
      </c>
      <c r="L216" s="13">
        <f>IF($D216="","",Setup!$B$11)</f>
        <v/>
      </c>
      <c r="M216" s="13">
        <f>IF($D216="","",IF(AND(TODAY()&gt;=Setup!$B$9,$P216&gt;0),Setup!$B$12,0))</f>
        <v/>
      </c>
      <c r="N216" s="13">
        <f>IF($D216="","",SUM($J216:$M216))</f>
        <v/>
      </c>
      <c r="O216" s="13">
        <f>IF($A216="","",SUMIFS(Payments!$F:$F,Payments!$D:$D,$A216))</f>
        <v/>
      </c>
      <c r="P216" s="13">
        <f>IF($D216="","",MAX(0,$N216-$O216))</f>
        <v/>
      </c>
      <c r="Q216" s="2">
        <f>IF($D216="","",IF(IFERROR(INDEX(Units_Owners!$I$5:$I$504,MATCH($D216,Units_Owners!$A$5:$A$504,0)),"No")&lt;&gt;"Yes","Skip - Inactive",IF($P216=0,"Paid",IF(TODAY()&gt;$I216,"Past Due","Open"))))</f>
        <v/>
      </c>
      <c r="R216" s="14" t="n"/>
      <c r="S216" s="6" t="n"/>
    </row>
    <row r="217">
      <c r="A217" s="2">
        <f>IF($D217="","","INV-"&amp;$B217&amp;"-"&amp;$C217&amp;"-"&amp;TEXT(ROW(A213),"0000"))</f>
        <v/>
      </c>
      <c r="B217" s="2">
        <f>Setup!$B$5</f>
        <v/>
      </c>
      <c r="C217" s="2">
        <f>Setup!$B$6</f>
        <v/>
      </c>
      <c r="D217" s="2">
        <f>IFERROR(INDEX(Units_Owners!$A$5:$A$504,ROWS($A$5:A217)),"")</f>
        <v/>
      </c>
      <c r="E217" s="2">
        <f>IF($D217="","",IFERROR(INDEX(Units_Owners!$B$5:$B$504,MATCH($D217,Units_Owners!$A$5:$A$504,0)),""))</f>
        <v/>
      </c>
      <c r="F217" s="2">
        <f>IF($D217="","",IFERROR(INDEX(Units_Owners!$C$5:$C$504,MATCH($D217,Units_Owners!$A$5:$A$504,0)),""))</f>
        <v/>
      </c>
      <c r="G217" s="2">
        <f>IF($D217="","",IFERROR(INDEX(Units_Owners!$D$5:$D$504,MATCH($D217,Units_Owners!$A$5:$A$504,0)),""))</f>
        <v/>
      </c>
      <c r="H217" s="12">
        <f>Setup!$B$7</f>
        <v/>
      </c>
      <c r="I217" s="12">
        <f>Setup!$B$8</f>
        <v/>
      </c>
      <c r="J217" s="13">
        <f>IF($D217="","",IFERROR(INDEX(Units_Owners!$J$5:$J$504,MATCH($D217,Units_Owners!$A$5:$A$504,0)),0)+SUMIFS(Ledger!$F:$F,Ledger!$B:$B,$D217,Ledger!$D:$D,"&lt;"&amp;$H217)-SUMIFS(Ledger!$G:$G,Ledger!$B:$B,$D217,Ledger!$D:$D,"&lt;"&amp;$H217))</f>
        <v/>
      </c>
      <c r="K217" s="13">
        <f>IF($D217="","",IFERROR(INDEX(Units_Owners!$H$5:$H$504,MATCH($D217,Units_Owners!$A$5:$A$504,0)),Setup!$B$10))</f>
        <v/>
      </c>
      <c r="L217" s="13">
        <f>IF($D217="","",Setup!$B$11)</f>
        <v/>
      </c>
      <c r="M217" s="13">
        <f>IF($D217="","",IF(AND(TODAY()&gt;=Setup!$B$9,$P217&gt;0),Setup!$B$12,0))</f>
        <v/>
      </c>
      <c r="N217" s="13">
        <f>IF($D217="","",SUM($J217:$M217))</f>
        <v/>
      </c>
      <c r="O217" s="13">
        <f>IF($A217="","",SUMIFS(Payments!$F:$F,Payments!$D:$D,$A217))</f>
        <v/>
      </c>
      <c r="P217" s="13">
        <f>IF($D217="","",MAX(0,$N217-$O217))</f>
        <v/>
      </c>
      <c r="Q217" s="2">
        <f>IF($D217="","",IF(IFERROR(INDEX(Units_Owners!$I$5:$I$504,MATCH($D217,Units_Owners!$A$5:$A$504,0)),"No")&lt;&gt;"Yes","Skip - Inactive",IF($P217=0,"Paid",IF(TODAY()&gt;$I217,"Past Due","Open"))))</f>
        <v/>
      </c>
      <c r="R217" s="12" t="n"/>
      <c r="S217" s="2" t="n"/>
    </row>
    <row r="218">
      <c r="A218" s="2">
        <f>IF($D218="","","INV-"&amp;$B218&amp;"-"&amp;$C218&amp;"-"&amp;TEXT(ROW(A214),"0000"))</f>
        <v/>
      </c>
      <c r="B218" s="2">
        <f>Setup!$B$5</f>
        <v/>
      </c>
      <c r="C218" s="2">
        <f>Setup!$B$6</f>
        <v/>
      </c>
      <c r="D218" s="2">
        <f>IFERROR(INDEX(Units_Owners!$A$5:$A$504,ROWS($A$5:A218)),"")</f>
        <v/>
      </c>
      <c r="E218" s="2">
        <f>IF($D218="","",IFERROR(INDEX(Units_Owners!$B$5:$B$504,MATCH($D218,Units_Owners!$A$5:$A$504,0)),""))</f>
        <v/>
      </c>
      <c r="F218" s="2">
        <f>IF($D218="","",IFERROR(INDEX(Units_Owners!$C$5:$C$504,MATCH($D218,Units_Owners!$A$5:$A$504,0)),""))</f>
        <v/>
      </c>
      <c r="G218" s="2">
        <f>IF($D218="","",IFERROR(INDEX(Units_Owners!$D$5:$D$504,MATCH($D218,Units_Owners!$A$5:$A$504,0)),""))</f>
        <v/>
      </c>
      <c r="H218" s="12">
        <f>Setup!$B$7</f>
        <v/>
      </c>
      <c r="I218" s="12">
        <f>Setup!$B$8</f>
        <v/>
      </c>
      <c r="J218" s="13">
        <f>IF($D218="","",IFERROR(INDEX(Units_Owners!$J$5:$J$504,MATCH($D218,Units_Owners!$A$5:$A$504,0)),0)+SUMIFS(Ledger!$F:$F,Ledger!$B:$B,$D218,Ledger!$D:$D,"&lt;"&amp;$H218)-SUMIFS(Ledger!$G:$G,Ledger!$B:$B,$D218,Ledger!$D:$D,"&lt;"&amp;$H218))</f>
        <v/>
      </c>
      <c r="K218" s="13">
        <f>IF($D218="","",IFERROR(INDEX(Units_Owners!$H$5:$H$504,MATCH($D218,Units_Owners!$A$5:$A$504,0)),Setup!$B$10))</f>
        <v/>
      </c>
      <c r="L218" s="13">
        <f>IF($D218="","",Setup!$B$11)</f>
        <v/>
      </c>
      <c r="M218" s="13">
        <f>IF($D218="","",IF(AND(TODAY()&gt;=Setup!$B$9,$P218&gt;0),Setup!$B$12,0))</f>
        <v/>
      </c>
      <c r="N218" s="13">
        <f>IF($D218="","",SUM($J218:$M218))</f>
        <v/>
      </c>
      <c r="O218" s="13">
        <f>IF($A218="","",SUMIFS(Payments!$F:$F,Payments!$D:$D,$A218))</f>
        <v/>
      </c>
      <c r="P218" s="13">
        <f>IF($D218="","",MAX(0,$N218-$O218))</f>
        <v/>
      </c>
      <c r="Q218" s="2">
        <f>IF($D218="","",IF(IFERROR(INDEX(Units_Owners!$I$5:$I$504,MATCH($D218,Units_Owners!$A$5:$A$504,0)),"No")&lt;&gt;"Yes","Skip - Inactive",IF($P218=0,"Paid",IF(TODAY()&gt;$I218,"Past Due","Open"))))</f>
        <v/>
      </c>
      <c r="R218" s="14" t="n"/>
      <c r="S218" s="6" t="n"/>
    </row>
    <row r="219">
      <c r="A219" s="2">
        <f>IF($D219="","","INV-"&amp;$B219&amp;"-"&amp;$C219&amp;"-"&amp;TEXT(ROW(A215),"0000"))</f>
        <v/>
      </c>
      <c r="B219" s="2">
        <f>Setup!$B$5</f>
        <v/>
      </c>
      <c r="C219" s="2">
        <f>Setup!$B$6</f>
        <v/>
      </c>
      <c r="D219" s="2">
        <f>IFERROR(INDEX(Units_Owners!$A$5:$A$504,ROWS($A$5:A219)),"")</f>
        <v/>
      </c>
      <c r="E219" s="2">
        <f>IF($D219="","",IFERROR(INDEX(Units_Owners!$B$5:$B$504,MATCH($D219,Units_Owners!$A$5:$A$504,0)),""))</f>
        <v/>
      </c>
      <c r="F219" s="2">
        <f>IF($D219="","",IFERROR(INDEX(Units_Owners!$C$5:$C$504,MATCH($D219,Units_Owners!$A$5:$A$504,0)),""))</f>
        <v/>
      </c>
      <c r="G219" s="2">
        <f>IF($D219="","",IFERROR(INDEX(Units_Owners!$D$5:$D$504,MATCH($D219,Units_Owners!$A$5:$A$504,0)),""))</f>
        <v/>
      </c>
      <c r="H219" s="12">
        <f>Setup!$B$7</f>
        <v/>
      </c>
      <c r="I219" s="12">
        <f>Setup!$B$8</f>
        <v/>
      </c>
      <c r="J219" s="13">
        <f>IF($D219="","",IFERROR(INDEX(Units_Owners!$J$5:$J$504,MATCH($D219,Units_Owners!$A$5:$A$504,0)),0)+SUMIFS(Ledger!$F:$F,Ledger!$B:$B,$D219,Ledger!$D:$D,"&lt;"&amp;$H219)-SUMIFS(Ledger!$G:$G,Ledger!$B:$B,$D219,Ledger!$D:$D,"&lt;"&amp;$H219))</f>
        <v/>
      </c>
      <c r="K219" s="13">
        <f>IF($D219="","",IFERROR(INDEX(Units_Owners!$H$5:$H$504,MATCH($D219,Units_Owners!$A$5:$A$504,0)),Setup!$B$10))</f>
        <v/>
      </c>
      <c r="L219" s="13">
        <f>IF($D219="","",Setup!$B$11)</f>
        <v/>
      </c>
      <c r="M219" s="13">
        <f>IF($D219="","",IF(AND(TODAY()&gt;=Setup!$B$9,$P219&gt;0),Setup!$B$12,0))</f>
        <v/>
      </c>
      <c r="N219" s="13">
        <f>IF($D219="","",SUM($J219:$M219))</f>
        <v/>
      </c>
      <c r="O219" s="13">
        <f>IF($A219="","",SUMIFS(Payments!$F:$F,Payments!$D:$D,$A219))</f>
        <v/>
      </c>
      <c r="P219" s="13">
        <f>IF($D219="","",MAX(0,$N219-$O219))</f>
        <v/>
      </c>
      <c r="Q219" s="2">
        <f>IF($D219="","",IF(IFERROR(INDEX(Units_Owners!$I$5:$I$504,MATCH($D219,Units_Owners!$A$5:$A$504,0)),"No")&lt;&gt;"Yes","Skip - Inactive",IF($P219=0,"Paid",IF(TODAY()&gt;$I219,"Past Due","Open"))))</f>
        <v/>
      </c>
      <c r="R219" s="12" t="n"/>
      <c r="S219" s="2" t="n"/>
    </row>
    <row r="220">
      <c r="A220" s="2">
        <f>IF($D220="","","INV-"&amp;$B220&amp;"-"&amp;$C220&amp;"-"&amp;TEXT(ROW(A216),"0000"))</f>
        <v/>
      </c>
      <c r="B220" s="2">
        <f>Setup!$B$5</f>
        <v/>
      </c>
      <c r="C220" s="2">
        <f>Setup!$B$6</f>
        <v/>
      </c>
      <c r="D220" s="2">
        <f>IFERROR(INDEX(Units_Owners!$A$5:$A$504,ROWS($A$5:A220)),"")</f>
        <v/>
      </c>
      <c r="E220" s="2">
        <f>IF($D220="","",IFERROR(INDEX(Units_Owners!$B$5:$B$504,MATCH($D220,Units_Owners!$A$5:$A$504,0)),""))</f>
        <v/>
      </c>
      <c r="F220" s="2">
        <f>IF($D220="","",IFERROR(INDEX(Units_Owners!$C$5:$C$504,MATCH($D220,Units_Owners!$A$5:$A$504,0)),""))</f>
        <v/>
      </c>
      <c r="G220" s="2">
        <f>IF($D220="","",IFERROR(INDEX(Units_Owners!$D$5:$D$504,MATCH($D220,Units_Owners!$A$5:$A$504,0)),""))</f>
        <v/>
      </c>
      <c r="H220" s="12">
        <f>Setup!$B$7</f>
        <v/>
      </c>
      <c r="I220" s="12">
        <f>Setup!$B$8</f>
        <v/>
      </c>
      <c r="J220" s="13">
        <f>IF($D220="","",IFERROR(INDEX(Units_Owners!$J$5:$J$504,MATCH($D220,Units_Owners!$A$5:$A$504,0)),0)+SUMIFS(Ledger!$F:$F,Ledger!$B:$B,$D220,Ledger!$D:$D,"&lt;"&amp;$H220)-SUMIFS(Ledger!$G:$G,Ledger!$B:$B,$D220,Ledger!$D:$D,"&lt;"&amp;$H220))</f>
        <v/>
      </c>
      <c r="K220" s="13">
        <f>IF($D220="","",IFERROR(INDEX(Units_Owners!$H$5:$H$504,MATCH($D220,Units_Owners!$A$5:$A$504,0)),Setup!$B$10))</f>
        <v/>
      </c>
      <c r="L220" s="13">
        <f>IF($D220="","",Setup!$B$11)</f>
        <v/>
      </c>
      <c r="M220" s="13">
        <f>IF($D220="","",IF(AND(TODAY()&gt;=Setup!$B$9,$P220&gt;0),Setup!$B$12,0))</f>
        <v/>
      </c>
      <c r="N220" s="13">
        <f>IF($D220="","",SUM($J220:$M220))</f>
        <v/>
      </c>
      <c r="O220" s="13">
        <f>IF($A220="","",SUMIFS(Payments!$F:$F,Payments!$D:$D,$A220))</f>
        <v/>
      </c>
      <c r="P220" s="13">
        <f>IF($D220="","",MAX(0,$N220-$O220))</f>
        <v/>
      </c>
      <c r="Q220" s="2">
        <f>IF($D220="","",IF(IFERROR(INDEX(Units_Owners!$I$5:$I$504,MATCH($D220,Units_Owners!$A$5:$A$504,0)),"No")&lt;&gt;"Yes","Skip - Inactive",IF($P220=0,"Paid",IF(TODAY()&gt;$I220,"Past Due","Open"))))</f>
        <v/>
      </c>
      <c r="R220" s="14" t="n"/>
      <c r="S220" s="6" t="n"/>
    </row>
    <row r="221">
      <c r="A221" s="2">
        <f>IF($D221="","","INV-"&amp;$B221&amp;"-"&amp;$C221&amp;"-"&amp;TEXT(ROW(A217),"0000"))</f>
        <v/>
      </c>
      <c r="B221" s="2">
        <f>Setup!$B$5</f>
        <v/>
      </c>
      <c r="C221" s="2">
        <f>Setup!$B$6</f>
        <v/>
      </c>
      <c r="D221" s="2">
        <f>IFERROR(INDEX(Units_Owners!$A$5:$A$504,ROWS($A$5:A221)),"")</f>
        <v/>
      </c>
      <c r="E221" s="2">
        <f>IF($D221="","",IFERROR(INDEX(Units_Owners!$B$5:$B$504,MATCH($D221,Units_Owners!$A$5:$A$504,0)),""))</f>
        <v/>
      </c>
      <c r="F221" s="2">
        <f>IF($D221="","",IFERROR(INDEX(Units_Owners!$C$5:$C$504,MATCH($D221,Units_Owners!$A$5:$A$504,0)),""))</f>
        <v/>
      </c>
      <c r="G221" s="2">
        <f>IF($D221="","",IFERROR(INDEX(Units_Owners!$D$5:$D$504,MATCH($D221,Units_Owners!$A$5:$A$504,0)),""))</f>
        <v/>
      </c>
      <c r="H221" s="12">
        <f>Setup!$B$7</f>
        <v/>
      </c>
      <c r="I221" s="12">
        <f>Setup!$B$8</f>
        <v/>
      </c>
      <c r="J221" s="13">
        <f>IF($D221="","",IFERROR(INDEX(Units_Owners!$J$5:$J$504,MATCH($D221,Units_Owners!$A$5:$A$504,0)),0)+SUMIFS(Ledger!$F:$F,Ledger!$B:$B,$D221,Ledger!$D:$D,"&lt;"&amp;$H221)-SUMIFS(Ledger!$G:$G,Ledger!$B:$B,$D221,Ledger!$D:$D,"&lt;"&amp;$H221))</f>
        <v/>
      </c>
      <c r="K221" s="13">
        <f>IF($D221="","",IFERROR(INDEX(Units_Owners!$H$5:$H$504,MATCH($D221,Units_Owners!$A$5:$A$504,0)),Setup!$B$10))</f>
        <v/>
      </c>
      <c r="L221" s="13">
        <f>IF($D221="","",Setup!$B$11)</f>
        <v/>
      </c>
      <c r="M221" s="13">
        <f>IF($D221="","",IF(AND(TODAY()&gt;=Setup!$B$9,$P221&gt;0),Setup!$B$12,0))</f>
        <v/>
      </c>
      <c r="N221" s="13">
        <f>IF($D221="","",SUM($J221:$M221))</f>
        <v/>
      </c>
      <c r="O221" s="13">
        <f>IF($A221="","",SUMIFS(Payments!$F:$F,Payments!$D:$D,$A221))</f>
        <v/>
      </c>
      <c r="P221" s="13">
        <f>IF($D221="","",MAX(0,$N221-$O221))</f>
        <v/>
      </c>
      <c r="Q221" s="2">
        <f>IF($D221="","",IF(IFERROR(INDEX(Units_Owners!$I$5:$I$504,MATCH($D221,Units_Owners!$A$5:$A$504,0)),"No")&lt;&gt;"Yes","Skip - Inactive",IF($P221=0,"Paid",IF(TODAY()&gt;$I221,"Past Due","Open"))))</f>
        <v/>
      </c>
      <c r="R221" s="12" t="n"/>
      <c r="S221" s="2" t="n"/>
    </row>
    <row r="222">
      <c r="A222" s="2">
        <f>IF($D222="","","INV-"&amp;$B222&amp;"-"&amp;$C222&amp;"-"&amp;TEXT(ROW(A218),"0000"))</f>
        <v/>
      </c>
      <c r="B222" s="2">
        <f>Setup!$B$5</f>
        <v/>
      </c>
      <c r="C222" s="2">
        <f>Setup!$B$6</f>
        <v/>
      </c>
      <c r="D222" s="2">
        <f>IFERROR(INDEX(Units_Owners!$A$5:$A$504,ROWS($A$5:A222)),"")</f>
        <v/>
      </c>
      <c r="E222" s="2">
        <f>IF($D222="","",IFERROR(INDEX(Units_Owners!$B$5:$B$504,MATCH($D222,Units_Owners!$A$5:$A$504,0)),""))</f>
        <v/>
      </c>
      <c r="F222" s="2">
        <f>IF($D222="","",IFERROR(INDEX(Units_Owners!$C$5:$C$504,MATCH($D222,Units_Owners!$A$5:$A$504,0)),""))</f>
        <v/>
      </c>
      <c r="G222" s="2">
        <f>IF($D222="","",IFERROR(INDEX(Units_Owners!$D$5:$D$504,MATCH($D222,Units_Owners!$A$5:$A$504,0)),""))</f>
        <v/>
      </c>
      <c r="H222" s="12">
        <f>Setup!$B$7</f>
        <v/>
      </c>
      <c r="I222" s="12">
        <f>Setup!$B$8</f>
        <v/>
      </c>
      <c r="J222" s="13">
        <f>IF($D222="","",IFERROR(INDEX(Units_Owners!$J$5:$J$504,MATCH($D222,Units_Owners!$A$5:$A$504,0)),0)+SUMIFS(Ledger!$F:$F,Ledger!$B:$B,$D222,Ledger!$D:$D,"&lt;"&amp;$H222)-SUMIFS(Ledger!$G:$G,Ledger!$B:$B,$D222,Ledger!$D:$D,"&lt;"&amp;$H222))</f>
        <v/>
      </c>
      <c r="K222" s="13">
        <f>IF($D222="","",IFERROR(INDEX(Units_Owners!$H$5:$H$504,MATCH($D222,Units_Owners!$A$5:$A$504,0)),Setup!$B$10))</f>
        <v/>
      </c>
      <c r="L222" s="13">
        <f>IF($D222="","",Setup!$B$11)</f>
        <v/>
      </c>
      <c r="M222" s="13">
        <f>IF($D222="","",IF(AND(TODAY()&gt;=Setup!$B$9,$P222&gt;0),Setup!$B$12,0))</f>
        <v/>
      </c>
      <c r="N222" s="13">
        <f>IF($D222="","",SUM($J222:$M222))</f>
        <v/>
      </c>
      <c r="O222" s="13">
        <f>IF($A222="","",SUMIFS(Payments!$F:$F,Payments!$D:$D,$A222))</f>
        <v/>
      </c>
      <c r="P222" s="13">
        <f>IF($D222="","",MAX(0,$N222-$O222))</f>
        <v/>
      </c>
      <c r="Q222" s="2">
        <f>IF($D222="","",IF(IFERROR(INDEX(Units_Owners!$I$5:$I$504,MATCH($D222,Units_Owners!$A$5:$A$504,0)),"No")&lt;&gt;"Yes","Skip - Inactive",IF($P222=0,"Paid",IF(TODAY()&gt;$I222,"Past Due","Open"))))</f>
        <v/>
      </c>
      <c r="R222" s="14" t="n"/>
      <c r="S222" s="6" t="n"/>
    </row>
    <row r="223">
      <c r="A223" s="2">
        <f>IF($D223="","","INV-"&amp;$B223&amp;"-"&amp;$C223&amp;"-"&amp;TEXT(ROW(A219),"0000"))</f>
        <v/>
      </c>
      <c r="B223" s="2">
        <f>Setup!$B$5</f>
        <v/>
      </c>
      <c r="C223" s="2">
        <f>Setup!$B$6</f>
        <v/>
      </c>
      <c r="D223" s="2">
        <f>IFERROR(INDEX(Units_Owners!$A$5:$A$504,ROWS($A$5:A223)),"")</f>
        <v/>
      </c>
      <c r="E223" s="2">
        <f>IF($D223="","",IFERROR(INDEX(Units_Owners!$B$5:$B$504,MATCH($D223,Units_Owners!$A$5:$A$504,0)),""))</f>
        <v/>
      </c>
      <c r="F223" s="2">
        <f>IF($D223="","",IFERROR(INDEX(Units_Owners!$C$5:$C$504,MATCH($D223,Units_Owners!$A$5:$A$504,0)),""))</f>
        <v/>
      </c>
      <c r="G223" s="2">
        <f>IF($D223="","",IFERROR(INDEX(Units_Owners!$D$5:$D$504,MATCH($D223,Units_Owners!$A$5:$A$504,0)),""))</f>
        <v/>
      </c>
      <c r="H223" s="12">
        <f>Setup!$B$7</f>
        <v/>
      </c>
      <c r="I223" s="12">
        <f>Setup!$B$8</f>
        <v/>
      </c>
      <c r="J223" s="13">
        <f>IF($D223="","",IFERROR(INDEX(Units_Owners!$J$5:$J$504,MATCH($D223,Units_Owners!$A$5:$A$504,0)),0)+SUMIFS(Ledger!$F:$F,Ledger!$B:$B,$D223,Ledger!$D:$D,"&lt;"&amp;$H223)-SUMIFS(Ledger!$G:$G,Ledger!$B:$B,$D223,Ledger!$D:$D,"&lt;"&amp;$H223))</f>
        <v/>
      </c>
      <c r="K223" s="13">
        <f>IF($D223="","",IFERROR(INDEX(Units_Owners!$H$5:$H$504,MATCH($D223,Units_Owners!$A$5:$A$504,0)),Setup!$B$10))</f>
        <v/>
      </c>
      <c r="L223" s="13">
        <f>IF($D223="","",Setup!$B$11)</f>
        <v/>
      </c>
      <c r="M223" s="13">
        <f>IF($D223="","",IF(AND(TODAY()&gt;=Setup!$B$9,$P223&gt;0),Setup!$B$12,0))</f>
        <v/>
      </c>
      <c r="N223" s="13">
        <f>IF($D223="","",SUM($J223:$M223))</f>
        <v/>
      </c>
      <c r="O223" s="13">
        <f>IF($A223="","",SUMIFS(Payments!$F:$F,Payments!$D:$D,$A223))</f>
        <v/>
      </c>
      <c r="P223" s="13">
        <f>IF($D223="","",MAX(0,$N223-$O223))</f>
        <v/>
      </c>
      <c r="Q223" s="2">
        <f>IF($D223="","",IF(IFERROR(INDEX(Units_Owners!$I$5:$I$504,MATCH($D223,Units_Owners!$A$5:$A$504,0)),"No")&lt;&gt;"Yes","Skip - Inactive",IF($P223=0,"Paid",IF(TODAY()&gt;$I223,"Past Due","Open"))))</f>
        <v/>
      </c>
      <c r="R223" s="12" t="n"/>
      <c r="S223" s="2" t="n"/>
    </row>
    <row r="224">
      <c r="A224" s="2">
        <f>IF($D224="","","INV-"&amp;$B224&amp;"-"&amp;$C224&amp;"-"&amp;TEXT(ROW(A220),"0000"))</f>
        <v/>
      </c>
      <c r="B224" s="2">
        <f>Setup!$B$5</f>
        <v/>
      </c>
      <c r="C224" s="2">
        <f>Setup!$B$6</f>
        <v/>
      </c>
      <c r="D224" s="2">
        <f>IFERROR(INDEX(Units_Owners!$A$5:$A$504,ROWS($A$5:A224)),"")</f>
        <v/>
      </c>
      <c r="E224" s="2">
        <f>IF($D224="","",IFERROR(INDEX(Units_Owners!$B$5:$B$504,MATCH($D224,Units_Owners!$A$5:$A$504,0)),""))</f>
        <v/>
      </c>
      <c r="F224" s="2">
        <f>IF($D224="","",IFERROR(INDEX(Units_Owners!$C$5:$C$504,MATCH($D224,Units_Owners!$A$5:$A$504,0)),""))</f>
        <v/>
      </c>
      <c r="G224" s="2">
        <f>IF($D224="","",IFERROR(INDEX(Units_Owners!$D$5:$D$504,MATCH($D224,Units_Owners!$A$5:$A$504,0)),""))</f>
        <v/>
      </c>
      <c r="H224" s="12">
        <f>Setup!$B$7</f>
        <v/>
      </c>
      <c r="I224" s="12">
        <f>Setup!$B$8</f>
        <v/>
      </c>
      <c r="J224" s="13">
        <f>IF($D224="","",IFERROR(INDEX(Units_Owners!$J$5:$J$504,MATCH($D224,Units_Owners!$A$5:$A$504,0)),0)+SUMIFS(Ledger!$F:$F,Ledger!$B:$B,$D224,Ledger!$D:$D,"&lt;"&amp;$H224)-SUMIFS(Ledger!$G:$G,Ledger!$B:$B,$D224,Ledger!$D:$D,"&lt;"&amp;$H224))</f>
        <v/>
      </c>
      <c r="K224" s="13">
        <f>IF($D224="","",IFERROR(INDEX(Units_Owners!$H$5:$H$504,MATCH($D224,Units_Owners!$A$5:$A$504,0)),Setup!$B$10))</f>
        <v/>
      </c>
      <c r="L224" s="13">
        <f>IF($D224="","",Setup!$B$11)</f>
        <v/>
      </c>
      <c r="M224" s="13">
        <f>IF($D224="","",IF(AND(TODAY()&gt;=Setup!$B$9,$P224&gt;0),Setup!$B$12,0))</f>
        <v/>
      </c>
      <c r="N224" s="13">
        <f>IF($D224="","",SUM($J224:$M224))</f>
        <v/>
      </c>
      <c r="O224" s="13">
        <f>IF($A224="","",SUMIFS(Payments!$F:$F,Payments!$D:$D,$A224))</f>
        <v/>
      </c>
      <c r="P224" s="13">
        <f>IF($D224="","",MAX(0,$N224-$O224))</f>
        <v/>
      </c>
      <c r="Q224" s="2">
        <f>IF($D224="","",IF(IFERROR(INDEX(Units_Owners!$I$5:$I$504,MATCH($D224,Units_Owners!$A$5:$A$504,0)),"No")&lt;&gt;"Yes","Skip - Inactive",IF($P224=0,"Paid",IF(TODAY()&gt;$I224,"Past Due","Open"))))</f>
        <v/>
      </c>
      <c r="R224" s="14" t="n"/>
      <c r="S224" s="6" t="n"/>
    </row>
    <row r="225">
      <c r="A225" s="2">
        <f>IF($D225="","","INV-"&amp;$B225&amp;"-"&amp;$C225&amp;"-"&amp;TEXT(ROW(A221),"0000"))</f>
        <v/>
      </c>
      <c r="B225" s="2">
        <f>Setup!$B$5</f>
        <v/>
      </c>
      <c r="C225" s="2">
        <f>Setup!$B$6</f>
        <v/>
      </c>
      <c r="D225" s="2">
        <f>IFERROR(INDEX(Units_Owners!$A$5:$A$504,ROWS($A$5:A225)),"")</f>
        <v/>
      </c>
      <c r="E225" s="2">
        <f>IF($D225="","",IFERROR(INDEX(Units_Owners!$B$5:$B$504,MATCH($D225,Units_Owners!$A$5:$A$504,0)),""))</f>
        <v/>
      </c>
      <c r="F225" s="2">
        <f>IF($D225="","",IFERROR(INDEX(Units_Owners!$C$5:$C$504,MATCH($D225,Units_Owners!$A$5:$A$504,0)),""))</f>
        <v/>
      </c>
      <c r="G225" s="2">
        <f>IF($D225="","",IFERROR(INDEX(Units_Owners!$D$5:$D$504,MATCH($D225,Units_Owners!$A$5:$A$504,0)),""))</f>
        <v/>
      </c>
      <c r="H225" s="12">
        <f>Setup!$B$7</f>
        <v/>
      </c>
      <c r="I225" s="12">
        <f>Setup!$B$8</f>
        <v/>
      </c>
      <c r="J225" s="13">
        <f>IF($D225="","",IFERROR(INDEX(Units_Owners!$J$5:$J$504,MATCH($D225,Units_Owners!$A$5:$A$504,0)),0)+SUMIFS(Ledger!$F:$F,Ledger!$B:$B,$D225,Ledger!$D:$D,"&lt;"&amp;$H225)-SUMIFS(Ledger!$G:$G,Ledger!$B:$B,$D225,Ledger!$D:$D,"&lt;"&amp;$H225))</f>
        <v/>
      </c>
      <c r="K225" s="13">
        <f>IF($D225="","",IFERROR(INDEX(Units_Owners!$H$5:$H$504,MATCH($D225,Units_Owners!$A$5:$A$504,0)),Setup!$B$10))</f>
        <v/>
      </c>
      <c r="L225" s="13">
        <f>IF($D225="","",Setup!$B$11)</f>
        <v/>
      </c>
      <c r="M225" s="13">
        <f>IF($D225="","",IF(AND(TODAY()&gt;=Setup!$B$9,$P225&gt;0),Setup!$B$12,0))</f>
        <v/>
      </c>
      <c r="N225" s="13">
        <f>IF($D225="","",SUM($J225:$M225))</f>
        <v/>
      </c>
      <c r="O225" s="13">
        <f>IF($A225="","",SUMIFS(Payments!$F:$F,Payments!$D:$D,$A225))</f>
        <v/>
      </c>
      <c r="P225" s="13">
        <f>IF($D225="","",MAX(0,$N225-$O225))</f>
        <v/>
      </c>
      <c r="Q225" s="2">
        <f>IF($D225="","",IF(IFERROR(INDEX(Units_Owners!$I$5:$I$504,MATCH($D225,Units_Owners!$A$5:$A$504,0)),"No")&lt;&gt;"Yes","Skip - Inactive",IF($P225=0,"Paid",IF(TODAY()&gt;$I225,"Past Due","Open"))))</f>
        <v/>
      </c>
      <c r="R225" s="12" t="n"/>
      <c r="S225" s="2" t="n"/>
    </row>
    <row r="226">
      <c r="A226" s="2">
        <f>IF($D226="","","INV-"&amp;$B226&amp;"-"&amp;$C226&amp;"-"&amp;TEXT(ROW(A222),"0000"))</f>
        <v/>
      </c>
      <c r="B226" s="2">
        <f>Setup!$B$5</f>
        <v/>
      </c>
      <c r="C226" s="2">
        <f>Setup!$B$6</f>
        <v/>
      </c>
      <c r="D226" s="2">
        <f>IFERROR(INDEX(Units_Owners!$A$5:$A$504,ROWS($A$5:A226)),"")</f>
        <v/>
      </c>
      <c r="E226" s="2">
        <f>IF($D226="","",IFERROR(INDEX(Units_Owners!$B$5:$B$504,MATCH($D226,Units_Owners!$A$5:$A$504,0)),""))</f>
        <v/>
      </c>
      <c r="F226" s="2">
        <f>IF($D226="","",IFERROR(INDEX(Units_Owners!$C$5:$C$504,MATCH($D226,Units_Owners!$A$5:$A$504,0)),""))</f>
        <v/>
      </c>
      <c r="G226" s="2">
        <f>IF($D226="","",IFERROR(INDEX(Units_Owners!$D$5:$D$504,MATCH($D226,Units_Owners!$A$5:$A$504,0)),""))</f>
        <v/>
      </c>
      <c r="H226" s="12">
        <f>Setup!$B$7</f>
        <v/>
      </c>
      <c r="I226" s="12">
        <f>Setup!$B$8</f>
        <v/>
      </c>
      <c r="J226" s="13">
        <f>IF($D226="","",IFERROR(INDEX(Units_Owners!$J$5:$J$504,MATCH($D226,Units_Owners!$A$5:$A$504,0)),0)+SUMIFS(Ledger!$F:$F,Ledger!$B:$B,$D226,Ledger!$D:$D,"&lt;"&amp;$H226)-SUMIFS(Ledger!$G:$G,Ledger!$B:$B,$D226,Ledger!$D:$D,"&lt;"&amp;$H226))</f>
        <v/>
      </c>
      <c r="K226" s="13">
        <f>IF($D226="","",IFERROR(INDEX(Units_Owners!$H$5:$H$504,MATCH($D226,Units_Owners!$A$5:$A$504,0)),Setup!$B$10))</f>
        <v/>
      </c>
      <c r="L226" s="13">
        <f>IF($D226="","",Setup!$B$11)</f>
        <v/>
      </c>
      <c r="M226" s="13">
        <f>IF($D226="","",IF(AND(TODAY()&gt;=Setup!$B$9,$P226&gt;0),Setup!$B$12,0))</f>
        <v/>
      </c>
      <c r="N226" s="13">
        <f>IF($D226="","",SUM($J226:$M226))</f>
        <v/>
      </c>
      <c r="O226" s="13">
        <f>IF($A226="","",SUMIFS(Payments!$F:$F,Payments!$D:$D,$A226))</f>
        <v/>
      </c>
      <c r="P226" s="13">
        <f>IF($D226="","",MAX(0,$N226-$O226))</f>
        <v/>
      </c>
      <c r="Q226" s="2">
        <f>IF($D226="","",IF(IFERROR(INDEX(Units_Owners!$I$5:$I$504,MATCH($D226,Units_Owners!$A$5:$A$504,0)),"No")&lt;&gt;"Yes","Skip - Inactive",IF($P226=0,"Paid",IF(TODAY()&gt;$I226,"Past Due","Open"))))</f>
        <v/>
      </c>
      <c r="R226" s="14" t="n"/>
      <c r="S226" s="6" t="n"/>
    </row>
    <row r="227">
      <c r="A227" s="2">
        <f>IF($D227="","","INV-"&amp;$B227&amp;"-"&amp;$C227&amp;"-"&amp;TEXT(ROW(A223),"0000"))</f>
        <v/>
      </c>
      <c r="B227" s="2">
        <f>Setup!$B$5</f>
        <v/>
      </c>
      <c r="C227" s="2">
        <f>Setup!$B$6</f>
        <v/>
      </c>
      <c r="D227" s="2">
        <f>IFERROR(INDEX(Units_Owners!$A$5:$A$504,ROWS($A$5:A227)),"")</f>
        <v/>
      </c>
      <c r="E227" s="2">
        <f>IF($D227="","",IFERROR(INDEX(Units_Owners!$B$5:$B$504,MATCH($D227,Units_Owners!$A$5:$A$504,0)),""))</f>
        <v/>
      </c>
      <c r="F227" s="2">
        <f>IF($D227="","",IFERROR(INDEX(Units_Owners!$C$5:$C$504,MATCH($D227,Units_Owners!$A$5:$A$504,0)),""))</f>
        <v/>
      </c>
      <c r="G227" s="2">
        <f>IF($D227="","",IFERROR(INDEX(Units_Owners!$D$5:$D$504,MATCH($D227,Units_Owners!$A$5:$A$504,0)),""))</f>
        <v/>
      </c>
      <c r="H227" s="12">
        <f>Setup!$B$7</f>
        <v/>
      </c>
      <c r="I227" s="12">
        <f>Setup!$B$8</f>
        <v/>
      </c>
      <c r="J227" s="13">
        <f>IF($D227="","",IFERROR(INDEX(Units_Owners!$J$5:$J$504,MATCH($D227,Units_Owners!$A$5:$A$504,0)),0)+SUMIFS(Ledger!$F:$F,Ledger!$B:$B,$D227,Ledger!$D:$D,"&lt;"&amp;$H227)-SUMIFS(Ledger!$G:$G,Ledger!$B:$B,$D227,Ledger!$D:$D,"&lt;"&amp;$H227))</f>
        <v/>
      </c>
      <c r="K227" s="13">
        <f>IF($D227="","",IFERROR(INDEX(Units_Owners!$H$5:$H$504,MATCH($D227,Units_Owners!$A$5:$A$504,0)),Setup!$B$10))</f>
        <v/>
      </c>
      <c r="L227" s="13">
        <f>IF($D227="","",Setup!$B$11)</f>
        <v/>
      </c>
      <c r="M227" s="13">
        <f>IF($D227="","",IF(AND(TODAY()&gt;=Setup!$B$9,$P227&gt;0),Setup!$B$12,0))</f>
        <v/>
      </c>
      <c r="N227" s="13">
        <f>IF($D227="","",SUM($J227:$M227))</f>
        <v/>
      </c>
      <c r="O227" s="13">
        <f>IF($A227="","",SUMIFS(Payments!$F:$F,Payments!$D:$D,$A227))</f>
        <v/>
      </c>
      <c r="P227" s="13">
        <f>IF($D227="","",MAX(0,$N227-$O227))</f>
        <v/>
      </c>
      <c r="Q227" s="2">
        <f>IF($D227="","",IF(IFERROR(INDEX(Units_Owners!$I$5:$I$504,MATCH($D227,Units_Owners!$A$5:$A$504,0)),"No")&lt;&gt;"Yes","Skip - Inactive",IF($P227=0,"Paid",IF(TODAY()&gt;$I227,"Past Due","Open"))))</f>
        <v/>
      </c>
      <c r="R227" s="12" t="n"/>
      <c r="S227" s="2" t="n"/>
    </row>
    <row r="228">
      <c r="A228" s="2">
        <f>IF($D228="","","INV-"&amp;$B228&amp;"-"&amp;$C228&amp;"-"&amp;TEXT(ROW(A224),"0000"))</f>
        <v/>
      </c>
      <c r="B228" s="2">
        <f>Setup!$B$5</f>
        <v/>
      </c>
      <c r="C228" s="2">
        <f>Setup!$B$6</f>
        <v/>
      </c>
      <c r="D228" s="2">
        <f>IFERROR(INDEX(Units_Owners!$A$5:$A$504,ROWS($A$5:A228)),"")</f>
        <v/>
      </c>
      <c r="E228" s="2">
        <f>IF($D228="","",IFERROR(INDEX(Units_Owners!$B$5:$B$504,MATCH($D228,Units_Owners!$A$5:$A$504,0)),""))</f>
        <v/>
      </c>
      <c r="F228" s="2">
        <f>IF($D228="","",IFERROR(INDEX(Units_Owners!$C$5:$C$504,MATCH($D228,Units_Owners!$A$5:$A$504,0)),""))</f>
        <v/>
      </c>
      <c r="G228" s="2">
        <f>IF($D228="","",IFERROR(INDEX(Units_Owners!$D$5:$D$504,MATCH($D228,Units_Owners!$A$5:$A$504,0)),""))</f>
        <v/>
      </c>
      <c r="H228" s="12">
        <f>Setup!$B$7</f>
        <v/>
      </c>
      <c r="I228" s="12">
        <f>Setup!$B$8</f>
        <v/>
      </c>
      <c r="J228" s="13">
        <f>IF($D228="","",IFERROR(INDEX(Units_Owners!$J$5:$J$504,MATCH($D228,Units_Owners!$A$5:$A$504,0)),0)+SUMIFS(Ledger!$F:$F,Ledger!$B:$B,$D228,Ledger!$D:$D,"&lt;"&amp;$H228)-SUMIFS(Ledger!$G:$G,Ledger!$B:$B,$D228,Ledger!$D:$D,"&lt;"&amp;$H228))</f>
        <v/>
      </c>
      <c r="K228" s="13">
        <f>IF($D228="","",IFERROR(INDEX(Units_Owners!$H$5:$H$504,MATCH($D228,Units_Owners!$A$5:$A$504,0)),Setup!$B$10))</f>
        <v/>
      </c>
      <c r="L228" s="13">
        <f>IF($D228="","",Setup!$B$11)</f>
        <v/>
      </c>
      <c r="M228" s="13">
        <f>IF($D228="","",IF(AND(TODAY()&gt;=Setup!$B$9,$P228&gt;0),Setup!$B$12,0))</f>
        <v/>
      </c>
      <c r="N228" s="13">
        <f>IF($D228="","",SUM($J228:$M228))</f>
        <v/>
      </c>
      <c r="O228" s="13">
        <f>IF($A228="","",SUMIFS(Payments!$F:$F,Payments!$D:$D,$A228))</f>
        <v/>
      </c>
      <c r="P228" s="13">
        <f>IF($D228="","",MAX(0,$N228-$O228))</f>
        <v/>
      </c>
      <c r="Q228" s="2">
        <f>IF($D228="","",IF(IFERROR(INDEX(Units_Owners!$I$5:$I$504,MATCH($D228,Units_Owners!$A$5:$A$504,0)),"No")&lt;&gt;"Yes","Skip - Inactive",IF($P228=0,"Paid",IF(TODAY()&gt;$I228,"Past Due","Open"))))</f>
        <v/>
      </c>
      <c r="R228" s="14" t="n"/>
      <c r="S228" s="6" t="n"/>
    </row>
    <row r="229">
      <c r="A229" s="2">
        <f>IF($D229="","","INV-"&amp;$B229&amp;"-"&amp;$C229&amp;"-"&amp;TEXT(ROW(A225),"0000"))</f>
        <v/>
      </c>
      <c r="B229" s="2">
        <f>Setup!$B$5</f>
        <v/>
      </c>
      <c r="C229" s="2">
        <f>Setup!$B$6</f>
        <v/>
      </c>
      <c r="D229" s="2">
        <f>IFERROR(INDEX(Units_Owners!$A$5:$A$504,ROWS($A$5:A229)),"")</f>
        <v/>
      </c>
      <c r="E229" s="2">
        <f>IF($D229="","",IFERROR(INDEX(Units_Owners!$B$5:$B$504,MATCH($D229,Units_Owners!$A$5:$A$504,0)),""))</f>
        <v/>
      </c>
      <c r="F229" s="2">
        <f>IF($D229="","",IFERROR(INDEX(Units_Owners!$C$5:$C$504,MATCH($D229,Units_Owners!$A$5:$A$504,0)),""))</f>
        <v/>
      </c>
      <c r="G229" s="2">
        <f>IF($D229="","",IFERROR(INDEX(Units_Owners!$D$5:$D$504,MATCH($D229,Units_Owners!$A$5:$A$504,0)),""))</f>
        <v/>
      </c>
      <c r="H229" s="12">
        <f>Setup!$B$7</f>
        <v/>
      </c>
      <c r="I229" s="12">
        <f>Setup!$B$8</f>
        <v/>
      </c>
      <c r="J229" s="13">
        <f>IF($D229="","",IFERROR(INDEX(Units_Owners!$J$5:$J$504,MATCH($D229,Units_Owners!$A$5:$A$504,0)),0)+SUMIFS(Ledger!$F:$F,Ledger!$B:$B,$D229,Ledger!$D:$D,"&lt;"&amp;$H229)-SUMIFS(Ledger!$G:$G,Ledger!$B:$B,$D229,Ledger!$D:$D,"&lt;"&amp;$H229))</f>
        <v/>
      </c>
      <c r="K229" s="13">
        <f>IF($D229="","",IFERROR(INDEX(Units_Owners!$H$5:$H$504,MATCH($D229,Units_Owners!$A$5:$A$504,0)),Setup!$B$10))</f>
        <v/>
      </c>
      <c r="L229" s="13">
        <f>IF($D229="","",Setup!$B$11)</f>
        <v/>
      </c>
      <c r="M229" s="13">
        <f>IF($D229="","",IF(AND(TODAY()&gt;=Setup!$B$9,$P229&gt;0),Setup!$B$12,0))</f>
        <v/>
      </c>
      <c r="N229" s="13">
        <f>IF($D229="","",SUM($J229:$M229))</f>
        <v/>
      </c>
      <c r="O229" s="13">
        <f>IF($A229="","",SUMIFS(Payments!$F:$F,Payments!$D:$D,$A229))</f>
        <v/>
      </c>
      <c r="P229" s="13">
        <f>IF($D229="","",MAX(0,$N229-$O229))</f>
        <v/>
      </c>
      <c r="Q229" s="2">
        <f>IF($D229="","",IF(IFERROR(INDEX(Units_Owners!$I$5:$I$504,MATCH($D229,Units_Owners!$A$5:$A$504,0)),"No")&lt;&gt;"Yes","Skip - Inactive",IF($P229=0,"Paid",IF(TODAY()&gt;$I229,"Past Due","Open"))))</f>
        <v/>
      </c>
      <c r="R229" s="12" t="n"/>
      <c r="S229" s="2" t="n"/>
    </row>
    <row r="230">
      <c r="A230" s="2">
        <f>IF($D230="","","INV-"&amp;$B230&amp;"-"&amp;$C230&amp;"-"&amp;TEXT(ROW(A226),"0000"))</f>
        <v/>
      </c>
      <c r="B230" s="2">
        <f>Setup!$B$5</f>
        <v/>
      </c>
      <c r="C230" s="2">
        <f>Setup!$B$6</f>
        <v/>
      </c>
      <c r="D230" s="2">
        <f>IFERROR(INDEX(Units_Owners!$A$5:$A$504,ROWS($A$5:A230)),"")</f>
        <v/>
      </c>
      <c r="E230" s="2">
        <f>IF($D230="","",IFERROR(INDEX(Units_Owners!$B$5:$B$504,MATCH($D230,Units_Owners!$A$5:$A$504,0)),""))</f>
        <v/>
      </c>
      <c r="F230" s="2">
        <f>IF($D230="","",IFERROR(INDEX(Units_Owners!$C$5:$C$504,MATCH($D230,Units_Owners!$A$5:$A$504,0)),""))</f>
        <v/>
      </c>
      <c r="G230" s="2">
        <f>IF($D230="","",IFERROR(INDEX(Units_Owners!$D$5:$D$504,MATCH($D230,Units_Owners!$A$5:$A$504,0)),""))</f>
        <v/>
      </c>
      <c r="H230" s="12">
        <f>Setup!$B$7</f>
        <v/>
      </c>
      <c r="I230" s="12">
        <f>Setup!$B$8</f>
        <v/>
      </c>
      <c r="J230" s="13">
        <f>IF($D230="","",IFERROR(INDEX(Units_Owners!$J$5:$J$504,MATCH($D230,Units_Owners!$A$5:$A$504,0)),0)+SUMIFS(Ledger!$F:$F,Ledger!$B:$B,$D230,Ledger!$D:$D,"&lt;"&amp;$H230)-SUMIFS(Ledger!$G:$G,Ledger!$B:$B,$D230,Ledger!$D:$D,"&lt;"&amp;$H230))</f>
        <v/>
      </c>
      <c r="K230" s="13">
        <f>IF($D230="","",IFERROR(INDEX(Units_Owners!$H$5:$H$504,MATCH($D230,Units_Owners!$A$5:$A$504,0)),Setup!$B$10))</f>
        <v/>
      </c>
      <c r="L230" s="13">
        <f>IF($D230="","",Setup!$B$11)</f>
        <v/>
      </c>
      <c r="M230" s="13">
        <f>IF($D230="","",IF(AND(TODAY()&gt;=Setup!$B$9,$P230&gt;0),Setup!$B$12,0))</f>
        <v/>
      </c>
      <c r="N230" s="13">
        <f>IF($D230="","",SUM($J230:$M230))</f>
        <v/>
      </c>
      <c r="O230" s="13">
        <f>IF($A230="","",SUMIFS(Payments!$F:$F,Payments!$D:$D,$A230))</f>
        <v/>
      </c>
      <c r="P230" s="13">
        <f>IF($D230="","",MAX(0,$N230-$O230))</f>
        <v/>
      </c>
      <c r="Q230" s="2">
        <f>IF($D230="","",IF(IFERROR(INDEX(Units_Owners!$I$5:$I$504,MATCH($D230,Units_Owners!$A$5:$A$504,0)),"No")&lt;&gt;"Yes","Skip - Inactive",IF($P230=0,"Paid",IF(TODAY()&gt;$I230,"Past Due","Open"))))</f>
        <v/>
      </c>
      <c r="R230" s="14" t="n"/>
      <c r="S230" s="6" t="n"/>
    </row>
    <row r="231">
      <c r="A231" s="2">
        <f>IF($D231="","","INV-"&amp;$B231&amp;"-"&amp;$C231&amp;"-"&amp;TEXT(ROW(A227),"0000"))</f>
        <v/>
      </c>
      <c r="B231" s="2">
        <f>Setup!$B$5</f>
        <v/>
      </c>
      <c r="C231" s="2">
        <f>Setup!$B$6</f>
        <v/>
      </c>
      <c r="D231" s="2">
        <f>IFERROR(INDEX(Units_Owners!$A$5:$A$504,ROWS($A$5:A231)),"")</f>
        <v/>
      </c>
      <c r="E231" s="2">
        <f>IF($D231="","",IFERROR(INDEX(Units_Owners!$B$5:$B$504,MATCH($D231,Units_Owners!$A$5:$A$504,0)),""))</f>
        <v/>
      </c>
      <c r="F231" s="2">
        <f>IF($D231="","",IFERROR(INDEX(Units_Owners!$C$5:$C$504,MATCH($D231,Units_Owners!$A$5:$A$504,0)),""))</f>
        <v/>
      </c>
      <c r="G231" s="2">
        <f>IF($D231="","",IFERROR(INDEX(Units_Owners!$D$5:$D$504,MATCH($D231,Units_Owners!$A$5:$A$504,0)),""))</f>
        <v/>
      </c>
      <c r="H231" s="12">
        <f>Setup!$B$7</f>
        <v/>
      </c>
      <c r="I231" s="12">
        <f>Setup!$B$8</f>
        <v/>
      </c>
      <c r="J231" s="13">
        <f>IF($D231="","",IFERROR(INDEX(Units_Owners!$J$5:$J$504,MATCH($D231,Units_Owners!$A$5:$A$504,0)),0)+SUMIFS(Ledger!$F:$F,Ledger!$B:$B,$D231,Ledger!$D:$D,"&lt;"&amp;$H231)-SUMIFS(Ledger!$G:$G,Ledger!$B:$B,$D231,Ledger!$D:$D,"&lt;"&amp;$H231))</f>
        <v/>
      </c>
      <c r="K231" s="13">
        <f>IF($D231="","",IFERROR(INDEX(Units_Owners!$H$5:$H$504,MATCH($D231,Units_Owners!$A$5:$A$504,0)),Setup!$B$10))</f>
        <v/>
      </c>
      <c r="L231" s="13">
        <f>IF($D231="","",Setup!$B$11)</f>
        <v/>
      </c>
      <c r="M231" s="13">
        <f>IF($D231="","",IF(AND(TODAY()&gt;=Setup!$B$9,$P231&gt;0),Setup!$B$12,0))</f>
        <v/>
      </c>
      <c r="N231" s="13">
        <f>IF($D231="","",SUM($J231:$M231))</f>
        <v/>
      </c>
      <c r="O231" s="13">
        <f>IF($A231="","",SUMIFS(Payments!$F:$F,Payments!$D:$D,$A231))</f>
        <v/>
      </c>
      <c r="P231" s="13">
        <f>IF($D231="","",MAX(0,$N231-$O231))</f>
        <v/>
      </c>
      <c r="Q231" s="2">
        <f>IF($D231="","",IF(IFERROR(INDEX(Units_Owners!$I$5:$I$504,MATCH($D231,Units_Owners!$A$5:$A$504,0)),"No")&lt;&gt;"Yes","Skip - Inactive",IF($P231=0,"Paid",IF(TODAY()&gt;$I231,"Past Due","Open"))))</f>
        <v/>
      </c>
      <c r="R231" s="12" t="n"/>
      <c r="S231" s="2" t="n"/>
    </row>
    <row r="232">
      <c r="A232" s="2">
        <f>IF($D232="","","INV-"&amp;$B232&amp;"-"&amp;$C232&amp;"-"&amp;TEXT(ROW(A228),"0000"))</f>
        <v/>
      </c>
      <c r="B232" s="2">
        <f>Setup!$B$5</f>
        <v/>
      </c>
      <c r="C232" s="2">
        <f>Setup!$B$6</f>
        <v/>
      </c>
      <c r="D232" s="2">
        <f>IFERROR(INDEX(Units_Owners!$A$5:$A$504,ROWS($A$5:A232)),"")</f>
        <v/>
      </c>
      <c r="E232" s="2">
        <f>IF($D232="","",IFERROR(INDEX(Units_Owners!$B$5:$B$504,MATCH($D232,Units_Owners!$A$5:$A$504,0)),""))</f>
        <v/>
      </c>
      <c r="F232" s="2">
        <f>IF($D232="","",IFERROR(INDEX(Units_Owners!$C$5:$C$504,MATCH($D232,Units_Owners!$A$5:$A$504,0)),""))</f>
        <v/>
      </c>
      <c r="G232" s="2">
        <f>IF($D232="","",IFERROR(INDEX(Units_Owners!$D$5:$D$504,MATCH($D232,Units_Owners!$A$5:$A$504,0)),""))</f>
        <v/>
      </c>
      <c r="H232" s="12">
        <f>Setup!$B$7</f>
        <v/>
      </c>
      <c r="I232" s="12">
        <f>Setup!$B$8</f>
        <v/>
      </c>
      <c r="J232" s="13">
        <f>IF($D232="","",IFERROR(INDEX(Units_Owners!$J$5:$J$504,MATCH($D232,Units_Owners!$A$5:$A$504,0)),0)+SUMIFS(Ledger!$F:$F,Ledger!$B:$B,$D232,Ledger!$D:$D,"&lt;"&amp;$H232)-SUMIFS(Ledger!$G:$G,Ledger!$B:$B,$D232,Ledger!$D:$D,"&lt;"&amp;$H232))</f>
        <v/>
      </c>
      <c r="K232" s="13">
        <f>IF($D232="","",IFERROR(INDEX(Units_Owners!$H$5:$H$504,MATCH($D232,Units_Owners!$A$5:$A$504,0)),Setup!$B$10))</f>
        <v/>
      </c>
      <c r="L232" s="13">
        <f>IF($D232="","",Setup!$B$11)</f>
        <v/>
      </c>
      <c r="M232" s="13">
        <f>IF($D232="","",IF(AND(TODAY()&gt;=Setup!$B$9,$P232&gt;0),Setup!$B$12,0))</f>
        <v/>
      </c>
      <c r="N232" s="13">
        <f>IF($D232="","",SUM($J232:$M232))</f>
        <v/>
      </c>
      <c r="O232" s="13">
        <f>IF($A232="","",SUMIFS(Payments!$F:$F,Payments!$D:$D,$A232))</f>
        <v/>
      </c>
      <c r="P232" s="13">
        <f>IF($D232="","",MAX(0,$N232-$O232))</f>
        <v/>
      </c>
      <c r="Q232" s="2">
        <f>IF($D232="","",IF(IFERROR(INDEX(Units_Owners!$I$5:$I$504,MATCH($D232,Units_Owners!$A$5:$A$504,0)),"No")&lt;&gt;"Yes","Skip - Inactive",IF($P232=0,"Paid",IF(TODAY()&gt;$I232,"Past Due","Open"))))</f>
        <v/>
      </c>
      <c r="R232" s="14" t="n"/>
      <c r="S232" s="6" t="n"/>
    </row>
    <row r="233">
      <c r="A233" s="2">
        <f>IF($D233="","","INV-"&amp;$B233&amp;"-"&amp;$C233&amp;"-"&amp;TEXT(ROW(A229),"0000"))</f>
        <v/>
      </c>
      <c r="B233" s="2">
        <f>Setup!$B$5</f>
        <v/>
      </c>
      <c r="C233" s="2">
        <f>Setup!$B$6</f>
        <v/>
      </c>
      <c r="D233" s="2">
        <f>IFERROR(INDEX(Units_Owners!$A$5:$A$504,ROWS($A$5:A233)),"")</f>
        <v/>
      </c>
      <c r="E233" s="2">
        <f>IF($D233="","",IFERROR(INDEX(Units_Owners!$B$5:$B$504,MATCH($D233,Units_Owners!$A$5:$A$504,0)),""))</f>
        <v/>
      </c>
      <c r="F233" s="2">
        <f>IF($D233="","",IFERROR(INDEX(Units_Owners!$C$5:$C$504,MATCH($D233,Units_Owners!$A$5:$A$504,0)),""))</f>
        <v/>
      </c>
      <c r="G233" s="2">
        <f>IF($D233="","",IFERROR(INDEX(Units_Owners!$D$5:$D$504,MATCH($D233,Units_Owners!$A$5:$A$504,0)),""))</f>
        <v/>
      </c>
      <c r="H233" s="12">
        <f>Setup!$B$7</f>
        <v/>
      </c>
      <c r="I233" s="12">
        <f>Setup!$B$8</f>
        <v/>
      </c>
      <c r="J233" s="13">
        <f>IF($D233="","",IFERROR(INDEX(Units_Owners!$J$5:$J$504,MATCH($D233,Units_Owners!$A$5:$A$504,0)),0)+SUMIFS(Ledger!$F:$F,Ledger!$B:$B,$D233,Ledger!$D:$D,"&lt;"&amp;$H233)-SUMIFS(Ledger!$G:$G,Ledger!$B:$B,$D233,Ledger!$D:$D,"&lt;"&amp;$H233))</f>
        <v/>
      </c>
      <c r="K233" s="13">
        <f>IF($D233="","",IFERROR(INDEX(Units_Owners!$H$5:$H$504,MATCH($D233,Units_Owners!$A$5:$A$504,0)),Setup!$B$10))</f>
        <v/>
      </c>
      <c r="L233" s="13">
        <f>IF($D233="","",Setup!$B$11)</f>
        <v/>
      </c>
      <c r="M233" s="13">
        <f>IF($D233="","",IF(AND(TODAY()&gt;=Setup!$B$9,$P233&gt;0),Setup!$B$12,0))</f>
        <v/>
      </c>
      <c r="N233" s="13">
        <f>IF($D233="","",SUM($J233:$M233))</f>
        <v/>
      </c>
      <c r="O233" s="13">
        <f>IF($A233="","",SUMIFS(Payments!$F:$F,Payments!$D:$D,$A233))</f>
        <v/>
      </c>
      <c r="P233" s="13">
        <f>IF($D233="","",MAX(0,$N233-$O233))</f>
        <v/>
      </c>
      <c r="Q233" s="2">
        <f>IF($D233="","",IF(IFERROR(INDEX(Units_Owners!$I$5:$I$504,MATCH($D233,Units_Owners!$A$5:$A$504,0)),"No")&lt;&gt;"Yes","Skip - Inactive",IF($P233=0,"Paid",IF(TODAY()&gt;$I233,"Past Due","Open"))))</f>
        <v/>
      </c>
      <c r="R233" s="12" t="n"/>
      <c r="S233" s="2" t="n"/>
    </row>
    <row r="234">
      <c r="A234" s="2">
        <f>IF($D234="","","INV-"&amp;$B234&amp;"-"&amp;$C234&amp;"-"&amp;TEXT(ROW(A230),"0000"))</f>
        <v/>
      </c>
      <c r="B234" s="2">
        <f>Setup!$B$5</f>
        <v/>
      </c>
      <c r="C234" s="2">
        <f>Setup!$B$6</f>
        <v/>
      </c>
      <c r="D234" s="2">
        <f>IFERROR(INDEX(Units_Owners!$A$5:$A$504,ROWS($A$5:A234)),"")</f>
        <v/>
      </c>
      <c r="E234" s="2">
        <f>IF($D234="","",IFERROR(INDEX(Units_Owners!$B$5:$B$504,MATCH($D234,Units_Owners!$A$5:$A$504,0)),""))</f>
        <v/>
      </c>
      <c r="F234" s="2">
        <f>IF($D234="","",IFERROR(INDEX(Units_Owners!$C$5:$C$504,MATCH($D234,Units_Owners!$A$5:$A$504,0)),""))</f>
        <v/>
      </c>
      <c r="G234" s="2">
        <f>IF($D234="","",IFERROR(INDEX(Units_Owners!$D$5:$D$504,MATCH($D234,Units_Owners!$A$5:$A$504,0)),""))</f>
        <v/>
      </c>
      <c r="H234" s="12">
        <f>Setup!$B$7</f>
        <v/>
      </c>
      <c r="I234" s="12">
        <f>Setup!$B$8</f>
        <v/>
      </c>
      <c r="J234" s="13">
        <f>IF($D234="","",IFERROR(INDEX(Units_Owners!$J$5:$J$504,MATCH($D234,Units_Owners!$A$5:$A$504,0)),0)+SUMIFS(Ledger!$F:$F,Ledger!$B:$B,$D234,Ledger!$D:$D,"&lt;"&amp;$H234)-SUMIFS(Ledger!$G:$G,Ledger!$B:$B,$D234,Ledger!$D:$D,"&lt;"&amp;$H234))</f>
        <v/>
      </c>
      <c r="K234" s="13">
        <f>IF($D234="","",IFERROR(INDEX(Units_Owners!$H$5:$H$504,MATCH($D234,Units_Owners!$A$5:$A$504,0)),Setup!$B$10))</f>
        <v/>
      </c>
      <c r="L234" s="13">
        <f>IF($D234="","",Setup!$B$11)</f>
        <v/>
      </c>
      <c r="M234" s="13">
        <f>IF($D234="","",IF(AND(TODAY()&gt;=Setup!$B$9,$P234&gt;0),Setup!$B$12,0))</f>
        <v/>
      </c>
      <c r="N234" s="13">
        <f>IF($D234="","",SUM($J234:$M234))</f>
        <v/>
      </c>
      <c r="O234" s="13">
        <f>IF($A234="","",SUMIFS(Payments!$F:$F,Payments!$D:$D,$A234))</f>
        <v/>
      </c>
      <c r="P234" s="13">
        <f>IF($D234="","",MAX(0,$N234-$O234))</f>
        <v/>
      </c>
      <c r="Q234" s="2">
        <f>IF($D234="","",IF(IFERROR(INDEX(Units_Owners!$I$5:$I$504,MATCH($D234,Units_Owners!$A$5:$A$504,0)),"No")&lt;&gt;"Yes","Skip - Inactive",IF($P234=0,"Paid",IF(TODAY()&gt;$I234,"Past Due","Open"))))</f>
        <v/>
      </c>
      <c r="R234" s="14" t="n"/>
      <c r="S234" s="6" t="n"/>
    </row>
    <row r="235">
      <c r="A235" s="2">
        <f>IF($D235="","","INV-"&amp;$B235&amp;"-"&amp;$C235&amp;"-"&amp;TEXT(ROW(A231),"0000"))</f>
        <v/>
      </c>
      <c r="B235" s="2">
        <f>Setup!$B$5</f>
        <v/>
      </c>
      <c r="C235" s="2">
        <f>Setup!$B$6</f>
        <v/>
      </c>
      <c r="D235" s="2">
        <f>IFERROR(INDEX(Units_Owners!$A$5:$A$504,ROWS($A$5:A235)),"")</f>
        <v/>
      </c>
      <c r="E235" s="2">
        <f>IF($D235="","",IFERROR(INDEX(Units_Owners!$B$5:$B$504,MATCH($D235,Units_Owners!$A$5:$A$504,0)),""))</f>
        <v/>
      </c>
      <c r="F235" s="2">
        <f>IF($D235="","",IFERROR(INDEX(Units_Owners!$C$5:$C$504,MATCH($D235,Units_Owners!$A$5:$A$504,0)),""))</f>
        <v/>
      </c>
      <c r="G235" s="2">
        <f>IF($D235="","",IFERROR(INDEX(Units_Owners!$D$5:$D$504,MATCH($D235,Units_Owners!$A$5:$A$504,0)),""))</f>
        <v/>
      </c>
      <c r="H235" s="12">
        <f>Setup!$B$7</f>
        <v/>
      </c>
      <c r="I235" s="12">
        <f>Setup!$B$8</f>
        <v/>
      </c>
      <c r="J235" s="13">
        <f>IF($D235="","",IFERROR(INDEX(Units_Owners!$J$5:$J$504,MATCH($D235,Units_Owners!$A$5:$A$504,0)),0)+SUMIFS(Ledger!$F:$F,Ledger!$B:$B,$D235,Ledger!$D:$D,"&lt;"&amp;$H235)-SUMIFS(Ledger!$G:$G,Ledger!$B:$B,$D235,Ledger!$D:$D,"&lt;"&amp;$H235))</f>
        <v/>
      </c>
      <c r="K235" s="13">
        <f>IF($D235="","",IFERROR(INDEX(Units_Owners!$H$5:$H$504,MATCH($D235,Units_Owners!$A$5:$A$504,0)),Setup!$B$10))</f>
        <v/>
      </c>
      <c r="L235" s="13">
        <f>IF($D235="","",Setup!$B$11)</f>
        <v/>
      </c>
      <c r="M235" s="13">
        <f>IF($D235="","",IF(AND(TODAY()&gt;=Setup!$B$9,$P235&gt;0),Setup!$B$12,0))</f>
        <v/>
      </c>
      <c r="N235" s="13">
        <f>IF($D235="","",SUM($J235:$M235))</f>
        <v/>
      </c>
      <c r="O235" s="13">
        <f>IF($A235="","",SUMIFS(Payments!$F:$F,Payments!$D:$D,$A235))</f>
        <v/>
      </c>
      <c r="P235" s="13">
        <f>IF($D235="","",MAX(0,$N235-$O235))</f>
        <v/>
      </c>
      <c r="Q235" s="2">
        <f>IF($D235="","",IF(IFERROR(INDEX(Units_Owners!$I$5:$I$504,MATCH($D235,Units_Owners!$A$5:$A$504,0)),"No")&lt;&gt;"Yes","Skip - Inactive",IF($P235=0,"Paid",IF(TODAY()&gt;$I235,"Past Due","Open"))))</f>
        <v/>
      </c>
      <c r="R235" s="12" t="n"/>
      <c r="S235" s="2" t="n"/>
    </row>
    <row r="236">
      <c r="A236" s="2">
        <f>IF($D236="","","INV-"&amp;$B236&amp;"-"&amp;$C236&amp;"-"&amp;TEXT(ROW(A232),"0000"))</f>
        <v/>
      </c>
      <c r="B236" s="2">
        <f>Setup!$B$5</f>
        <v/>
      </c>
      <c r="C236" s="2">
        <f>Setup!$B$6</f>
        <v/>
      </c>
      <c r="D236" s="2">
        <f>IFERROR(INDEX(Units_Owners!$A$5:$A$504,ROWS($A$5:A236)),"")</f>
        <v/>
      </c>
      <c r="E236" s="2">
        <f>IF($D236="","",IFERROR(INDEX(Units_Owners!$B$5:$B$504,MATCH($D236,Units_Owners!$A$5:$A$504,0)),""))</f>
        <v/>
      </c>
      <c r="F236" s="2">
        <f>IF($D236="","",IFERROR(INDEX(Units_Owners!$C$5:$C$504,MATCH($D236,Units_Owners!$A$5:$A$504,0)),""))</f>
        <v/>
      </c>
      <c r="G236" s="2">
        <f>IF($D236="","",IFERROR(INDEX(Units_Owners!$D$5:$D$504,MATCH($D236,Units_Owners!$A$5:$A$504,0)),""))</f>
        <v/>
      </c>
      <c r="H236" s="12">
        <f>Setup!$B$7</f>
        <v/>
      </c>
      <c r="I236" s="12">
        <f>Setup!$B$8</f>
        <v/>
      </c>
      <c r="J236" s="13">
        <f>IF($D236="","",IFERROR(INDEX(Units_Owners!$J$5:$J$504,MATCH($D236,Units_Owners!$A$5:$A$504,0)),0)+SUMIFS(Ledger!$F:$F,Ledger!$B:$B,$D236,Ledger!$D:$D,"&lt;"&amp;$H236)-SUMIFS(Ledger!$G:$G,Ledger!$B:$B,$D236,Ledger!$D:$D,"&lt;"&amp;$H236))</f>
        <v/>
      </c>
      <c r="K236" s="13">
        <f>IF($D236="","",IFERROR(INDEX(Units_Owners!$H$5:$H$504,MATCH($D236,Units_Owners!$A$5:$A$504,0)),Setup!$B$10))</f>
        <v/>
      </c>
      <c r="L236" s="13">
        <f>IF($D236="","",Setup!$B$11)</f>
        <v/>
      </c>
      <c r="M236" s="13">
        <f>IF($D236="","",IF(AND(TODAY()&gt;=Setup!$B$9,$P236&gt;0),Setup!$B$12,0))</f>
        <v/>
      </c>
      <c r="N236" s="13">
        <f>IF($D236="","",SUM($J236:$M236))</f>
        <v/>
      </c>
      <c r="O236" s="13">
        <f>IF($A236="","",SUMIFS(Payments!$F:$F,Payments!$D:$D,$A236))</f>
        <v/>
      </c>
      <c r="P236" s="13">
        <f>IF($D236="","",MAX(0,$N236-$O236))</f>
        <v/>
      </c>
      <c r="Q236" s="2">
        <f>IF($D236="","",IF(IFERROR(INDEX(Units_Owners!$I$5:$I$504,MATCH($D236,Units_Owners!$A$5:$A$504,0)),"No")&lt;&gt;"Yes","Skip - Inactive",IF($P236=0,"Paid",IF(TODAY()&gt;$I236,"Past Due","Open"))))</f>
        <v/>
      </c>
      <c r="R236" s="14" t="n"/>
      <c r="S236" s="6" t="n"/>
    </row>
    <row r="237">
      <c r="A237" s="2">
        <f>IF($D237="","","INV-"&amp;$B237&amp;"-"&amp;$C237&amp;"-"&amp;TEXT(ROW(A233),"0000"))</f>
        <v/>
      </c>
      <c r="B237" s="2">
        <f>Setup!$B$5</f>
        <v/>
      </c>
      <c r="C237" s="2">
        <f>Setup!$B$6</f>
        <v/>
      </c>
      <c r="D237" s="2">
        <f>IFERROR(INDEX(Units_Owners!$A$5:$A$504,ROWS($A$5:A237)),"")</f>
        <v/>
      </c>
      <c r="E237" s="2">
        <f>IF($D237="","",IFERROR(INDEX(Units_Owners!$B$5:$B$504,MATCH($D237,Units_Owners!$A$5:$A$504,0)),""))</f>
        <v/>
      </c>
      <c r="F237" s="2">
        <f>IF($D237="","",IFERROR(INDEX(Units_Owners!$C$5:$C$504,MATCH($D237,Units_Owners!$A$5:$A$504,0)),""))</f>
        <v/>
      </c>
      <c r="G237" s="2">
        <f>IF($D237="","",IFERROR(INDEX(Units_Owners!$D$5:$D$504,MATCH($D237,Units_Owners!$A$5:$A$504,0)),""))</f>
        <v/>
      </c>
      <c r="H237" s="12">
        <f>Setup!$B$7</f>
        <v/>
      </c>
      <c r="I237" s="12">
        <f>Setup!$B$8</f>
        <v/>
      </c>
      <c r="J237" s="13">
        <f>IF($D237="","",IFERROR(INDEX(Units_Owners!$J$5:$J$504,MATCH($D237,Units_Owners!$A$5:$A$504,0)),0)+SUMIFS(Ledger!$F:$F,Ledger!$B:$B,$D237,Ledger!$D:$D,"&lt;"&amp;$H237)-SUMIFS(Ledger!$G:$G,Ledger!$B:$B,$D237,Ledger!$D:$D,"&lt;"&amp;$H237))</f>
        <v/>
      </c>
      <c r="K237" s="13">
        <f>IF($D237="","",IFERROR(INDEX(Units_Owners!$H$5:$H$504,MATCH($D237,Units_Owners!$A$5:$A$504,0)),Setup!$B$10))</f>
        <v/>
      </c>
      <c r="L237" s="13">
        <f>IF($D237="","",Setup!$B$11)</f>
        <v/>
      </c>
      <c r="M237" s="13">
        <f>IF($D237="","",IF(AND(TODAY()&gt;=Setup!$B$9,$P237&gt;0),Setup!$B$12,0))</f>
        <v/>
      </c>
      <c r="N237" s="13">
        <f>IF($D237="","",SUM($J237:$M237))</f>
        <v/>
      </c>
      <c r="O237" s="13">
        <f>IF($A237="","",SUMIFS(Payments!$F:$F,Payments!$D:$D,$A237))</f>
        <v/>
      </c>
      <c r="P237" s="13">
        <f>IF($D237="","",MAX(0,$N237-$O237))</f>
        <v/>
      </c>
      <c r="Q237" s="2">
        <f>IF($D237="","",IF(IFERROR(INDEX(Units_Owners!$I$5:$I$504,MATCH($D237,Units_Owners!$A$5:$A$504,0)),"No")&lt;&gt;"Yes","Skip - Inactive",IF($P237=0,"Paid",IF(TODAY()&gt;$I237,"Past Due","Open"))))</f>
        <v/>
      </c>
      <c r="R237" s="12" t="n"/>
      <c r="S237" s="2" t="n"/>
    </row>
    <row r="238">
      <c r="A238" s="2">
        <f>IF($D238="","","INV-"&amp;$B238&amp;"-"&amp;$C238&amp;"-"&amp;TEXT(ROW(A234),"0000"))</f>
        <v/>
      </c>
      <c r="B238" s="2">
        <f>Setup!$B$5</f>
        <v/>
      </c>
      <c r="C238" s="2">
        <f>Setup!$B$6</f>
        <v/>
      </c>
      <c r="D238" s="2">
        <f>IFERROR(INDEX(Units_Owners!$A$5:$A$504,ROWS($A$5:A238)),"")</f>
        <v/>
      </c>
      <c r="E238" s="2">
        <f>IF($D238="","",IFERROR(INDEX(Units_Owners!$B$5:$B$504,MATCH($D238,Units_Owners!$A$5:$A$504,0)),""))</f>
        <v/>
      </c>
      <c r="F238" s="2">
        <f>IF($D238="","",IFERROR(INDEX(Units_Owners!$C$5:$C$504,MATCH($D238,Units_Owners!$A$5:$A$504,0)),""))</f>
        <v/>
      </c>
      <c r="G238" s="2">
        <f>IF($D238="","",IFERROR(INDEX(Units_Owners!$D$5:$D$504,MATCH($D238,Units_Owners!$A$5:$A$504,0)),""))</f>
        <v/>
      </c>
      <c r="H238" s="12">
        <f>Setup!$B$7</f>
        <v/>
      </c>
      <c r="I238" s="12">
        <f>Setup!$B$8</f>
        <v/>
      </c>
      <c r="J238" s="13">
        <f>IF($D238="","",IFERROR(INDEX(Units_Owners!$J$5:$J$504,MATCH($D238,Units_Owners!$A$5:$A$504,0)),0)+SUMIFS(Ledger!$F:$F,Ledger!$B:$B,$D238,Ledger!$D:$D,"&lt;"&amp;$H238)-SUMIFS(Ledger!$G:$G,Ledger!$B:$B,$D238,Ledger!$D:$D,"&lt;"&amp;$H238))</f>
        <v/>
      </c>
      <c r="K238" s="13">
        <f>IF($D238="","",IFERROR(INDEX(Units_Owners!$H$5:$H$504,MATCH($D238,Units_Owners!$A$5:$A$504,0)),Setup!$B$10))</f>
        <v/>
      </c>
      <c r="L238" s="13">
        <f>IF($D238="","",Setup!$B$11)</f>
        <v/>
      </c>
      <c r="M238" s="13">
        <f>IF($D238="","",IF(AND(TODAY()&gt;=Setup!$B$9,$P238&gt;0),Setup!$B$12,0))</f>
        <v/>
      </c>
      <c r="N238" s="13">
        <f>IF($D238="","",SUM($J238:$M238))</f>
        <v/>
      </c>
      <c r="O238" s="13">
        <f>IF($A238="","",SUMIFS(Payments!$F:$F,Payments!$D:$D,$A238))</f>
        <v/>
      </c>
      <c r="P238" s="13">
        <f>IF($D238="","",MAX(0,$N238-$O238))</f>
        <v/>
      </c>
      <c r="Q238" s="2">
        <f>IF($D238="","",IF(IFERROR(INDEX(Units_Owners!$I$5:$I$504,MATCH($D238,Units_Owners!$A$5:$A$504,0)),"No")&lt;&gt;"Yes","Skip - Inactive",IF($P238=0,"Paid",IF(TODAY()&gt;$I238,"Past Due","Open"))))</f>
        <v/>
      </c>
      <c r="R238" s="14" t="n"/>
      <c r="S238" s="6" t="n"/>
    </row>
    <row r="239">
      <c r="A239" s="2">
        <f>IF($D239="","","INV-"&amp;$B239&amp;"-"&amp;$C239&amp;"-"&amp;TEXT(ROW(A235),"0000"))</f>
        <v/>
      </c>
      <c r="B239" s="2">
        <f>Setup!$B$5</f>
        <v/>
      </c>
      <c r="C239" s="2">
        <f>Setup!$B$6</f>
        <v/>
      </c>
      <c r="D239" s="2">
        <f>IFERROR(INDEX(Units_Owners!$A$5:$A$504,ROWS($A$5:A239)),"")</f>
        <v/>
      </c>
      <c r="E239" s="2">
        <f>IF($D239="","",IFERROR(INDEX(Units_Owners!$B$5:$B$504,MATCH($D239,Units_Owners!$A$5:$A$504,0)),""))</f>
        <v/>
      </c>
      <c r="F239" s="2">
        <f>IF($D239="","",IFERROR(INDEX(Units_Owners!$C$5:$C$504,MATCH($D239,Units_Owners!$A$5:$A$504,0)),""))</f>
        <v/>
      </c>
      <c r="G239" s="2">
        <f>IF($D239="","",IFERROR(INDEX(Units_Owners!$D$5:$D$504,MATCH($D239,Units_Owners!$A$5:$A$504,0)),""))</f>
        <v/>
      </c>
      <c r="H239" s="12">
        <f>Setup!$B$7</f>
        <v/>
      </c>
      <c r="I239" s="12">
        <f>Setup!$B$8</f>
        <v/>
      </c>
      <c r="J239" s="13">
        <f>IF($D239="","",IFERROR(INDEX(Units_Owners!$J$5:$J$504,MATCH($D239,Units_Owners!$A$5:$A$504,0)),0)+SUMIFS(Ledger!$F:$F,Ledger!$B:$B,$D239,Ledger!$D:$D,"&lt;"&amp;$H239)-SUMIFS(Ledger!$G:$G,Ledger!$B:$B,$D239,Ledger!$D:$D,"&lt;"&amp;$H239))</f>
        <v/>
      </c>
      <c r="K239" s="13">
        <f>IF($D239="","",IFERROR(INDEX(Units_Owners!$H$5:$H$504,MATCH($D239,Units_Owners!$A$5:$A$504,0)),Setup!$B$10))</f>
        <v/>
      </c>
      <c r="L239" s="13">
        <f>IF($D239="","",Setup!$B$11)</f>
        <v/>
      </c>
      <c r="M239" s="13">
        <f>IF($D239="","",IF(AND(TODAY()&gt;=Setup!$B$9,$P239&gt;0),Setup!$B$12,0))</f>
        <v/>
      </c>
      <c r="N239" s="13">
        <f>IF($D239="","",SUM($J239:$M239))</f>
        <v/>
      </c>
      <c r="O239" s="13">
        <f>IF($A239="","",SUMIFS(Payments!$F:$F,Payments!$D:$D,$A239))</f>
        <v/>
      </c>
      <c r="P239" s="13">
        <f>IF($D239="","",MAX(0,$N239-$O239))</f>
        <v/>
      </c>
      <c r="Q239" s="2">
        <f>IF($D239="","",IF(IFERROR(INDEX(Units_Owners!$I$5:$I$504,MATCH($D239,Units_Owners!$A$5:$A$504,0)),"No")&lt;&gt;"Yes","Skip - Inactive",IF($P239=0,"Paid",IF(TODAY()&gt;$I239,"Past Due","Open"))))</f>
        <v/>
      </c>
      <c r="R239" s="12" t="n"/>
      <c r="S239" s="2" t="n"/>
    </row>
    <row r="240">
      <c r="A240" s="2">
        <f>IF($D240="","","INV-"&amp;$B240&amp;"-"&amp;$C240&amp;"-"&amp;TEXT(ROW(A236),"0000"))</f>
        <v/>
      </c>
      <c r="B240" s="2">
        <f>Setup!$B$5</f>
        <v/>
      </c>
      <c r="C240" s="2">
        <f>Setup!$B$6</f>
        <v/>
      </c>
      <c r="D240" s="2">
        <f>IFERROR(INDEX(Units_Owners!$A$5:$A$504,ROWS($A$5:A240)),"")</f>
        <v/>
      </c>
      <c r="E240" s="2">
        <f>IF($D240="","",IFERROR(INDEX(Units_Owners!$B$5:$B$504,MATCH($D240,Units_Owners!$A$5:$A$504,0)),""))</f>
        <v/>
      </c>
      <c r="F240" s="2">
        <f>IF($D240="","",IFERROR(INDEX(Units_Owners!$C$5:$C$504,MATCH($D240,Units_Owners!$A$5:$A$504,0)),""))</f>
        <v/>
      </c>
      <c r="G240" s="2">
        <f>IF($D240="","",IFERROR(INDEX(Units_Owners!$D$5:$D$504,MATCH($D240,Units_Owners!$A$5:$A$504,0)),""))</f>
        <v/>
      </c>
      <c r="H240" s="12">
        <f>Setup!$B$7</f>
        <v/>
      </c>
      <c r="I240" s="12">
        <f>Setup!$B$8</f>
        <v/>
      </c>
      <c r="J240" s="13">
        <f>IF($D240="","",IFERROR(INDEX(Units_Owners!$J$5:$J$504,MATCH($D240,Units_Owners!$A$5:$A$504,0)),0)+SUMIFS(Ledger!$F:$F,Ledger!$B:$B,$D240,Ledger!$D:$D,"&lt;"&amp;$H240)-SUMIFS(Ledger!$G:$G,Ledger!$B:$B,$D240,Ledger!$D:$D,"&lt;"&amp;$H240))</f>
        <v/>
      </c>
      <c r="K240" s="13">
        <f>IF($D240="","",IFERROR(INDEX(Units_Owners!$H$5:$H$504,MATCH($D240,Units_Owners!$A$5:$A$504,0)),Setup!$B$10))</f>
        <v/>
      </c>
      <c r="L240" s="13">
        <f>IF($D240="","",Setup!$B$11)</f>
        <v/>
      </c>
      <c r="M240" s="13">
        <f>IF($D240="","",IF(AND(TODAY()&gt;=Setup!$B$9,$P240&gt;0),Setup!$B$12,0))</f>
        <v/>
      </c>
      <c r="N240" s="13">
        <f>IF($D240="","",SUM($J240:$M240))</f>
        <v/>
      </c>
      <c r="O240" s="13">
        <f>IF($A240="","",SUMIFS(Payments!$F:$F,Payments!$D:$D,$A240))</f>
        <v/>
      </c>
      <c r="P240" s="13">
        <f>IF($D240="","",MAX(0,$N240-$O240))</f>
        <v/>
      </c>
      <c r="Q240" s="2">
        <f>IF($D240="","",IF(IFERROR(INDEX(Units_Owners!$I$5:$I$504,MATCH($D240,Units_Owners!$A$5:$A$504,0)),"No")&lt;&gt;"Yes","Skip - Inactive",IF($P240=0,"Paid",IF(TODAY()&gt;$I240,"Past Due","Open"))))</f>
        <v/>
      </c>
      <c r="R240" s="14" t="n"/>
      <c r="S240" s="6" t="n"/>
    </row>
    <row r="241">
      <c r="A241" s="2">
        <f>IF($D241="","","INV-"&amp;$B241&amp;"-"&amp;$C241&amp;"-"&amp;TEXT(ROW(A237),"0000"))</f>
        <v/>
      </c>
      <c r="B241" s="2">
        <f>Setup!$B$5</f>
        <v/>
      </c>
      <c r="C241" s="2">
        <f>Setup!$B$6</f>
        <v/>
      </c>
      <c r="D241" s="2">
        <f>IFERROR(INDEX(Units_Owners!$A$5:$A$504,ROWS($A$5:A241)),"")</f>
        <v/>
      </c>
      <c r="E241" s="2">
        <f>IF($D241="","",IFERROR(INDEX(Units_Owners!$B$5:$B$504,MATCH($D241,Units_Owners!$A$5:$A$504,0)),""))</f>
        <v/>
      </c>
      <c r="F241" s="2">
        <f>IF($D241="","",IFERROR(INDEX(Units_Owners!$C$5:$C$504,MATCH($D241,Units_Owners!$A$5:$A$504,0)),""))</f>
        <v/>
      </c>
      <c r="G241" s="2">
        <f>IF($D241="","",IFERROR(INDEX(Units_Owners!$D$5:$D$504,MATCH($D241,Units_Owners!$A$5:$A$504,0)),""))</f>
        <v/>
      </c>
      <c r="H241" s="12">
        <f>Setup!$B$7</f>
        <v/>
      </c>
      <c r="I241" s="12">
        <f>Setup!$B$8</f>
        <v/>
      </c>
      <c r="J241" s="13">
        <f>IF($D241="","",IFERROR(INDEX(Units_Owners!$J$5:$J$504,MATCH($D241,Units_Owners!$A$5:$A$504,0)),0)+SUMIFS(Ledger!$F:$F,Ledger!$B:$B,$D241,Ledger!$D:$D,"&lt;"&amp;$H241)-SUMIFS(Ledger!$G:$G,Ledger!$B:$B,$D241,Ledger!$D:$D,"&lt;"&amp;$H241))</f>
        <v/>
      </c>
      <c r="K241" s="13">
        <f>IF($D241="","",IFERROR(INDEX(Units_Owners!$H$5:$H$504,MATCH($D241,Units_Owners!$A$5:$A$504,0)),Setup!$B$10))</f>
        <v/>
      </c>
      <c r="L241" s="13">
        <f>IF($D241="","",Setup!$B$11)</f>
        <v/>
      </c>
      <c r="M241" s="13">
        <f>IF($D241="","",IF(AND(TODAY()&gt;=Setup!$B$9,$P241&gt;0),Setup!$B$12,0))</f>
        <v/>
      </c>
      <c r="N241" s="13">
        <f>IF($D241="","",SUM($J241:$M241))</f>
        <v/>
      </c>
      <c r="O241" s="13">
        <f>IF($A241="","",SUMIFS(Payments!$F:$F,Payments!$D:$D,$A241))</f>
        <v/>
      </c>
      <c r="P241" s="13">
        <f>IF($D241="","",MAX(0,$N241-$O241))</f>
        <v/>
      </c>
      <c r="Q241" s="2">
        <f>IF($D241="","",IF(IFERROR(INDEX(Units_Owners!$I$5:$I$504,MATCH($D241,Units_Owners!$A$5:$A$504,0)),"No")&lt;&gt;"Yes","Skip - Inactive",IF($P241=0,"Paid",IF(TODAY()&gt;$I241,"Past Due","Open"))))</f>
        <v/>
      </c>
      <c r="R241" s="12" t="n"/>
      <c r="S241" s="2" t="n"/>
    </row>
    <row r="242">
      <c r="A242" s="2">
        <f>IF($D242="","","INV-"&amp;$B242&amp;"-"&amp;$C242&amp;"-"&amp;TEXT(ROW(A238),"0000"))</f>
        <v/>
      </c>
      <c r="B242" s="2">
        <f>Setup!$B$5</f>
        <v/>
      </c>
      <c r="C242" s="2">
        <f>Setup!$B$6</f>
        <v/>
      </c>
      <c r="D242" s="2">
        <f>IFERROR(INDEX(Units_Owners!$A$5:$A$504,ROWS($A$5:A242)),"")</f>
        <v/>
      </c>
      <c r="E242" s="2">
        <f>IF($D242="","",IFERROR(INDEX(Units_Owners!$B$5:$B$504,MATCH($D242,Units_Owners!$A$5:$A$504,0)),""))</f>
        <v/>
      </c>
      <c r="F242" s="2">
        <f>IF($D242="","",IFERROR(INDEX(Units_Owners!$C$5:$C$504,MATCH($D242,Units_Owners!$A$5:$A$504,0)),""))</f>
        <v/>
      </c>
      <c r="G242" s="2">
        <f>IF($D242="","",IFERROR(INDEX(Units_Owners!$D$5:$D$504,MATCH($D242,Units_Owners!$A$5:$A$504,0)),""))</f>
        <v/>
      </c>
      <c r="H242" s="12">
        <f>Setup!$B$7</f>
        <v/>
      </c>
      <c r="I242" s="12">
        <f>Setup!$B$8</f>
        <v/>
      </c>
      <c r="J242" s="13">
        <f>IF($D242="","",IFERROR(INDEX(Units_Owners!$J$5:$J$504,MATCH($D242,Units_Owners!$A$5:$A$504,0)),0)+SUMIFS(Ledger!$F:$F,Ledger!$B:$B,$D242,Ledger!$D:$D,"&lt;"&amp;$H242)-SUMIFS(Ledger!$G:$G,Ledger!$B:$B,$D242,Ledger!$D:$D,"&lt;"&amp;$H242))</f>
        <v/>
      </c>
      <c r="K242" s="13">
        <f>IF($D242="","",IFERROR(INDEX(Units_Owners!$H$5:$H$504,MATCH($D242,Units_Owners!$A$5:$A$504,0)),Setup!$B$10))</f>
        <v/>
      </c>
      <c r="L242" s="13">
        <f>IF($D242="","",Setup!$B$11)</f>
        <v/>
      </c>
      <c r="M242" s="13">
        <f>IF($D242="","",IF(AND(TODAY()&gt;=Setup!$B$9,$P242&gt;0),Setup!$B$12,0))</f>
        <v/>
      </c>
      <c r="N242" s="13">
        <f>IF($D242="","",SUM($J242:$M242))</f>
        <v/>
      </c>
      <c r="O242" s="13">
        <f>IF($A242="","",SUMIFS(Payments!$F:$F,Payments!$D:$D,$A242))</f>
        <v/>
      </c>
      <c r="P242" s="13">
        <f>IF($D242="","",MAX(0,$N242-$O242))</f>
        <v/>
      </c>
      <c r="Q242" s="2">
        <f>IF($D242="","",IF(IFERROR(INDEX(Units_Owners!$I$5:$I$504,MATCH($D242,Units_Owners!$A$5:$A$504,0)),"No")&lt;&gt;"Yes","Skip - Inactive",IF($P242=0,"Paid",IF(TODAY()&gt;$I242,"Past Due","Open"))))</f>
        <v/>
      </c>
      <c r="R242" s="14" t="n"/>
      <c r="S242" s="6" t="n"/>
    </row>
    <row r="243">
      <c r="A243" s="2">
        <f>IF($D243="","","INV-"&amp;$B243&amp;"-"&amp;$C243&amp;"-"&amp;TEXT(ROW(A239),"0000"))</f>
        <v/>
      </c>
      <c r="B243" s="2">
        <f>Setup!$B$5</f>
        <v/>
      </c>
      <c r="C243" s="2">
        <f>Setup!$B$6</f>
        <v/>
      </c>
      <c r="D243" s="2">
        <f>IFERROR(INDEX(Units_Owners!$A$5:$A$504,ROWS($A$5:A243)),"")</f>
        <v/>
      </c>
      <c r="E243" s="2">
        <f>IF($D243="","",IFERROR(INDEX(Units_Owners!$B$5:$B$504,MATCH($D243,Units_Owners!$A$5:$A$504,0)),""))</f>
        <v/>
      </c>
      <c r="F243" s="2">
        <f>IF($D243="","",IFERROR(INDEX(Units_Owners!$C$5:$C$504,MATCH($D243,Units_Owners!$A$5:$A$504,0)),""))</f>
        <v/>
      </c>
      <c r="G243" s="2">
        <f>IF($D243="","",IFERROR(INDEX(Units_Owners!$D$5:$D$504,MATCH($D243,Units_Owners!$A$5:$A$504,0)),""))</f>
        <v/>
      </c>
      <c r="H243" s="12">
        <f>Setup!$B$7</f>
        <v/>
      </c>
      <c r="I243" s="12">
        <f>Setup!$B$8</f>
        <v/>
      </c>
      <c r="J243" s="13">
        <f>IF($D243="","",IFERROR(INDEX(Units_Owners!$J$5:$J$504,MATCH($D243,Units_Owners!$A$5:$A$504,0)),0)+SUMIFS(Ledger!$F:$F,Ledger!$B:$B,$D243,Ledger!$D:$D,"&lt;"&amp;$H243)-SUMIFS(Ledger!$G:$G,Ledger!$B:$B,$D243,Ledger!$D:$D,"&lt;"&amp;$H243))</f>
        <v/>
      </c>
      <c r="K243" s="13">
        <f>IF($D243="","",IFERROR(INDEX(Units_Owners!$H$5:$H$504,MATCH($D243,Units_Owners!$A$5:$A$504,0)),Setup!$B$10))</f>
        <v/>
      </c>
      <c r="L243" s="13">
        <f>IF($D243="","",Setup!$B$11)</f>
        <v/>
      </c>
      <c r="M243" s="13">
        <f>IF($D243="","",IF(AND(TODAY()&gt;=Setup!$B$9,$P243&gt;0),Setup!$B$12,0))</f>
        <v/>
      </c>
      <c r="N243" s="13">
        <f>IF($D243="","",SUM($J243:$M243))</f>
        <v/>
      </c>
      <c r="O243" s="13">
        <f>IF($A243="","",SUMIFS(Payments!$F:$F,Payments!$D:$D,$A243))</f>
        <v/>
      </c>
      <c r="P243" s="13">
        <f>IF($D243="","",MAX(0,$N243-$O243))</f>
        <v/>
      </c>
      <c r="Q243" s="2">
        <f>IF($D243="","",IF(IFERROR(INDEX(Units_Owners!$I$5:$I$504,MATCH($D243,Units_Owners!$A$5:$A$504,0)),"No")&lt;&gt;"Yes","Skip - Inactive",IF($P243=0,"Paid",IF(TODAY()&gt;$I243,"Past Due","Open"))))</f>
        <v/>
      </c>
      <c r="R243" s="12" t="n"/>
      <c r="S243" s="2" t="n"/>
    </row>
    <row r="244">
      <c r="A244" s="2">
        <f>IF($D244="","","INV-"&amp;$B244&amp;"-"&amp;$C244&amp;"-"&amp;TEXT(ROW(A240),"0000"))</f>
        <v/>
      </c>
      <c r="B244" s="2">
        <f>Setup!$B$5</f>
        <v/>
      </c>
      <c r="C244" s="2">
        <f>Setup!$B$6</f>
        <v/>
      </c>
      <c r="D244" s="2">
        <f>IFERROR(INDEX(Units_Owners!$A$5:$A$504,ROWS($A$5:A244)),"")</f>
        <v/>
      </c>
      <c r="E244" s="2">
        <f>IF($D244="","",IFERROR(INDEX(Units_Owners!$B$5:$B$504,MATCH($D244,Units_Owners!$A$5:$A$504,0)),""))</f>
        <v/>
      </c>
      <c r="F244" s="2">
        <f>IF($D244="","",IFERROR(INDEX(Units_Owners!$C$5:$C$504,MATCH($D244,Units_Owners!$A$5:$A$504,0)),""))</f>
        <v/>
      </c>
      <c r="G244" s="2">
        <f>IF($D244="","",IFERROR(INDEX(Units_Owners!$D$5:$D$504,MATCH($D244,Units_Owners!$A$5:$A$504,0)),""))</f>
        <v/>
      </c>
      <c r="H244" s="12">
        <f>Setup!$B$7</f>
        <v/>
      </c>
      <c r="I244" s="12">
        <f>Setup!$B$8</f>
        <v/>
      </c>
      <c r="J244" s="13">
        <f>IF($D244="","",IFERROR(INDEX(Units_Owners!$J$5:$J$504,MATCH($D244,Units_Owners!$A$5:$A$504,0)),0)+SUMIFS(Ledger!$F:$F,Ledger!$B:$B,$D244,Ledger!$D:$D,"&lt;"&amp;$H244)-SUMIFS(Ledger!$G:$G,Ledger!$B:$B,$D244,Ledger!$D:$D,"&lt;"&amp;$H244))</f>
        <v/>
      </c>
      <c r="K244" s="13">
        <f>IF($D244="","",IFERROR(INDEX(Units_Owners!$H$5:$H$504,MATCH($D244,Units_Owners!$A$5:$A$504,0)),Setup!$B$10))</f>
        <v/>
      </c>
      <c r="L244" s="13">
        <f>IF($D244="","",Setup!$B$11)</f>
        <v/>
      </c>
      <c r="M244" s="13">
        <f>IF($D244="","",IF(AND(TODAY()&gt;=Setup!$B$9,$P244&gt;0),Setup!$B$12,0))</f>
        <v/>
      </c>
      <c r="N244" s="13">
        <f>IF($D244="","",SUM($J244:$M244))</f>
        <v/>
      </c>
      <c r="O244" s="13">
        <f>IF($A244="","",SUMIFS(Payments!$F:$F,Payments!$D:$D,$A244))</f>
        <v/>
      </c>
      <c r="P244" s="13">
        <f>IF($D244="","",MAX(0,$N244-$O244))</f>
        <v/>
      </c>
      <c r="Q244" s="2">
        <f>IF($D244="","",IF(IFERROR(INDEX(Units_Owners!$I$5:$I$504,MATCH($D244,Units_Owners!$A$5:$A$504,0)),"No")&lt;&gt;"Yes","Skip - Inactive",IF($P244=0,"Paid",IF(TODAY()&gt;$I244,"Past Due","Open"))))</f>
        <v/>
      </c>
      <c r="R244" s="14" t="n"/>
      <c r="S244" s="6" t="n"/>
    </row>
    <row r="245">
      <c r="A245" s="2">
        <f>IF($D245="","","INV-"&amp;$B245&amp;"-"&amp;$C245&amp;"-"&amp;TEXT(ROW(A241),"0000"))</f>
        <v/>
      </c>
      <c r="B245" s="2">
        <f>Setup!$B$5</f>
        <v/>
      </c>
      <c r="C245" s="2">
        <f>Setup!$B$6</f>
        <v/>
      </c>
      <c r="D245" s="2">
        <f>IFERROR(INDEX(Units_Owners!$A$5:$A$504,ROWS($A$5:A245)),"")</f>
        <v/>
      </c>
      <c r="E245" s="2">
        <f>IF($D245="","",IFERROR(INDEX(Units_Owners!$B$5:$B$504,MATCH($D245,Units_Owners!$A$5:$A$504,0)),""))</f>
        <v/>
      </c>
      <c r="F245" s="2">
        <f>IF($D245="","",IFERROR(INDEX(Units_Owners!$C$5:$C$504,MATCH($D245,Units_Owners!$A$5:$A$504,0)),""))</f>
        <v/>
      </c>
      <c r="G245" s="2">
        <f>IF($D245="","",IFERROR(INDEX(Units_Owners!$D$5:$D$504,MATCH($D245,Units_Owners!$A$5:$A$504,0)),""))</f>
        <v/>
      </c>
      <c r="H245" s="12">
        <f>Setup!$B$7</f>
        <v/>
      </c>
      <c r="I245" s="12">
        <f>Setup!$B$8</f>
        <v/>
      </c>
      <c r="J245" s="13">
        <f>IF($D245="","",IFERROR(INDEX(Units_Owners!$J$5:$J$504,MATCH($D245,Units_Owners!$A$5:$A$504,0)),0)+SUMIFS(Ledger!$F:$F,Ledger!$B:$B,$D245,Ledger!$D:$D,"&lt;"&amp;$H245)-SUMIFS(Ledger!$G:$G,Ledger!$B:$B,$D245,Ledger!$D:$D,"&lt;"&amp;$H245))</f>
        <v/>
      </c>
      <c r="K245" s="13">
        <f>IF($D245="","",IFERROR(INDEX(Units_Owners!$H$5:$H$504,MATCH($D245,Units_Owners!$A$5:$A$504,0)),Setup!$B$10))</f>
        <v/>
      </c>
      <c r="L245" s="13">
        <f>IF($D245="","",Setup!$B$11)</f>
        <v/>
      </c>
      <c r="M245" s="13">
        <f>IF($D245="","",IF(AND(TODAY()&gt;=Setup!$B$9,$P245&gt;0),Setup!$B$12,0))</f>
        <v/>
      </c>
      <c r="N245" s="13">
        <f>IF($D245="","",SUM($J245:$M245))</f>
        <v/>
      </c>
      <c r="O245" s="13">
        <f>IF($A245="","",SUMIFS(Payments!$F:$F,Payments!$D:$D,$A245))</f>
        <v/>
      </c>
      <c r="P245" s="13">
        <f>IF($D245="","",MAX(0,$N245-$O245))</f>
        <v/>
      </c>
      <c r="Q245" s="2">
        <f>IF($D245="","",IF(IFERROR(INDEX(Units_Owners!$I$5:$I$504,MATCH($D245,Units_Owners!$A$5:$A$504,0)),"No")&lt;&gt;"Yes","Skip - Inactive",IF($P245=0,"Paid",IF(TODAY()&gt;$I245,"Past Due","Open"))))</f>
        <v/>
      </c>
      <c r="R245" s="12" t="n"/>
      <c r="S245" s="2" t="n"/>
    </row>
    <row r="246">
      <c r="A246" s="2">
        <f>IF($D246="","","INV-"&amp;$B246&amp;"-"&amp;$C246&amp;"-"&amp;TEXT(ROW(A242),"0000"))</f>
        <v/>
      </c>
      <c r="B246" s="2">
        <f>Setup!$B$5</f>
        <v/>
      </c>
      <c r="C246" s="2">
        <f>Setup!$B$6</f>
        <v/>
      </c>
      <c r="D246" s="2">
        <f>IFERROR(INDEX(Units_Owners!$A$5:$A$504,ROWS($A$5:A246)),"")</f>
        <v/>
      </c>
      <c r="E246" s="2">
        <f>IF($D246="","",IFERROR(INDEX(Units_Owners!$B$5:$B$504,MATCH($D246,Units_Owners!$A$5:$A$504,0)),""))</f>
        <v/>
      </c>
      <c r="F246" s="2">
        <f>IF($D246="","",IFERROR(INDEX(Units_Owners!$C$5:$C$504,MATCH($D246,Units_Owners!$A$5:$A$504,0)),""))</f>
        <v/>
      </c>
      <c r="G246" s="2">
        <f>IF($D246="","",IFERROR(INDEX(Units_Owners!$D$5:$D$504,MATCH($D246,Units_Owners!$A$5:$A$504,0)),""))</f>
        <v/>
      </c>
      <c r="H246" s="12">
        <f>Setup!$B$7</f>
        <v/>
      </c>
      <c r="I246" s="12">
        <f>Setup!$B$8</f>
        <v/>
      </c>
      <c r="J246" s="13">
        <f>IF($D246="","",IFERROR(INDEX(Units_Owners!$J$5:$J$504,MATCH($D246,Units_Owners!$A$5:$A$504,0)),0)+SUMIFS(Ledger!$F:$F,Ledger!$B:$B,$D246,Ledger!$D:$D,"&lt;"&amp;$H246)-SUMIFS(Ledger!$G:$G,Ledger!$B:$B,$D246,Ledger!$D:$D,"&lt;"&amp;$H246))</f>
        <v/>
      </c>
      <c r="K246" s="13">
        <f>IF($D246="","",IFERROR(INDEX(Units_Owners!$H$5:$H$504,MATCH($D246,Units_Owners!$A$5:$A$504,0)),Setup!$B$10))</f>
        <v/>
      </c>
      <c r="L246" s="13">
        <f>IF($D246="","",Setup!$B$11)</f>
        <v/>
      </c>
      <c r="M246" s="13">
        <f>IF($D246="","",IF(AND(TODAY()&gt;=Setup!$B$9,$P246&gt;0),Setup!$B$12,0))</f>
        <v/>
      </c>
      <c r="N246" s="13">
        <f>IF($D246="","",SUM($J246:$M246))</f>
        <v/>
      </c>
      <c r="O246" s="13">
        <f>IF($A246="","",SUMIFS(Payments!$F:$F,Payments!$D:$D,$A246))</f>
        <v/>
      </c>
      <c r="P246" s="13">
        <f>IF($D246="","",MAX(0,$N246-$O246))</f>
        <v/>
      </c>
      <c r="Q246" s="2">
        <f>IF($D246="","",IF(IFERROR(INDEX(Units_Owners!$I$5:$I$504,MATCH($D246,Units_Owners!$A$5:$A$504,0)),"No")&lt;&gt;"Yes","Skip - Inactive",IF($P246=0,"Paid",IF(TODAY()&gt;$I246,"Past Due","Open"))))</f>
        <v/>
      </c>
      <c r="R246" s="14" t="n"/>
      <c r="S246" s="6" t="n"/>
    </row>
    <row r="247">
      <c r="A247" s="2">
        <f>IF($D247="","","INV-"&amp;$B247&amp;"-"&amp;$C247&amp;"-"&amp;TEXT(ROW(A243),"0000"))</f>
        <v/>
      </c>
      <c r="B247" s="2">
        <f>Setup!$B$5</f>
        <v/>
      </c>
      <c r="C247" s="2">
        <f>Setup!$B$6</f>
        <v/>
      </c>
      <c r="D247" s="2">
        <f>IFERROR(INDEX(Units_Owners!$A$5:$A$504,ROWS($A$5:A247)),"")</f>
        <v/>
      </c>
      <c r="E247" s="2">
        <f>IF($D247="","",IFERROR(INDEX(Units_Owners!$B$5:$B$504,MATCH($D247,Units_Owners!$A$5:$A$504,0)),""))</f>
        <v/>
      </c>
      <c r="F247" s="2">
        <f>IF($D247="","",IFERROR(INDEX(Units_Owners!$C$5:$C$504,MATCH($D247,Units_Owners!$A$5:$A$504,0)),""))</f>
        <v/>
      </c>
      <c r="G247" s="2">
        <f>IF($D247="","",IFERROR(INDEX(Units_Owners!$D$5:$D$504,MATCH($D247,Units_Owners!$A$5:$A$504,0)),""))</f>
        <v/>
      </c>
      <c r="H247" s="12">
        <f>Setup!$B$7</f>
        <v/>
      </c>
      <c r="I247" s="12">
        <f>Setup!$B$8</f>
        <v/>
      </c>
      <c r="J247" s="13">
        <f>IF($D247="","",IFERROR(INDEX(Units_Owners!$J$5:$J$504,MATCH($D247,Units_Owners!$A$5:$A$504,0)),0)+SUMIFS(Ledger!$F:$F,Ledger!$B:$B,$D247,Ledger!$D:$D,"&lt;"&amp;$H247)-SUMIFS(Ledger!$G:$G,Ledger!$B:$B,$D247,Ledger!$D:$D,"&lt;"&amp;$H247))</f>
        <v/>
      </c>
      <c r="K247" s="13">
        <f>IF($D247="","",IFERROR(INDEX(Units_Owners!$H$5:$H$504,MATCH($D247,Units_Owners!$A$5:$A$504,0)),Setup!$B$10))</f>
        <v/>
      </c>
      <c r="L247" s="13">
        <f>IF($D247="","",Setup!$B$11)</f>
        <v/>
      </c>
      <c r="M247" s="13">
        <f>IF($D247="","",IF(AND(TODAY()&gt;=Setup!$B$9,$P247&gt;0),Setup!$B$12,0))</f>
        <v/>
      </c>
      <c r="N247" s="13">
        <f>IF($D247="","",SUM($J247:$M247))</f>
        <v/>
      </c>
      <c r="O247" s="13">
        <f>IF($A247="","",SUMIFS(Payments!$F:$F,Payments!$D:$D,$A247))</f>
        <v/>
      </c>
      <c r="P247" s="13">
        <f>IF($D247="","",MAX(0,$N247-$O247))</f>
        <v/>
      </c>
      <c r="Q247" s="2">
        <f>IF($D247="","",IF(IFERROR(INDEX(Units_Owners!$I$5:$I$504,MATCH($D247,Units_Owners!$A$5:$A$504,0)),"No")&lt;&gt;"Yes","Skip - Inactive",IF($P247=0,"Paid",IF(TODAY()&gt;$I247,"Past Due","Open"))))</f>
        <v/>
      </c>
      <c r="R247" s="12" t="n"/>
      <c r="S247" s="2" t="n"/>
    </row>
    <row r="248">
      <c r="A248" s="2">
        <f>IF($D248="","","INV-"&amp;$B248&amp;"-"&amp;$C248&amp;"-"&amp;TEXT(ROW(A244),"0000"))</f>
        <v/>
      </c>
      <c r="B248" s="2">
        <f>Setup!$B$5</f>
        <v/>
      </c>
      <c r="C248" s="2">
        <f>Setup!$B$6</f>
        <v/>
      </c>
      <c r="D248" s="2">
        <f>IFERROR(INDEX(Units_Owners!$A$5:$A$504,ROWS($A$5:A248)),"")</f>
        <v/>
      </c>
      <c r="E248" s="2">
        <f>IF($D248="","",IFERROR(INDEX(Units_Owners!$B$5:$B$504,MATCH($D248,Units_Owners!$A$5:$A$504,0)),""))</f>
        <v/>
      </c>
      <c r="F248" s="2">
        <f>IF($D248="","",IFERROR(INDEX(Units_Owners!$C$5:$C$504,MATCH($D248,Units_Owners!$A$5:$A$504,0)),""))</f>
        <v/>
      </c>
      <c r="G248" s="2">
        <f>IF($D248="","",IFERROR(INDEX(Units_Owners!$D$5:$D$504,MATCH($D248,Units_Owners!$A$5:$A$504,0)),""))</f>
        <v/>
      </c>
      <c r="H248" s="12">
        <f>Setup!$B$7</f>
        <v/>
      </c>
      <c r="I248" s="12">
        <f>Setup!$B$8</f>
        <v/>
      </c>
      <c r="J248" s="13">
        <f>IF($D248="","",IFERROR(INDEX(Units_Owners!$J$5:$J$504,MATCH($D248,Units_Owners!$A$5:$A$504,0)),0)+SUMIFS(Ledger!$F:$F,Ledger!$B:$B,$D248,Ledger!$D:$D,"&lt;"&amp;$H248)-SUMIFS(Ledger!$G:$G,Ledger!$B:$B,$D248,Ledger!$D:$D,"&lt;"&amp;$H248))</f>
        <v/>
      </c>
      <c r="K248" s="13">
        <f>IF($D248="","",IFERROR(INDEX(Units_Owners!$H$5:$H$504,MATCH($D248,Units_Owners!$A$5:$A$504,0)),Setup!$B$10))</f>
        <v/>
      </c>
      <c r="L248" s="13">
        <f>IF($D248="","",Setup!$B$11)</f>
        <v/>
      </c>
      <c r="M248" s="13">
        <f>IF($D248="","",IF(AND(TODAY()&gt;=Setup!$B$9,$P248&gt;0),Setup!$B$12,0))</f>
        <v/>
      </c>
      <c r="N248" s="13">
        <f>IF($D248="","",SUM($J248:$M248))</f>
        <v/>
      </c>
      <c r="O248" s="13">
        <f>IF($A248="","",SUMIFS(Payments!$F:$F,Payments!$D:$D,$A248))</f>
        <v/>
      </c>
      <c r="P248" s="13">
        <f>IF($D248="","",MAX(0,$N248-$O248))</f>
        <v/>
      </c>
      <c r="Q248" s="2">
        <f>IF($D248="","",IF(IFERROR(INDEX(Units_Owners!$I$5:$I$504,MATCH($D248,Units_Owners!$A$5:$A$504,0)),"No")&lt;&gt;"Yes","Skip - Inactive",IF($P248=0,"Paid",IF(TODAY()&gt;$I248,"Past Due","Open"))))</f>
        <v/>
      </c>
      <c r="R248" s="14" t="n"/>
      <c r="S248" s="6" t="n"/>
    </row>
    <row r="249">
      <c r="A249" s="2">
        <f>IF($D249="","","INV-"&amp;$B249&amp;"-"&amp;$C249&amp;"-"&amp;TEXT(ROW(A245),"0000"))</f>
        <v/>
      </c>
      <c r="B249" s="2">
        <f>Setup!$B$5</f>
        <v/>
      </c>
      <c r="C249" s="2">
        <f>Setup!$B$6</f>
        <v/>
      </c>
      <c r="D249" s="2">
        <f>IFERROR(INDEX(Units_Owners!$A$5:$A$504,ROWS($A$5:A249)),"")</f>
        <v/>
      </c>
      <c r="E249" s="2">
        <f>IF($D249="","",IFERROR(INDEX(Units_Owners!$B$5:$B$504,MATCH($D249,Units_Owners!$A$5:$A$504,0)),""))</f>
        <v/>
      </c>
      <c r="F249" s="2">
        <f>IF($D249="","",IFERROR(INDEX(Units_Owners!$C$5:$C$504,MATCH($D249,Units_Owners!$A$5:$A$504,0)),""))</f>
        <v/>
      </c>
      <c r="G249" s="2">
        <f>IF($D249="","",IFERROR(INDEX(Units_Owners!$D$5:$D$504,MATCH($D249,Units_Owners!$A$5:$A$504,0)),""))</f>
        <v/>
      </c>
      <c r="H249" s="12">
        <f>Setup!$B$7</f>
        <v/>
      </c>
      <c r="I249" s="12">
        <f>Setup!$B$8</f>
        <v/>
      </c>
      <c r="J249" s="13">
        <f>IF($D249="","",IFERROR(INDEX(Units_Owners!$J$5:$J$504,MATCH($D249,Units_Owners!$A$5:$A$504,0)),0)+SUMIFS(Ledger!$F:$F,Ledger!$B:$B,$D249,Ledger!$D:$D,"&lt;"&amp;$H249)-SUMIFS(Ledger!$G:$G,Ledger!$B:$B,$D249,Ledger!$D:$D,"&lt;"&amp;$H249))</f>
        <v/>
      </c>
      <c r="K249" s="13">
        <f>IF($D249="","",IFERROR(INDEX(Units_Owners!$H$5:$H$504,MATCH($D249,Units_Owners!$A$5:$A$504,0)),Setup!$B$10))</f>
        <v/>
      </c>
      <c r="L249" s="13">
        <f>IF($D249="","",Setup!$B$11)</f>
        <v/>
      </c>
      <c r="M249" s="13">
        <f>IF($D249="","",IF(AND(TODAY()&gt;=Setup!$B$9,$P249&gt;0),Setup!$B$12,0))</f>
        <v/>
      </c>
      <c r="N249" s="13">
        <f>IF($D249="","",SUM($J249:$M249))</f>
        <v/>
      </c>
      <c r="O249" s="13">
        <f>IF($A249="","",SUMIFS(Payments!$F:$F,Payments!$D:$D,$A249))</f>
        <v/>
      </c>
      <c r="P249" s="13">
        <f>IF($D249="","",MAX(0,$N249-$O249))</f>
        <v/>
      </c>
      <c r="Q249" s="2">
        <f>IF($D249="","",IF(IFERROR(INDEX(Units_Owners!$I$5:$I$504,MATCH($D249,Units_Owners!$A$5:$A$504,0)),"No")&lt;&gt;"Yes","Skip - Inactive",IF($P249=0,"Paid",IF(TODAY()&gt;$I249,"Past Due","Open"))))</f>
        <v/>
      </c>
      <c r="R249" s="12" t="n"/>
      <c r="S249" s="2" t="n"/>
    </row>
    <row r="250">
      <c r="A250" s="2">
        <f>IF($D250="","","INV-"&amp;$B250&amp;"-"&amp;$C250&amp;"-"&amp;TEXT(ROW(A246),"0000"))</f>
        <v/>
      </c>
      <c r="B250" s="2">
        <f>Setup!$B$5</f>
        <v/>
      </c>
      <c r="C250" s="2">
        <f>Setup!$B$6</f>
        <v/>
      </c>
      <c r="D250" s="2">
        <f>IFERROR(INDEX(Units_Owners!$A$5:$A$504,ROWS($A$5:A250)),"")</f>
        <v/>
      </c>
      <c r="E250" s="2">
        <f>IF($D250="","",IFERROR(INDEX(Units_Owners!$B$5:$B$504,MATCH($D250,Units_Owners!$A$5:$A$504,0)),""))</f>
        <v/>
      </c>
      <c r="F250" s="2">
        <f>IF($D250="","",IFERROR(INDEX(Units_Owners!$C$5:$C$504,MATCH($D250,Units_Owners!$A$5:$A$504,0)),""))</f>
        <v/>
      </c>
      <c r="G250" s="2">
        <f>IF($D250="","",IFERROR(INDEX(Units_Owners!$D$5:$D$504,MATCH($D250,Units_Owners!$A$5:$A$504,0)),""))</f>
        <v/>
      </c>
      <c r="H250" s="12">
        <f>Setup!$B$7</f>
        <v/>
      </c>
      <c r="I250" s="12">
        <f>Setup!$B$8</f>
        <v/>
      </c>
      <c r="J250" s="13">
        <f>IF($D250="","",IFERROR(INDEX(Units_Owners!$J$5:$J$504,MATCH($D250,Units_Owners!$A$5:$A$504,0)),0)+SUMIFS(Ledger!$F:$F,Ledger!$B:$B,$D250,Ledger!$D:$D,"&lt;"&amp;$H250)-SUMIFS(Ledger!$G:$G,Ledger!$B:$B,$D250,Ledger!$D:$D,"&lt;"&amp;$H250))</f>
        <v/>
      </c>
      <c r="K250" s="13">
        <f>IF($D250="","",IFERROR(INDEX(Units_Owners!$H$5:$H$504,MATCH($D250,Units_Owners!$A$5:$A$504,0)),Setup!$B$10))</f>
        <v/>
      </c>
      <c r="L250" s="13">
        <f>IF($D250="","",Setup!$B$11)</f>
        <v/>
      </c>
      <c r="M250" s="13">
        <f>IF($D250="","",IF(AND(TODAY()&gt;=Setup!$B$9,$P250&gt;0),Setup!$B$12,0))</f>
        <v/>
      </c>
      <c r="N250" s="13">
        <f>IF($D250="","",SUM($J250:$M250))</f>
        <v/>
      </c>
      <c r="O250" s="13">
        <f>IF($A250="","",SUMIFS(Payments!$F:$F,Payments!$D:$D,$A250))</f>
        <v/>
      </c>
      <c r="P250" s="13">
        <f>IF($D250="","",MAX(0,$N250-$O250))</f>
        <v/>
      </c>
      <c r="Q250" s="2">
        <f>IF($D250="","",IF(IFERROR(INDEX(Units_Owners!$I$5:$I$504,MATCH($D250,Units_Owners!$A$5:$A$504,0)),"No")&lt;&gt;"Yes","Skip - Inactive",IF($P250=0,"Paid",IF(TODAY()&gt;$I250,"Past Due","Open"))))</f>
        <v/>
      </c>
      <c r="R250" s="14" t="n"/>
      <c r="S250" s="6" t="n"/>
    </row>
    <row r="251">
      <c r="A251" s="2">
        <f>IF($D251="","","INV-"&amp;$B251&amp;"-"&amp;$C251&amp;"-"&amp;TEXT(ROW(A247),"0000"))</f>
        <v/>
      </c>
      <c r="B251" s="2">
        <f>Setup!$B$5</f>
        <v/>
      </c>
      <c r="C251" s="2">
        <f>Setup!$B$6</f>
        <v/>
      </c>
      <c r="D251" s="2">
        <f>IFERROR(INDEX(Units_Owners!$A$5:$A$504,ROWS($A$5:A251)),"")</f>
        <v/>
      </c>
      <c r="E251" s="2">
        <f>IF($D251="","",IFERROR(INDEX(Units_Owners!$B$5:$B$504,MATCH($D251,Units_Owners!$A$5:$A$504,0)),""))</f>
        <v/>
      </c>
      <c r="F251" s="2">
        <f>IF($D251="","",IFERROR(INDEX(Units_Owners!$C$5:$C$504,MATCH($D251,Units_Owners!$A$5:$A$504,0)),""))</f>
        <v/>
      </c>
      <c r="G251" s="2">
        <f>IF($D251="","",IFERROR(INDEX(Units_Owners!$D$5:$D$504,MATCH($D251,Units_Owners!$A$5:$A$504,0)),""))</f>
        <v/>
      </c>
      <c r="H251" s="12">
        <f>Setup!$B$7</f>
        <v/>
      </c>
      <c r="I251" s="12">
        <f>Setup!$B$8</f>
        <v/>
      </c>
      <c r="J251" s="13">
        <f>IF($D251="","",IFERROR(INDEX(Units_Owners!$J$5:$J$504,MATCH($D251,Units_Owners!$A$5:$A$504,0)),0)+SUMIFS(Ledger!$F:$F,Ledger!$B:$B,$D251,Ledger!$D:$D,"&lt;"&amp;$H251)-SUMIFS(Ledger!$G:$G,Ledger!$B:$B,$D251,Ledger!$D:$D,"&lt;"&amp;$H251))</f>
        <v/>
      </c>
      <c r="K251" s="13">
        <f>IF($D251="","",IFERROR(INDEX(Units_Owners!$H$5:$H$504,MATCH($D251,Units_Owners!$A$5:$A$504,0)),Setup!$B$10))</f>
        <v/>
      </c>
      <c r="L251" s="13">
        <f>IF($D251="","",Setup!$B$11)</f>
        <v/>
      </c>
      <c r="M251" s="13">
        <f>IF($D251="","",IF(AND(TODAY()&gt;=Setup!$B$9,$P251&gt;0),Setup!$B$12,0))</f>
        <v/>
      </c>
      <c r="N251" s="13">
        <f>IF($D251="","",SUM($J251:$M251))</f>
        <v/>
      </c>
      <c r="O251" s="13">
        <f>IF($A251="","",SUMIFS(Payments!$F:$F,Payments!$D:$D,$A251))</f>
        <v/>
      </c>
      <c r="P251" s="13">
        <f>IF($D251="","",MAX(0,$N251-$O251))</f>
        <v/>
      </c>
      <c r="Q251" s="2">
        <f>IF($D251="","",IF(IFERROR(INDEX(Units_Owners!$I$5:$I$504,MATCH($D251,Units_Owners!$A$5:$A$504,0)),"No")&lt;&gt;"Yes","Skip - Inactive",IF($P251=0,"Paid",IF(TODAY()&gt;$I251,"Past Due","Open"))))</f>
        <v/>
      </c>
      <c r="R251" s="12" t="n"/>
      <c r="S251" s="2" t="n"/>
    </row>
    <row r="252">
      <c r="A252" s="2">
        <f>IF($D252="","","INV-"&amp;$B252&amp;"-"&amp;$C252&amp;"-"&amp;TEXT(ROW(A248),"0000"))</f>
        <v/>
      </c>
      <c r="B252" s="2">
        <f>Setup!$B$5</f>
        <v/>
      </c>
      <c r="C252" s="2">
        <f>Setup!$B$6</f>
        <v/>
      </c>
      <c r="D252" s="2">
        <f>IFERROR(INDEX(Units_Owners!$A$5:$A$504,ROWS($A$5:A252)),"")</f>
        <v/>
      </c>
      <c r="E252" s="2">
        <f>IF($D252="","",IFERROR(INDEX(Units_Owners!$B$5:$B$504,MATCH($D252,Units_Owners!$A$5:$A$504,0)),""))</f>
        <v/>
      </c>
      <c r="F252" s="2">
        <f>IF($D252="","",IFERROR(INDEX(Units_Owners!$C$5:$C$504,MATCH($D252,Units_Owners!$A$5:$A$504,0)),""))</f>
        <v/>
      </c>
      <c r="G252" s="2">
        <f>IF($D252="","",IFERROR(INDEX(Units_Owners!$D$5:$D$504,MATCH($D252,Units_Owners!$A$5:$A$504,0)),""))</f>
        <v/>
      </c>
      <c r="H252" s="12">
        <f>Setup!$B$7</f>
        <v/>
      </c>
      <c r="I252" s="12">
        <f>Setup!$B$8</f>
        <v/>
      </c>
      <c r="J252" s="13">
        <f>IF($D252="","",IFERROR(INDEX(Units_Owners!$J$5:$J$504,MATCH($D252,Units_Owners!$A$5:$A$504,0)),0)+SUMIFS(Ledger!$F:$F,Ledger!$B:$B,$D252,Ledger!$D:$D,"&lt;"&amp;$H252)-SUMIFS(Ledger!$G:$G,Ledger!$B:$B,$D252,Ledger!$D:$D,"&lt;"&amp;$H252))</f>
        <v/>
      </c>
      <c r="K252" s="13">
        <f>IF($D252="","",IFERROR(INDEX(Units_Owners!$H$5:$H$504,MATCH($D252,Units_Owners!$A$5:$A$504,0)),Setup!$B$10))</f>
        <v/>
      </c>
      <c r="L252" s="13">
        <f>IF($D252="","",Setup!$B$11)</f>
        <v/>
      </c>
      <c r="M252" s="13">
        <f>IF($D252="","",IF(AND(TODAY()&gt;=Setup!$B$9,$P252&gt;0),Setup!$B$12,0))</f>
        <v/>
      </c>
      <c r="N252" s="13">
        <f>IF($D252="","",SUM($J252:$M252))</f>
        <v/>
      </c>
      <c r="O252" s="13">
        <f>IF($A252="","",SUMIFS(Payments!$F:$F,Payments!$D:$D,$A252))</f>
        <v/>
      </c>
      <c r="P252" s="13">
        <f>IF($D252="","",MAX(0,$N252-$O252))</f>
        <v/>
      </c>
      <c r="Q252" s="2">
        <f>IF($D252="","",IF(IFERROR(INDEX(Units_Owners!$I$5:$I$504,MATCH($D252,Units_Owners!$A$5:$A$504,0)),"No")&lt;&gt;"Yes","Skip - Inactive",IF($P252=0,"Paid",IF(TODAY()&gt;$I252,"Past Due","Open"))))</f>
        <v/>
      </c>
      <c r="R252" s="14" t="n"/>
      <c r="S252" s="6" t="n"/>
    </row>
    <row r="253">
      <c r="A253" s="2">
        <f>IF($D253="","","INV-"&amp;$B253&amp;"-"&amp;$C253&amp;"-"&amp;TEXT(ROW(A249),"0000"))</f>
        <v/>
      </c>
      <c r="B253" s="2">
        <f>Setup!$B$5</f>
        <v/>
      </c>
      <c r="C253" s="2">
        <f>Setup!$B$6</f>
        <v/>
      </c>
      <c r="D253" s="2">
        <f>IFERROR(INDEX(Units_Owners!$A$5:$A$504,ROWS($A$5:A253)),"")</f>
        <v/>
      </c>
      <c r="E253" s="2">
        <f>IF($D253="","",IFERROR(INDEX(Units_Owners!$B$5:$B$504,MATCH($D253,Units_Owners!$A$5:$A$504,0)),""))</f>
        <v/>
      </c>
      <c r="F253" s="2">
        <f>IF($D253="","",IFERROR(INDEX(Units_Owners!$C$5:$C$504,MATCH($D253,Units_Owners!$A$5:$A$504,0)),""))</f>
        <v/>
      </c>
      <c r="G253" s="2">
        <f>IF($D253="","",IFERROR(INDEX(Units_Owners!$D$5:$D$504,MATCH($D253,Units_Owners!$A$5:$A$504,0)),""))</f>
        <v/>
      </c>
      <c r="H253" s="12">
        <f>Setup!$B$7</f>
        <v/>
      </c>
      <c r="I253" s="12">
        <f>Setup!$B$8</f>
        <v/>
      </c>
      <c r="J253" s="13">
        <f>IF($D253="","",IFERROR(INDEX(Units_Owners!$J$5:$J$504,MATCH($D253,Units_Owners!$A$5:$A$504,0)),0)+SUMIFS(Ledger!$F:$F,Ledger!$B:$B,$D253,Ledger!$D:$D,"&lt;"&amp;$H253)-SUMIFS(Ledger!$G:$G,Ledger!$B:$B,$D253,Ledger!$D:$D,"&lt;"&amp;$H253))</f>
        <v/>
      </c>
      <c r="K253" s="13">
        <f>IF($D253="","",IFERROR(INDEX(Units_Owners!$H$5:$H$504,MATCH($D253,Units_Owners!$A$5:$A$504,0)),Setup!$B$10))</f>
        <v/>
      </c>
      <c r="L253" s="13">
        <f>IF($D253="","",Setup!$B$11)</f>
        <v/>
      </c>
      <c r="M253" s="13">
        <f>IF($D253="","",IF(AND(TODAY()&gt;=Setup!$B$9,$P253&gt;0),Setup!$B$12,0))</f>
        <v/>
      </c>
      <c r="N253" s="13">
        <f>IF($D253="","",SUM($J253:$M253))</f>
        <v/>
      </c>
      <c r="O253" s="13">
        <f>IF($A253="","",SUMIFS(Payments!$F:$F,Payments!$D:$D,$A253))</f>
        <v/>
      </c>
      <c r="P253" s="13">
        <f>IF($D253="","",MAX(0,$N253-$O253))</f>
        <v/>
      </c>
      <c r="Q253" s="2">
        <f>IF($D253="","",IF(IFERROR(INDEX(Units_Owners!$I$5:$I$504,MATCH($D253,Units_Owners!$A$5:$A$504,0)),"No")&lt;&gt;"Yes","Skip - Inactive",IF($P253=0,"Paid",IF(TODAY()&gt;$I253,"Past Due","Open"))))</f>
        <v/>
      </c>
      <c r="R253" s="12" t="n"/>
      <c r="S253" s="2" t="n"/>
    </row>
    <row r="254">
      <c r="A254" s="2">
        <f>IF($D254="","","INV-"&amp;$B254&amp;"-"&amp;$C254&amp;"-"&amp;TEXT(ROW(A250),"0000"))</f>
        <v/>
      </c>
      <c r="B254" s="2">
        <f>Setup!$B$5</f>
        <v/>
      </c>
      <c r="C254" s="2">
        <f>Setup!$B$6</f>
        <v/>
      </c>
      <c r="D254" s="2">
        <f>IFERROR(INDEX(Units_Owners!$A$5:$A$504,ROWS($A$5:A254)),"")</f>
        <v/>
      </c>
      <c r="E254" s="2">
        <f>IF($D254="","",IFERROR(INDEX(Units_Owners!$B$5:$B$504,MATCH($D254,Units_Owners!$A$5:$A$504,0)),""))</f>
        <v/>
      </c>
      <c r="F254" s="2">
        <f>IF($D254="","",IFERROR(INDEX(Units_Owners!$C$5:$C$504,MATCH($D254,Units_Owners!$A$5:$A$504,0)),""))</f>
        <v/>
      </c>
      <c r="G254" s="2">
        <f>IF($D254="","",IFERROR(INDEX(Units_Owners!$D$5:$D$504,MATCH($D254,Units_Owners!$A$5:$A$504,0)),""))</f>
        <v/>
      </c>
      <c r="H254" s="12">
        <f>Setup!$B$7</f>
        <v/>
      </c>
      <c r="I254" s="12">
        <f>Setup!$B$8</f>
        <v/>
      </c>
      <c r="J254" s="13">
        <f>IF($D254="","",IFERROR(INDEX(Units_Owners!$J$5:$J$504,MATCH($D254,Units_Owners!$A$5:$A$504,0)),0)+SUMIFS(Ledger!$F:$F,Ledger!$B:$B,$D254,Ledger!$D:$D,"&lt;"&amp;$H254)-SUMIFS(Ledger!$G:$G,Ledger!$B:$B,$D254,Ledger!$D:$D,"&lt;"&amp;$H254))</f>
        <v/>
      </c>
      <c r="K254" s="13">
        <f>IF($D254="","",IFERROR(INDEX(Units_Owners!$H$5:$H$504,MATCH($D254,Units_Owners!$A$5:$A$504,0)),Setup!$B$10))</f>
        <v/>
      </c>
      <c r="L254" s="13">
        <f>IF($D254="","",Setup!$B$11)</f>
        <v/>
      </c>
      <c r="M254" s="13">
        <f>IF($D254="","",IF(AND(TODAY()&gt;=Setup!$B$9,$P254&gt;0),Setup!$B$12,0))</f>
        <v/>
      </c>
      <c r="N254" s="13">
        <f>IF($D254="","",SUM($J254:$M254))</f>
        <v/>
      </c>
      <c r="O254" s="13">
        <f>IF($A254="","",SUMIFS(Payments!$F:$F,Payments!$D:$D,$A254))</f>
        <v/>
      </c>
      <c r="P254" s="13">
        <f>IF($D254="","",MAX(0,$N254-$O254))</f>
        <v/>
      </c>
      <c r="Q254" s="2">
        <f>IF($D254="","",IF(IFERROR(INDEX(Units_Owners!$I$5:$I$504,MATCH($D254,Units_Owners!$A$5:$A$504,0)),"No")&lt;&gt;"Yes","Skip - Inactive",IF($P254=0,"Paid",IF(TODAY()&gt;$I254,"Past Due","Open"))))</f>
        <v/>
      </c>
      <c r="R254" s="14" t="n"/>
      <c r="S254" s="6" t="n"/>
    </row>
    <row r="255">
      <c r="A255" s="2">
        <f>IF($D255="","","INV-"&amp;$B255&amp;"-"&amp;$C255&amp;"-"&amp;TEXT(ROW(A251),"0000"))</f>
        <v/>
      </c>
      <c r="B255" s="2">
        <f>Setup!$B$5</f>
        <v/>
      </c>
      <c r="C255" s="2">
        <f>Setup!$B$6</f>
        <v/>
      </c>
      <c r="D255" s="2">
        <f>IFERROR(INDEX(Units_Owners!$A$5:$A$504,ROWS($A$5:A255)),"")</f>
        <v/>
      </c>
      <c r="E255" s="2">
        <f>IF($D255="","",IFERROR(INDEX(Units_Owners!$B$5:$B$504,MATCH($D255,Units_Owners!$A$5:$A$504,0)),""))</f>
        <v/>
      </c>
      <c r="F255" s="2">
        <f>IF($D255="","",IFERROR(INDEX(Units_Owners!$C$5:$C$504,MATCH($D255,Units_Owners!$A$5:$A$504,0)),""))</f>
        <v/>
      </c>
      <c r="G255" s="2">
        <f>IF($D255="","",IFERROR(INDEX(Units_Owners!$D$5:$D$504,MATCH($D255,Units_Owners!$A$5:$A$504,0)),""))</f>
        <v/>
      </c>
      <c r="H255" s="12">
        <f>Setup!$B$7</f>
        <v/>
      </c>
      <c r="I255" s="12">
        <f>Setup!$B$8</f>
        <v/>
      </c>
      <c r="J255" s="13">
        <f>IF($D255="","",IFERROR(INDEX(Units_Owners!$J$5:$J$504,MATCH($D255,Units_Owners!$A$5:$A$504,0)),0)+SUMIFS(Ledger!$F:$F,Ledger!$B:$B,$D255,Ledger!$D:$D,"&lt;"&amp;$H255)-SUMIFS(Ledger!$G:$G,Ledger!$B:$B,$D255,Ledger!$D:$D,"&lt;"&amp;$H255))</f>
        <v/>
      </c>
      <c r="K255" s="13">
        <f>IF($D255="","",IFERROR(INDEX(Units_Owners!$H$5:$H$504,MATCH($D255,Units_Owners!$A$5:$A$504,0)),Setup!$B$10))</f>
        <v/>
      </c>
      <c r="L255" s="13">
        <f>IF($D255="","",Setup!$B$11)</f>
        <v/>
      </c>
      <c r="M255" s="13">
        <f>IF($D255="","",IF(AND(TODAY()&gt;=Setup!$B$9,$P255&gt;0),Setup!$B$12,0))</f>
        <v/>
      </c>
      <c r="N255" s="13">
        <f>IF($D255="","",SUM($J255:$M255))</f>
        <v/>
      </c>
      <c r="O255" s="13">
        <f>IF($A255="","",SUMIFS(Payments!$F:$F,Payments!$D:$D,$A255))</f>
        <v/>
      </c>
      <c r="P255" s="13">
        <f>IF($D255="","",MAX(0,$N255-$O255))</f>
        <v/>
      </c>
      <c r="Q255" s="2">
        <f>IF($D255="","",IF(IFERROR(INDEX(Units_Owners!$I$5:$I$504,MATCH($D255,Units_Owners!$A$5:$A$504,0)),"No")&lt;&gt;"Yes","Skip - Inactive",IF($P255=0,"Paid",IF(TODAY()&gt;$I255,"Past Due","Open"))))</f>
        <v/>
      </c>
      <c r="R255" s="12" t="n"/>
      <c r="S255" s="2" t="n"/>
    </row>
    <row r="256">
      <c r="A256" s="2">
        <f>IF($D256="","","INV-"&amp;$B256&amp;"-"&amp;$C256&amp;"-"&amp;TEXT(ROW(A252),"0000"))</f>
        <v/>
      </c>
      <c r="B256" s="2">
        <f>Setup!$B$5</f>
        <v/>
      </c>
      <c r="C256" s="2">
        <f>Setup!$B$6</f>
        <v/>
      </c>
      <c r="D256" s="2">
        <f>IFERROR(INDEX(Units_Owners!$A$5:$A$504,ROWS($A$5:A256)),"")</f>
        <v/>
      </c>
      <c r="E256" s="2">
        <f>IF($D256="","",IFERROR(INDEX(Units_Owners!$B$5:$B$504,MATCH($D256,Units_Owners!$A$5:$A$504,0)),""))</f>
        <v/>
      </c>
      <c r="F256" s="2">
        <f>IF($D256="","",IFERROR(INDEX(Units_Owners!$C$5:$C$504,MATCH($D256,Units_Owners!$A$5:$A$504,0)),""))</f>
        <v/>
      </c>
      <c r="G256" s="2">
        <f>IF($D256="","",IFERROR(INDEX(Units_Owners!$D$5:$D$504,MATCH($D256,Units_Owners!$A$5:$A$504,0)),""))</f>
        <v/>
      </c>
      <c r="H256" s="12">
        <f>Setup!$B$7</f>
        <v/>
      </c>
      <c r="I256" s="12">
        <f>Setup!$B$8</f>
        <v/>
      </c>
      <c r="J256" s="13">
        <f>IF($D256="","",IFERROR(INDEX(Units_Owners!$J$5:$J$504,MATCH($D256,Units_Owners!$A$5:$A$504,0)),0)+SUMIFS(Ledger!$F:$F,Ledger!$B:$B,$D256,Ledger!$D:$D,"&lt;"&amp;$H256)-SUMIFS(Ledger!$G:$G,Ledger!$B:$B,$D256,Ledger!$D:$D,"&lt;"&amp;$H256))</f>
        <v/>
      </c>
      <c r="K256" s="13">
        <f>IF($D256="","",IFERROR(INDEX(Units_Owners!$H$5:$H$504,MATCH($D256,Units_Owners!$A$5:$A$504,0)),Setup!$B$10))</f>
        <v/>
      </c>
      <c r="L256" s="13">
        <f>IF($D256="","",Setup!$B$11)</f>
        <v/>
      </c>
      <c r="M256" s="13">
        <f>IF($D256="","",IF(AND(TODAY()&gt;=Setup!$B$9,$P256&gt;0),Setup!$B$12,0))</f>
        <v/>
      </c>
      <c r="N256" s="13">
        <f>IF($D256="","",SUM($J256:$M256))</f>
        <v/>
      </c>
      <c r="O256" s="13">
        <f>IF($A256="","",SUMIFS(Payments!$F:$F,Payments!$D:$D,$A256))</f>
        <v/>
      </c>
      <c r="P256" s="13">
        <f>IF($D256="","",MAX(0,$N256-$O256))</f>
        <v/>
      </c>
      <c r="Q256" s="2">
        <f>IF($D256="","",IF(IFERROR(INDEX(Units_Owners!$I$5:$I$504,MATCH($D256,Units_Owners!$A$5:$A$504,0)),"No")&lt;&gt;"Yes","Skip - Inactive",IF($P256=0,"Paid",IF(TODAY()&gt;$I256,"Past Due","Open"))))</f>
        <v/>
      </c>
      <c r="R256" s="14" t="n"/>
      <c r="S256" s="6" t="n"/>
    </row>
    <row r="257">
      <c r="A257" s="2">
        <f>IF($D257="","","INV-"&amp;$B257&amp;"-"&amp;$C257&amp;"-"&amp;TEXT(ROW(A253),"0000"))</f>
        <v/>
      </c>
      <c r="B257" s="2">
        <f>Setup!$B$5</f>
        <v/>
      </c>
      <c r="C257" s="2">
        <f>Setup!$B$6</f>
        <v/>
      </c>
      <c r="D257" s="2">
        <f>IFERROR(INDEX(Units_Owners!$A$5:$A$504,ROWS($A$5:A257)),"")</f>
        <v/>
      </c>
      <c r="E257" s="2">
        <f>IF($D257="","",IFERROR(INDEX(Units_Owners!$B$5:$B$504,MATCH($D257,Units_Owners!$A$5:$A$504,0)),""))</f>
        <v/>
      </c>
      <c r="F257" s="2">
        <f>IF($D257="","",IFERROR(INDEX(Units_Owners!$C$5:$C$504,MATCH($D257,Units_Owners!$A$5:$A$504,0)),""))</f>
        <v/>
      </c>
      <c r="G257" s="2">
        <f>IF($D257="","",IFERROR(INDEX(Units_Owners!$D$5:$D$504,MATCH($D257,Units_Owners!$A$5:$A$504,0)),""))</f>
        <v/>
      </c>
      <c r="H257" s="12">
        <f>Setup!$B$7</f>
        <v/>
      </c>
      <c r="I257" s="12">
        <f>Setup!$B$8</f>
        <v/>
      </c>
      <c r="J257" s="13">
        <f>IF($D257="","",IFERROR(INDEX(Units_Owners!$J$5:$J$504,MATCH($D257,Units_Owners!$A$5:$A$504,0)),0)+SUMIFS(Ledger!$F:$F,Ledger!$B:$B,$D257,Ledger!$D:$D,"&lt;"&amp;$H257)-SUMIFS(Ledger!$G:$G,Ledger!$B:$B,$D257,Ledger!$D:$D,"&lt;"&amp;$H257))</f>
        <v/>
      </c>
      <c r="K257" s="13">
        <f>IF($D257="","",IFERROR(INDEX(Units_Owners!$H$5:$H$504,MATCH($D257,Units_Owners!$A$5:$A$504,0)),Setup!$B$10))</f>
        <v/>
      </c>
      <c r="L257" s="13">
        <f>IF($D257="","",Setup!$B$11)</f>
        <v/>
      </c>
      <c r="M257" s="13">
        <f>IF($D257="","",IF(AND(TODAY()&gt;=Setup!$B$9,$P257&gt;0),Setup!$B$12,0))</f>
        <v/>
      </c>
      <c r="N257" s="13">
        <f>IF($D257="","",SUM($J257:$M257))</f>
        <v/>
      </c>
      <c r="O257" s="13">
        <f>IF($A257="","",SUMIFS(Payments!$F:$F,Payments!$D:$D,$A257))</f>
        <v/>
      </c>
      <c r="P257" s="13">
        <f>IF($D257="","",MAX(0,$N257-$O257))</f>
        <v/>
      </c>
      <c r="Q257" s="2">
        <f>IF($D257="","",IF(IFERROR(INDEX(Units_Owners!$I$5:$I$504,MATCH($D257,Units_Owners!$A$5:$A$504,0)),"No")&lt;&gt;"Yes","Skip - Inactive",IF($P257=0,"Paid",IF(TODAY()&gt;$I257,"Past Due","Open"))))</f>
        <v/>
      </c>
      <c r="R257" s="12" t="n"/>
      <c r="S257" s="2" t="n"/>
    </row>
    <row r="258">
      <c r="A258" s="2">
        <f>IF($D258="","","INV-"&amp;$B258&amp;"-"&amp;$C258&amp;"-"&amp;TEXT(ROW(A254),"0000"))</f>
        <v/>
      </c>
      <c r="B258" s="2">
        <f>Setup!$B$5</f>
        <v/>
      </c>
      <c r="C258" s="2">
        <f>Setup!$B$6</f>
        <v/>
      </c>
      <c r="D258" s="2">
        <f>IFERROR(INDEX(Units_Owners!$A$5:$A$504,ROWS($A$5:A258)),"")</f>
        <v/>
      </c>
      <c r="E258" s="2">
        <f>IF($D258="","",IFERROR(INDEX(Units_Owners!$B$5:$B$504,MATCH($D258,Units_Owners!$A$5:$A$504,0)),""))</f>
        <v/>
      </c>
      <c r="F258" s="2">
        <f>IF($D258="","",IFERROR(INDEX(Units_Owners!$C$5:$C$504,MATCH($D258,Units_Owners!$A$5:$A$504,0)),""))</f>
        <v/>
      </c>
      <c r="G258" s="2">
        <f>IF($D258="","",IFERROR(INDEX(Units_Owners!$D$5:$D$504,MATCH($D258,Units_Owners!$A$5:$A$504,0)),""))</f>
        <v/>
      </c>
      <c r="H258" s="12">
        <f>Setup!$B$7</f>
        <v/>
      </c>
      <c r="I258" s="12">
        <f>Setup!$B$8</f>
        <v/>
      </c>
      <c r="J258" s="13">
        <f>IF($D258="","",IFERROR(INDEX(Units_Owners!$J$5:$J$504,MATCH($D258,Units_Owners!$A$5:$A$504,0)),0)+SUMIFS(Ledger!$F:$F,Ledger!$B:$B,$D258,Ledger!$D:$D,"&lt;"&amp;$H258)-SUMIFS(Ledger!$G:$G,Ledger!$B:$B,$D258,Ledger!$D:$D,"&lt;"&amp;$H258))</f>
        <v/>
      </c>
      <c r="K258" s="13">
        <f>IF($D258="","",IFERROR(INDEX(Units_Owners!$H$5:$H$504,MATCH($D258,Units_Owners!$A$5:$A$504,0)),Setup!$B$10))</f>
        <v/>
      </c>
      <c r="L258" s="13">
        <f>IF($D258="","",Setup!$B$11)</f>
        <v/>
      </c>
      <c r="M258" s="13">
        <f>IF($D258="","",IF(AND(TODAY()&gt;=Setup!$B$9,$P258&gt;0),Setup!$B$12,0))</f>
        <v/>
      </c>
      <c r="N258" s="13">
        <f>IF($D258="","",SUM($J258:$M258))</f>
        <v/>
      </c>
      <c r="O258" s="13">
        <f>IF($A258="","",SUMIFS(Payments!$F:$F,Payments!$D:$D,$A258))</f>
        <v/>
      </c>
      <c r="P258" s="13">
        <f>IF($D258="","",MAX(0,$N258-$O258))</f>
        <v/>
      </c>
      <c r="Q258" s="2">
        <f>IF($D258="","",IF(IFERROR(INDEX(Units_Owners!$I$5:$I$504,MATCH($D258,Units_Owners!$A$5:$A$504,0)),"No")&lt;&gt;"Yes","Skip - Inactive",IF($P258=0,"Paid",IF(TODAY()&gt;$I258,"Past Due","Open"))))</f>
        <v/>
      </c>
      <c r="R258" s="14" t="n"/>
      <c r="S258" s="6" t="n"/>
    </row>
    <row r="259">
      <c r="A259" s="2">
        <f>IF($D259="","","INV-"&amp;$B259&amp;"-"&amp;$C259&amp;"-"&amp;TEXT(ROW(A255),"0000"))</f>
        <v/>
      </c>
      <c r="B259" s="2">
        <f>Setup!$B$5</f>
        <v/>
      </c>
      <c r="C259" s="2">
        <f>Setup!$B$6</f>
        <v/>
      </c>
      <c r="D259" s="2">
        <f>IFERROR(INDEX(Units_Owners!$A$5:$A$504,ROWS($A$5:A259)),"")</f>
        <v/>
      </c>
      <c r="E259" s="2">
        <f>IF($D259="","",IFERROR(INDEX(Units_Owners!$B$5:$B$504,MATCH($D259,Units_Owners!$A$5:$A$504,0)),""))</f>
        <v/>
      </c>
      <c r="F259" s="2">
        <f>IF($D259="","",IFERROR(INDEX(Units_Owners!$C$5:$C$504,MATCH($D259,Units_Owners!$A$5:$A$504,0)),""))</f>
        <v/>
      </c>
      <c r="G259" s="2">
        <f>IF($D259="","",IFERROR(INDEX(Units_Owners!$D$5:$D$504,MATCH($D259,Units_Owners!$A$5:$A$504,0)),""))</f>
        <v/>
      </c>
      <c r="H259" s="12">
        <f>Setup!$B$7</f>
        <v/>
      </c>
      <c r="I259" s="12">
        <f>Setup!$B$8</f>
        <v/>
      </c>
      <c r="J259" s="13">
        <f>IF($D259="","",IFERROR(INDEX(Units_Owners!$J$5:$J$504,MATCH($D259,Units_Owners!$A$5:$A$504,0)),0)+SUMIFS(Ledger!$F:$F,Ledger!$B:$B,$D259,Ledger!$D:$D,"&lt;"&amp;$H259)-SUMIFS(Ledger!$G:$G,Ledger!$B:$B,$D259,Ledger!$D:$D,"&lt;"&amp;$H259))</f>
        <v/>
      </c>
      <c r="K259" s="13">
        <f>IF($D259="","",IFERROR(INDEX(Units_Owners!$H$5:$H$504,MATCH($D259,Units_Owners!$A$5:$A$504,0)),Setup!$B$10))</f>
        <v/>
      </c>
      <c r="L259" s="13">
        <f>IF($D259="","",Setup!$B$11)</f>
        <v/>
      </c>
      <c r="M259" s="13">
        <f>IF($D259="","",IF(AND(TODAY()&gt;=Setup!$B$9,$P259&gt;0),Setup!$B$12,0))</f>
        <v/>
      </c>
      <c r="N259" s="13">
        <f>IF($D259="","",SUM($J259:$M259))</f>
        <v/>
      </c>
      <c r="O259" s="13">
        <f>IF($A259="","",SUMIFS(Payments!$F:$F,Payments!$D:$D,$A259))</f>
        <v/>
      </c>
      <c r="P259" s="13">
        <f>IF($D259="","",MAX(0,$N259-$O259))</f>
        <v/>
      </c>
      <c r="Q259" s="2">
        <f>IF($D259="","",IF(IFERROR(INDEX(Units_Owners!$I$5:$I$504,MATCH($D259,Units_Owners!$A$5:$A$504,0)),"No")&lt;&gt;"Yes","Skip - Inactive",IF($P259=0,"Paid",IF(TODAY()&gt;$I259,"Past Due","Open"))))</f>
        <v/>
      </c>
      <c r="R259" s="12" t="n"/>
      <c r="S259" s="2" t="n"/>
    </row>
    <row r="260">
      <c r="A260" s="2">
        <f>IF($D260="","","INV-"&amp;$B260&amp;"-"&amp;$C260&amp;"-"&amp;TEXT(ROW(A256),"0000"))</f>
        <v/>
      </c>
      <c r="B260" s="2">
        <f>Setup!$B$5</f>
        <v/>
      </c>
      <c r="C260" s="2">
        <f>Setup!$B$6</f>
        <v/>
      </c>
      <c r="D260" s="2">
        <f>IFERROR(INDEX(Units_Owners!$A$5:$A$504,ROWS($A$5:A260)),"")</f>
        <v/>
      </c>
      <c r="E260" s="2">
        <f>IF($D260="","",IFERROR(INDEX(Units_Owners!$B$5:$B$504,MATCH($D260,Units_Owners!$A$5:$A$504,0)),""))</f>
        <v/>
      </c>
      <c r="F260" s="2">
        <f>IF($D260="","",IFERROR(INDEX(Units_Owners!$C$5:$C$504,MATCH($D260,Units_Owners!$A$5:$A$504,0)),""))</f>
        <v/>
      </c>
      <c r="G260" s="2">
        <f>IF($D260="","",IFERROR(INDEX(Units_Owners!$D$5:$D$504,MATCH($D260,Units_Owners!$A$5:$A$504,0)),""))</f>
        <v/>
      </c>
      <c r="H260" s="12">
        <f>Setup!$B$7</f>
        <v/>
      </c>
      <c r="I260" s="12">
        <f>Setup!$B$8</f>
        <v/>
      </c>
      <c r="J260" s="13">
        <f>IF($D260="","",IFERROR(INDEX(Units_Owners!$J$5:$J$504,MATCH($D260,Units_Owners!$A$5:$A$504,0)),0)+SUMIFS(Ledger!$F:$F,Ledger!$B:$B,$D260,Ledger!$D:$D,"&lt;"&amp;$H260)-SUMIFS(Ledger!$G:$G,Ledger!$B:$B,$D260,Ledger!$D:$D,"&lt;"&amp;$H260))</f>
        <v/>
      </c>
      <c r="K260" s="13">
        <f>IF($D260="","",IFERROR(INDEX(Units_Owners!$H$5:$H$504,MATCH($D260,Units_Owners!$A$5:$A$504,0)),Setup!$B$10))</f>
        <v/>
      </c>
      <c r="L260" s="13">
        <f>IF($D260="","",Setup!$B$11)</f>
        <v/>
      </c>
      <c r="M260" s="13">
        <f>IF($D260="","",IF(AND(TODAY()&gt;=Setup!$B$9,$P260&gt;0),Setup!$B$12,0))</f>
        <v/>
      </c>
      <c r="N260" s="13">
        <f>IF($D260="","",SUM($J260:$M260))</f>
        <v/>
      </c>
      <c r="O260" s="13">
        <f>IF($A260="","",SUMIFS(Payments!$F:$F,Payments!$D:$D,$A260))</f>
        <v/>
      </c>
      <c r="P260" s="13">
        <f>IF($D260="","",MAX(0,$N260-$O260))</f>
        <v/>
      </c>
      <c r="Q260" s="2">
        <f>IF($D260="","",IF(IFERROR(INDEX(Units_Owners!$I$5:$I$504,MATCH($D260,Units_Owners!$A$5:$A$504,0)),"No")&lt;&gt;"Yes","Skip - Inactive",IF($P260=0,"Paid",IF(TODAY()&gt;$I260,"Past Due","Open"))))</f>
        <v/>
      </c>
      <c r="R260" s="14" t="n"/>
      <c r="S260" s="6" t="n"/>
    </row>
    <row r="261">
      <c r="A261" s="2">
        <f>IF($D261="","","INV-"&amp;$B261&amp;"-"&amp;$C261&amp;"-"&amp;TEXT(ROW(A257),"0000"))</f>
        <v/>
      </c>
      <c r="B261" s="2">
        <f>Setup!$B$5</f>
        <v/>
      </c>
      <c r="C261" s="2">
        <f>Setup!$B$6</f>
        <v/>
      </c>
      <c r="D261" s="2">
        <f>IFERROR(INDEX(Units_Owners!$A$5:$A$504,ROWS($A$5:A261)),"")</f>
        <v/>
      </c>
      <c r="E261" s="2">
        <f>IF($D261="","",IFERROR(INDEX(Units_Owners!$B$5:$B$504,MATCH($D261,Units_Owners!$A$5:$A$504,0)),""))</f>
        <v/>
      </c>
      <c r="F261" s="2">
        <f>IF($D261="","",IFERROR(INDEX(Units_Owners!$C$5:$C$504,MATCH($D261,Units_Owners!$A$5:$A$504,0)),""))</f>
        <v/>
      </c>
      <c r="G261" s="2">
        <f>IF($D261="","",IFERROR(INDEX(Units_Owners!$D$5:$D$504,MATCH($D261,Units_Owners!$A$5:$A$504,0)),""))</f>
        <v/>
      </c>
      <c r="H261" s="12">
        <f>Setup!$B$7</f>
        <v/>
      </c>
      <c r="I261" s="12">
        <f>Setup!$B$8</f>
        <v/>
      </c>
      <c r="J261" s="13">
        <f>IF($D261="","",IFERROR(INDEX(Units_Owners!$J$5:$J$504,MATCH($D261,Units_Owners!$A$5:$A$504,0)),0)+SUMIFS(Ledger!$F:$F,Ledger!$B:$B,$D261,Ledger!$D:$D,"&lt;"&amp;$H261)-SUMIFS(Ledger!$G:$G,Ledger!$B:$B,$D261,Ledger!$D:$D,"&lt;"&amp;$H261))</f>
        <v/>
      </c>
      <c r="K261" s="13">
        <f>IF($D261="","",IFERROR(INDEX(Units_Owners!$H$5:$H$504,MATCH($D261,Units_Owners!$A$5:$A$504,0)),Setup!$B$10))</f>
        <v/>
      </c>
      <c r="L261" s="13">
        <f>IF($D261="","",Setup!$B$11)</f>
        <v/>
      </c>
      <c r="M261" s="13">
        <f>IF($D261="","",IF(AND(TODAY()&gt;=Setup!$B$9,$P261&gt;0),Setup!$B$12,0))</f>
        <v/>
      </c>
      <c r="N261" s="13">
        <f>IF($D261="","",SUM($J261:$M261))</f>
        <v/>
      </c>
      <c r="O261" s="13">
        <f>IF($A261="","",SUMIFS(Payments!$F:$F,Payments!$D:$D,$A261))</f>
        <v/>
      </c>
      <c r="P261" s="13">
        <f>IF($D261="","",MAX(0,$N261-$O261))</f>
        <v/>
      </c>
      <c r="Q261" s="2">
        <f>IF($D261="","",IF(IFERROR(INDEX(Units_Owners!$I$5:$I$504,MATCH($D261,Units_Owners!$A$5:$A$504,0)),"No")&lt;&gt;"Yes","Skip - Inactive",IF($P261=0,"Paid",IF(TODAY()&gt;$I261,"Past Due","Open"))))</f>
        <v/>
      </c>
      <c r="R261" s="12" t="n"/>
      <c r="S261" s="2" t="n"/>
    </row>
    <row r="262">
      <c r="A262" s="2">
        <f>IF($D262="","","INV-"&amp;$B262&amp;"-"&amp;$C262&amp;"-"&amp;TEXT(ROW(A258),"0000"))</f>
        <v/>
      </c>
      <c r="B262" s="2">
        <f>Setup!$B$5</f>
        <v/>
      </c>
      <c r="C262" s="2">
        <f>Setup!$B$6</f>
        <v/>
      </c>
      <c r="D262" s="2">
        <f>IFERROR(INDEX(Units_Owners!$A$5:$A$504,ROWS($A$5:A262)),"")</f>
        <v/>
      </c>
      <c r="E262" s="2">
        <f>IF($D262="","",IFERROR(INDEX(Units_Owners!$B$5:$B$504,MATCH($D262,Units_Owners!$A$5:$A$504,0)),""))</f>
        <v/>
      </c>
      <c r="F262" s="2">
        <f>IF($D262="","",IFERROR(INDEX(Units_Owners!$C$5:$C$504,MATCH($D262,Units_Owners!$A$5:$A$504,0)),""))</f>
        <v/>
      </c>
      <c r="G262" s="2">
        <f>IF($D262="","",IFERROR(INDEX(Units_Owners!$D$5:$D$504,MATCH($D262,Units_Owners!$A$5:$A$504,0)),""))</f>
        <v/>
      </c>
      <c r="H262" s="12">
        <f>Setup!$B$7</f>
        <v/>
      </c>
      <c r="I262" s="12">
        <f>Setup!$B$8</f>
        <v/>
      </c>
      <c r="J262" s="13">
        <f>IF($D262="","",IFERROR(INDEX(Units_Owners!$J$5:$J$504,MATCH($D262,Units_Owners!$A$5:$A$504,0)),0)+SUMIFS(Ledger!$F:$F,Ledger!$B:$B,$D262,Ledger!$D:$D,"&lt;"&amp;$H262)-SUMIFS(Ledger!$G:$G,Ledger!$B:$B,$D262,Ledger!$D:$D,"&lt;"&amp;$H262))</f>
        <v/>
      </c>
      <c r="K262" s="13">
        <f>IF($D262="","",IFERROR(INDEX(Units_Owners!$H$5:$H$504,MATCH($D262,Units_Owners!$A$5:$A$504,0)),Setup!$B$10))</f>
        <v/>
      </c>
      <c r="L262" s="13">
        <f>IF($D262="","",Setup!$B$11)</f>
        <v/>
      </c>
      <c r="M262" s="13">
        <f>IF($D262="","",IF(AND(TODAY()&gt;=Setup!$B$9,$P262&gt;0),Setup!$B$12,0))</f>
        <v/>
      </c>
      <c r="N262" s="13">
        <f>IF($D262="","",SUM($J262:$M262))</f>
        <v/>
      </c>
      <c r="O262" s="13">
        <f>IF($A262="","",SUMIFS(Payments!$F:$F,Payments!$D:$D,$A262))</f>
        <v/>
      </c>
      <c r="P262" s="13">
        <f>IF($D262="","",MAX(0,$N262-$O262))</f>
        <v/>
      </c>
      <c r="Q262" s="2">
        <f>IF($D262="","",IF(IFERROR(INDEX(Units_Owners!$I$5:$I$504,MATCH($D262,Units_Owners!$A$5:$A$504,0)),"No")&lt;&gt;"Yes","Skip - Inactive",IF($P262=0,"Paid",IF(TODAY()&gt;$I262,"Past Due","Open"))))</f>
        <v/>
      </c>
      <c r="R262" s="14" t="n"/>
      <c r="S262" s="6" t="n"/>
    </row>
    <row r="263">
      <c r="A263" s="2">
        <f>IF($D263="","","INV-"&amp;$B263&amp;"-"&amp;$C263&amp;"-"&amp;TEXT(ROW(A259),"0000"))</f>
        <v/>
      </c>
      <c r="B263" s="2">
        <f>Setup!$B$5</f>
        <v/>
      </c>
      <c r="C263" s="2">
        <f>Setup!$B$6</f>
        <v/>
      </c>
      <c r="D263" s="2">
        <f>IFERROR(INDEX(Units_Owners!$A$5:$A$504,ROWS($A$5:A263)),"")</f>
        <v/>
      </c>
      <c r="E263" s="2">
        <f>IF($D263="","",IFERROR(INDEX(Units_Owners!$B$5:$B$504,MATCH($D263,Units_Owners!$A$5:$A$504,0)),""))</f>
        <v/>
      </c>
      <c r="F263" s="2">
        <f>IF($D263="","",IFERROR(INDEX(Units_Owners!$C$5:$C$504,MATCH($D263,Units_Owners!$A$5:$A$504,0)),""))</f>
        <v/>
      </c>
      <c r="G263" s="2">
        <f>IF($D263="","",IFERROR(INDEX(Units_Owners!$D$5:$D$504,MATCH($D263,Units_Owners!$A$5:$A$504,0)),""))</f>
        <v/>
      </c>
      <c r="H263" s="12">
        <f>Setup!$B$7</f>
        <v/>
      </c>
      <c r="I263" s="12">
        <f>Setup!$B$8</f>
        <v/>
      </c>
      <c r="J263" s="13">
        <f>IF($D263="","",IFERROR(INDEX(Units_Owners!$J$5:$J$504,MATCH($D263,Units_Owners!$A$5:$A$504,0)),0)+SUMIFS(Ledger!$F:$F,Ledger!$B:$B,$D263,Ledger!$D:$D,"&lt;"&amp;$H263)-SUMIFS(Ledger!$G:$G,Ledger!$B:$B,$D263,Ledger!$D:$D,"&lt;"&amp;$H263))</f>
        <v/>
      </c>
      <c r="K263" s="13">
        <f>IF($D263="","",IFERROR(INDEX(Units_Owners!$H$5:$H$504,MATCH($D263,Units_Owners!$A$5:$A$504,0)),Setup!$B$10))</f>
        <v/>
      </c>
      <c r="L263" s="13">
        <f>IF($D263="","",Setup!$B$11)</f>
        <v/>
      </c>
      <c r="M263" s="13">
        <f>IF($D263="","",IF(AND(TODAY()&gt;=Setup!$B$9,$P263&gt;0),Setup!$B$12,0))</f>
        <v/>
      </c>
      <c r="N263" s="13">
        <f>IF($D263="","",SUM($J263:$M263))</f>
        <v/>
      </c>
      <c r="O263" s="13">
        <f>IF($A263="","",SUMIFS(Payments!$F:$F,Payments!$D:$D,$A263))</f>
        <v/>
      </c>
      <c r="P263" s="13">
        <f>IF($D263="","",MAX(0,$N263-$O263))</f>
        <v/>
      </c>
      <c r="Q263" s="2">
        <f>IF($D263="","",IF(IFERROR(INDEX(Units_Owners!$I$5:$I$504,MATCH($D263,Units_Owners!$A$5:$A$504,0)),"No")&lt;&gt;"Yes","Skip - Inactive",IF($P263=0,"Paid",IF(TODAY()&gt;$I263,"Past Due","Open"))))</f>
        <v/>
      </c>
      <c r="R263" s="12" t="n"/>
      <c r="S263" s="2" t="n"/>
    </row>
    <row r="264">
      <c r="A264" s="2">
        <f>IF($D264="","","INV-"&amp;$B264&amp;"-"&amp;$C264&amp;"-"&amp;TEXT(ROW(A260),"0000"))</f>
        <v/>
      </c>
      <c r="B264" s="2">
        <f>Setup!$B$5</f>
        <v/>
      </c>
      <c r="C264" s="2">
        <f>Setup!$B$6</f>
        <v/>
      </c>
      <c r="D264" s="2">
        <f>IFERROR(INDEX(Units_Owners!$A$5:$A$504,ROWS($A$5:A264)),"")</f>
        <v/>
      </c>
      <c r="E264" s="2">
        <f>IF($D264="","",IFERROR(INDEX(Units_Owners!$B$5:$B$504,MATCH($D264,Units_Owners!$A$5:$A$504,0)),""))</f>
        <v/>
      </c>
      <c r="F264" s="2">
        <f>IF($D264="","",IFERROR(INDEX(Units_Owners!$C$5:$C$504,MATCH($D264,Units_Owners!$A$5:$A$504,0)),""))</f>
        <v/>
      </c>
      <c r="G264" s="2">
        <f>IF($D264="","",IFERROR(INDEX(Units_Owners!$D$5:$D$504,MATCH($D264,Units_Owners!$A$5:$A$504,0)),""))</f>
        <v/>
      </c>
      <c r="H264" s="12">
        <f>Setup!$B$7</f>
        <v/>
      </c>
      <c r="I264" s="12">
        <f>Setup!$B$8</f>
        <v/>
      </c>
      <c r="J264" s="13">
        <f>IF($D264="","",IFERROR(INDEX(Units_Owners!$J$5:$J$504,MATCH($D264,Units_Owners!$A$5:$A$504,0)),0)+SUMIFS(Ledger!$F:$F,Ledger!$B:$B,$D264,Ledger!$D:$D,"&lt;"&amp;$H264)-SUMIFS(Ledger!$G:$G,Ledger!$B:$B,$D264,Ledger!$D:$D,"&lt;"&amp;$H264))</f>
        <v/>
      </c>
      <c r="K264" s="13">
        <f>IF($D264="","",IFERROR(INDEX(Units_Owners!$H$5:$H$504,MATCH($D264,Units_Owners!$A$5:$A$504,0)),Setup!$B$10))</f>
        <v/>
      </c>
      <c r="L264" s="13">
        <f>IF($D264="","",Setup!$B$11)</f>
        <v/>
      </c>
      <c r="M264" s="13">
        <f>IF($D264="","",IF(AND(TODAY()&gt;=Setup!$B$9,$P264&gt;0),Setup!$B$12,0))</f>
        <v/>
      </c>
      <c r="N264" s="13">
        <f>IF($D264="","",SUM($J264:$M264))</f>
        <v/>
      </c>
      <c r="O264" s="13">
        <f>IF($A264="","",SUMIFS(Payments!$F:$F,Payments!$D:$D,$A264))</f>
        <v/>
      </c>
      <c r="P264" s="13">
        <f>IF($D264="","",MAX(0,$N264-$O264))</f>
        <v/>
      </c>
      <c r="Q264" s="2">
        <f>IF($D264="","",IF(IFERROR(INDEX(Units_Owners!$I$5:$I$504,MATCH($D264,Units_Owners!$A$5:$A$504,0)),"No")&lt;&gt;"Yes","Skip - Inactive",IF($P264=0,"Paid",IF(TODAY()&gt;$I264,"Past Due","Open"))))</f>
        <v/>
      </c>
      <c r="R264" s="14" t="n"/>
      <c r="S264" s="6" t="n"/>
    </row>
    <row r="265">
      <c r="A265" s="2">
        <f>IF($D265="","","INV-"&amp;$B265&amp;"-"&amp;$C265&amp;"-"&amp;TEXT(ROW(A261),"0000"))</f>
        <v/>
      </c>
      <c r="B265" s="2">
        <f>Setup!$B$5</f>
        <v/>
      </c>
      <c r="C265" s="2">
        <f>Setup!$B$6</f>
        <v/>
      </c>
      <c r="D265" s="2">
        <f>IFERROR(INDEX(Units_Owners!$A$5:$A$504,ROWS($A$5:A265)),"")</f>
        <v/>
      </c>
      <c r="E265" s="2">
        <f>IF($D265="","",IFERROR(INDEX(Units_Owners!$B$5:$B$504,MATCH($D265,Units_Owners!$A$5:$A$504,0)),""))</f>
        <v/>
      </c>
      <c r="F265" s="2">
        <f>IF($D265="","",IFERROR(INDEX(Units_Owners!$C$5:$C$504,MATCH($D265,Units_Owners!$A$5:$A$504,0)),""))</f>
        <v/>
      </c>
      <c r="G265" s="2">
        <f>IF($D265="","",IFERROR(INDEX(Units_Owners!$D$5:$D$504,MATCH($D265,Units_Owners!$A$5:$A$504,0)),""))</f>
        <v/>
      </c>
      <c r="H265" s="12">
        <f>Setup!$B$7</f>
        <v/>
      </c>
      <c r="I265" s="12">
        <f>Setup!$B$8</f>
        <v/>
      </c>
      <c r="J265" s="13">
        <f>IF($D265="","",IFERROR(INDEX(Units_Owners!$J$5:$J$504,MATCH($D265,Units_Owners!$A$5:$A$504,0)),0)+SUMIFS(Ledger!$F:$F,Ledger!$B:$B,$D265,Ledger!$D:$D,"&lt;"&amp;$H265)-SUMIFS(Ledger!$G:$G,Ledger!$B:$B,$D265,Ledger!$D:$D,"&lt;"&amp;$H265))</f>
        <v/>
      </c>
      <c r="K265" s="13">
        <f>IF($D265="","",IFERROR(INDEX(Units_Owners!$H$5:$H$504,MATCH($D265,Units_Owners!$A$5:$A$504,0)),Setup!$B$10))</f>
        <v/>
      </c>
      <c r="L265" s="13">
        <f>IF($D265="","",Setup!$B$11)</f>
        <v/>
      </c>
      <c r="M265" s="13">
        <f>IF($D265="","",IF(AND(TODAY()&gt;=Setup!$B$9,$P265&gt;0),Setup!$B$12,0))</f>
        <v/>
      </c>
      <c r="N265" s="13">
        <f>IF($D265="","",SUM($J265:$M265))</f>
        <v/>
      </c>
      <c r="O265" s="13">
        <f>IF($A265="","",SUMIFS(Payments!$F:$F,Payments!$D:$D,$A265))</f>
        <v/>
      </c>
      <c r="P265" s="13">
        <f>IF($D265="","",MAX(0,$N265-$O265))</f>
        <v/>
      </c>
      <c r="Q265" s="2">
        <f>IF($D265="","",IF(IFERROR(INDEX(Units_Owners!$I$5:$I$504,MATCH($D265,Units_Owners!$A$5:$A$504,0)),"No")&lt;&gt;"Yes","Skip - Inactive",IF($P265=0,"Paid",IF(TODAY()&gt;$I265,"Past Due","Open"))))</f>
        <v/>
      </c>
      <c r="R265" s="12" t="n"/>
      <c r="S265" s="2" t="n"/>
    </row>
    <row r="266">
      <c r="A266" s="2">
        <f>IF($D266="","","INV-"&amp;$B266&amp;"-"&amp;$C266&amp;"-"&amp;TEXT(ROW(A262),"0000"))</f>
        <v/>
      </c>
      <c r="B266" s="2">
        <f>Setup!$B$5</f>
        <v/>
      </c>
      <c r="C266" s="2">
        <f>Setup!$B$6</f>
        <v/>
      </c>
      <c r="D266" s="2">
        <f>IFERROR(INDEX(Units_Owners!$A$5:$A$504,ROWS($A$5:A266)),"")</f>
        <v/>
      </c>
      <c r="E266" s="2">
        <f>IF($D266="","",IFERROR(INDEX(Units_Owners!$B$5:$B$504,MATCH($D266,Units_Owners!$A$5:$A$504,0)),""))</f>
        <v/>
      </c>
      <c r="F266" s="2">
        <f>IF($D266="","",IFERROR(INDEX(Units_Owners!$C$5:$C$504,MATCH($D266,Units_Owners!$A$5:$A$504,0)),""))</f>
        <v/>
      </c>
      <c r="G266" s="2">
        <f>IF($D266="","",IFERROR(INDEX(Units_Owners!$D$5:$D$504,MATCH($D266,Units_Owners!$A$5:$A$504,0)),""))</f>
        <v/>
      </c>
      <c r="H266" s="12">
        <f>Setup!$B$7</f>
        <v/>
      </c>
      <c r="I266" s="12">
        <f>Setup!$B$8</f>
        <v/>
      </c>
      <c r="J266" s="13">
        <f>IF($D266="","",IFERROR(INDEX(Units_Owners!$J$5:$J$504,MATCH($D266,Units_Owners!$A$5:$A$504,0)),0)+SUMIFS(Ledger!$F:$F,Ledger!$B:$B,$D266,Ledger!$D:$D,"&lt;"&amp;$H266)-SUMIFS(Ledger!$G:$G,Ledger!$B:$B,$D266,Ledger!$D:$D,"&lt;"&amp;$H266))</f>
        <v/>
      </c>
      <c r="K266" s="13">
        <f>IF($D266="","",IFERROR(INDEX(Units_Owners!$H$5:$H$504,MATCH($D266,Units_Owners!$A$5:$A$504,0)),Setup!$B$10))</f>
        <v/>
      </c>
      <c r="L266" s="13">
        <f>IF($D266="","",Setup!$B$11)</f>
        <v/>
      </c>
      <c r="M266" s="13">
        <f>IF($D266="","",IF(AND(TODAY()&gt;=Setup!$B$9,$P266&gt;0),Setup!$B$12,0))</f>
        <v/>
      </c>
      <c r="N266" s="13">
        <f>IF($D266="","",SUM($J266:$M266))</f>
        <v/>
      </c>
      <c r="O266" s="13">
        <f>IF($A266="","",SUMIFS(Payments!$F:$F,Payments!$D:$D,$A266))</f>
        <v/>
      </c>
      <c r="P266" s="13">
        <f>IF($D266="","",MAX(0,$N266-$O266))</f>
        <v/>
      </c>
      <c r="Q266" s="2">
        <f>IF($D266="","",IF(IFERROR(INDEX(Units_Owners!$I$5:$I$504,MATCH($D266,Units_Owners!$A$5:$A$504,0)),"No")&lt;&gt;"Yes","Skip - Inactive",IF($P266=0,"Paid",IF(TODAY()&gt;$I266,"Past Due","Open"))))</f>
        <v/>
      </c>
      <c r="R266" s="14" t="n"/>
      <c r="S266" s="6" t="n"/>
    </row>
    <row r="267">
      <c r="A267" s="2">
        <f>IF($D267="","","INV-"&amp;$B267&amp;"-"&amp;$C267&amp;"-"&amp;TEXT(ROW(A263),"0000"))</f>
        <v/>
      </c>
      <c r="B267" s="2">
        <f>Setup!$B$5</f>
        <v/>
      </c>
      <c r="C267" s="2">
        <f>Setup!$B$6</f>
        <v/>
      </c>
      <c r="D267" s="2">
        <f>IFERROR(INDEX(Units_Owners!$A$5:$A$504,ROWS($A$5:A267)),"")</f>
        <v/>
      </c>
      <c r="E267" s="2">
        <f>IF($D267="","",IFERROR(INDEX(Units_Owners!$B$5:$B$504,MATCH($D267,Units_Owners!$A$5:$A$504,0)),""))</f>
        <v/>
      </c>
      <c r="F267" s="2">
        <f>IF($D267="","",IFERROR(INDEX(Units_Owners!$C$5:$C$504,MATCH($D267,Units_Owners!$A$5:$A$504,0)),""))</f>
        <v/>
      </c>
      <c r="G267" s="2">
        <f>IF($D267="","",IFERROR(INDEX(Units_Owners!$D$5:$D$504,MATCH($D267,Units_Owners!$A$5:$A$504,0)),""))</f>
        <v/>
      </c>
      <c r="H267" s="12">
        <f>Setup!$B$7</f>
        <v/>
      </c>
      <c r="I267" s="12">
        <f>Setup!$B$8</f>
        <v/>
      </c>
      <c r="J267" s="13">
        <f>IF($D267="","",IFERROR(INDEX(Units_Owners!$J$5:$J$504,MATCH($D267,Units_Owners!$A$5:$A$504,0)),0)+SUMIFS(Ledger!$F:$F,Ledger!$B:$B,$D267,Ledger!$D:$D,"&lt;"&amp;$H267)-SUMIFS(Ledger!$G:$G,Ledger!$B:$B,$D267,Ledger!$D:$D,"&lt;"&amp;$H267))</f>
        <v/>
      </c>
      <c r="K267" s="13">
        <f>IF($D267="","",IFERROR(INDEX(Units_Owners!$H$5:$H$504,MATCH($D267,Units_Owners!$A$5:$A$504,0)),Setup!$B$10))</f>
        <v/>
      </c>
      <c r="L267" s="13">
        <f>IF($D267="","",Setup!$B$11)</f>
        <v/>
      </c>
      <c r="M267" s="13">
        <f>IF($D267="","",IF(AND(TODAY()&gt;=Setup!$B$9,$P267&gt;0),Setup!$B$12,0))</f>
        <v/>
      </c>
      <c r="N267" s="13">
        <f>IF($D267="","",SUM($J267:$M267))</f>
        <v/>
      </c>
      <c r="O267" s="13">
        <f>IF($A267="","",SUMIFS(Payments!$F:$F,Payments!$D:$D,$A267))</f>
        <v/>
      </c>
      <c r="P267" s="13">
        <f>IF($D267="","",MAX(0,$N267-$O267))</f>
        <v/>
      </c>
      <c r="Q267" s="2">
        <f>IF($D267="","",IF(IFERROR(INDEX(Units_Owners!$I$5:$I$504,MATCH($D267,Units_Owners!$A$5:$A$504,0)),"No")&lt;&gt;"Yes","Skip - Inactive",IF($P267=0,"Paid",IF(TODAY()&gt;$I267,"Past Due","Open"))))</f>
        <v/>
      </c>
      <c r="R267" s="12" t="n"/>
      <c r="S267" s="2" t="n"/>
    </row>
    <row r="268">
      <c r="A268" s="2">
        <f>IF($D268="","","INV-"&amp;$B268&amp;"-"&amp;$C268&amp;"-"&amp;TEXT(ROW(A264),"0000"))</f>
        <v/>
      </c>
      <c r="B268" s="2">
        <f>Setup!$B$5</f>
        <v/>
      </c>
      <c r="C268" s="2">
        <f>Setup!$B$6</f>
        <v/>
      </c>
      <c r="D268" s="2">
        <f>IFERROR(INDEX(Units_Owners!$A$5:$A$504,ROWS($A$5:A268)),"")</f>
        <v/>
      </c>
      <c r="E268" s="2">
        <f>IF($D268="","",IFERROR(INDEX(Units_Owners!$B$5:$B$504,MATCH($D268,Units_Owners!$A$5:$A$504,0)),""))</f>
        <v/>
      </c>
      <c r="F268" s="2">
        <f>IF($D268="","",IFERROR(INDEX(Units_Owners!$C$5:$C$504,MATCH($D268,Units_Owners!$A$5:$A$504,0)),""))</f>
        <v/>
      </c>
      <c r="G268" s="2">
        <f>IF($D268="","",IFERROR(INDEX(Units_Owners!$D$5:$D$504,MATCH($D268,Units_Owners!$A$5:$A$504,0)),""))</f>
        <v/>
      </c>
      <c r="H268" s="12">
        <f>Setup!$B$7</f>
        <v/>
      </c>
      <c r="I268" s="12">
        <f>Setup!$B$8</f>
        <v/>
      </c>
      <c r="J268" s="13">
        <f>IF($D268="","",IFERROR(INDEX(Units_Owners!$J$5:$J$504,MATCH($D268,Units_Owners!$A$5:$A$504,0)),0)+SUMIFS(Ledger!$F:$F,Ledger!$B:$B,$D268,Ledger!$D:$D,"&lt;"&amp;$H268)-SUMIFS(Ledger!$G:$G,Ledger!$B:$B,$D268,Ledger!$D:$D,"&lt;"&amp;$H268))</f>
        <v/>
      </c>
      <c r="K268" s="13">
        <f>IF($D268="","",IFERROR(INDEX(Units_Owners!$H$5:$H$504,MATCH($D268,Units_Owners!$A$5:$A$504,0)),Setup!$B$10))</f>
        <v/>
      </c>
      <c r="L268" s="13">
        <f>IF($D268="","",Setup!$B$11)</f>
        <v/>
      </c>
      <c r="M268" s="13">
        <f>IF($D268="","",IF(AND(TODAY()&gt;=Setup!$B$9,$P268&gt;0),Setup!$B$12,0))</f>
        <v/>
      </c>
      <c r="N268" s="13">
        <f>IF($D268="","",SUM($J268:$M268))</f>
        <v/>
      </c>
      <c r="O268" s="13">
        <f>IF($A268="","",SUMIFS(Payments!$F:$F,Payments!$D:$D,$A268))</f>
        <v/>
      </c>
      <c r="P268" s="13">
        <f>IF($D268="","",MAX(0,$N268-$O268))</f>
        <v/>
      </c>
      <c r="Q268" s="2">
        <f>IF($D268="","",IF(IFERROR(INDEX(Units_Owners!$I$5:$I$504,MATCH($D268,Units_Owners!$A$5:$A$504,0)),"No")&lt;&gt;"Yes","Skip - Inactive",IF($P268=0,"Paid",IF(TODAY()&gt;$I268,"Past Due","Open"))))</f>
        <v/>
      </c>
      <c r="R268" s="14" t="n"/>
      <c r="S268" s="6" t="n"/>
    </row>
    <row r="269">
      <c r="A269" s="2">
        <f>IF($D269="","","INV-"&amp;$B269&amp;"-"&amp;$C269&amp;"-"&amp;TEXT(ROW(A265),"0000"))</f>
        <v/>
      </c>
      <c r="B269" s="2">
        <f>Setup!$B$5</f>
        <v/>
      </c>
      <c r="C269" s="2">
        <f>Setup!$B$6</f>
        <v/>
      </c>
      <c r="D269" s="2">
        <f>IFERROR(INDEX(Units_Owners!$A$5:$A$504,ROWS($A$5:A269)),"")</f>
        <v/>
      </c>
      <c r="E269" s="2">
        <f>IF($D269="","",IFERROR(INDEX(Units_Owners!$B$5:$B$504,MATCH($D269,Units_Owners!$A$5:$A$504,0)),""))</f>
        <v/>
      </c>
      <c r="F269" s="2">
        <f>IF($D269="","",IFERROR(INDEX(Units_Owners!$C$5:$C$504,MATCH($D269,Units_Owners!$A$5:$A$504,0)),""))</f>
        <v/>
      </c>
      <c r="G269" s="2">
        <f>IF($D269="","",IFERROR(INDEX(Units_Owners!$D$5:$D$504,MATCH($D269,Units_Owners!$A$5:$A$504,0)),""))</f>
        <v/>
      </c>
      <c r="H269" s="12">
        <f>Setup!$B$7</f>
        <v/>
      </c>
      <c r="I269" s="12">
        <f>Setup!$B$8</f>
        <v/>
      </c>
      <c r="J269" s="13">
        <f>IF($D269="","",IFERROR(INDEX(Units_Owners!$J$5:$J$504,MATCH($D269,Units_Owners!$A$5:$A$504,0)),0)+SUMIFS(Ledger!$F:$F,Ledger!$B:$B,$D269,Ledger!$D:$D,"&lt;"&amp;$H269)-SUMIFS(Ledger!$G:$G,Ledger!$B:$B,$D269,Ledger!$D:$D,"&lt;"&amp;$H269))</f>
        <v/>
      </c>
      <c r="K269" s="13">
        <f>IF($D269="","",IFERROR(INDEX(Units_Owners!$H$5:$H$504,MATCH($D269,Units_Owners!$A$5:$A$504,0)),Setup!$B$10))</f>
        <v/>
      </c>
      <c r="L269" s="13">
        <f>IF($D269="","",Setup!$B$11)</f>
        <v/>
      </c>
      <c r="M269" s="13">
        <f>IF($D269="","",IF(AND(TODAY()&gt;=Setup!$B$9,$P269&gt;0),Setup!$B$12,0))</f>
        <v/>
      </c>
      <c r="N269" s="13">
        <f>IF($D269="","",SUM($J269:$M269))</f>
        <v/>
      </c>
      <c r="O269" s="13">
        <f>IF($A269="","",SUMIFS(Payments!$F:$F,Payments!$D:$D,$A269))</f>
        <v/>
      </c>
      <c r="P269" s="13">
        <f>IF($D269="","",MAX(0,$N269-$O269))</f>
        <v/>
      </c>
      <c r="Q269" s="2">
        <f>IF($D269="","",IF(IFERROR(INDEX(Units_Owners!$I$5:$I$504,MATCH($D269,Units_Owners!$A$5:$A$504,0)),"No")&lt;&gt;"Yes","Skip - Inactive",IF($P269=0,"Paid",IF(TODAY()&gt;$I269,"Past Due","Open"))))</f>
        <v/>
      </c>
      <c r="R269" s="12" t="n"/>
      <c r="S269" s="2" t="n"/>
    </row>
    <row r="270">
      <c r="A270" s="2">
        <f>IF($D270="","","INV-"&amp;$B270&amp;"-"&amp;$C270&amp;"-"&amp;TEXT(ROW(A266),"0000"))</f>
        <v/>
      </c>
      <c r="B270" s="2">
        <f>Setup!$B$5</f>
        <v/>
      </c>
      <c r="C270" s="2">
        <f>Setup!$B$6</f>
        <v/>
      </c>
      <c r="D270" s="2">
        <f>IFERROR(INDEX(Units_Owners!$A$5:$A$504,ROWS($A$5:A270)),"")</f>
        <v/>
      </c>
      <c r="E270" s="2">
        <f>IF($D270="","",IFERROR(INDEX(Units_Owners!$B$5:$B$504,MATCH($D270,Units_Owners!$A$5:$A$504,0)),""))</f>
        <v/>
      </c>
      <c r="F270" s="2">
        <f>IF($D270="","",IFERROR(INDEX(Units_Owners!$C$5:$C$504,MATCH($D270,Units_Owners!$A$5:$A$504,0)),""))</f>
        <v/>
      </c>
      <c r="G270" s="2">
        <f>IF($D270="","",IFERROR(INDEX(Units_Owners!$D$5:$D$504,MATCH($D270,Units_Owners!$A$5:$A$504,0)),""))</f>
        <v/>
      </c>
      <c r="H270" s="12">
        <f>Setup!$B$7</f>
        <v/>
      </c>
      <c r="I270" s="12">
        <f>Setup!$B$8</f>
        <v/>
      </c>
      <c r="J270" s="13">
        <f>IF($D270="","",IFERROR(INDEX(Units_Owners!$J$5:$J$504,MATCH($D270,Units_Owners!$A$5:$A$504,0)),0)+SUMIFS(Ledger!$F:$F,Ledger!$B:$B,$D270,Ledger!$D:$D,"&lt;"&amp;$H270)-SUMIFS(Ledger!$G:$G,Ledger!$B:$B,$D270,Ledger!$D:$D,"&lt;"&amp;$H270))</f>
        <v/>
      </c>
      <c r="K270" s="13">
        <f>IF($D270="","",IFERROR(INDEX(Units_Owners!$H$5:$H$504,MATCH($D270,Units_Owners!$A$5:$A$504,0)),Setup!$B$10))</f>
        <v/>
      </c>
      <c r="L270" s="13">
        <f>IF($D270="","",Setup!$B$11)</f>
        <v/>
      </c>
      <c r="M270" s="13">
        <f>IF($D270="","",IF(AND(TODAY()&gt;=Setup!$B$9,$P270&gt;0),Setup!$B$12,0))</f>
        <v/>
      </c>
      <c r="N270" s="13">
        <f>IF($D270="","",SUM($J270:$M270))</f>
        <v/>
      </c>
      <c r="O270" s="13">
        <f>IF($A270="","",SUMIFS(Payments!$F:$F,Payments!$D:$D,$A270))</f>
        <v/>
      </c>
      <c r="P270" s="13">
        <f>IF($D270="","",MAX(0,$N270-$O270))</f>
        <v/>
      </c>
      <c r="Q270" s="2">
        <f>IF($D270="","",IF(IFERROR(INDEX(Units_Owners!$I$5:$I$504,MATCH($D270,Units_Owners!$A$5:$A$504,0)),"No")&lt;&gt;"Yes","Skip - Inactive",IF($P270=0,"Paid",IF(TODAY()&gt;$I270,"Past Due","Open"))))</f>
        <v/>
      </c>
      <c r="R270" s="14" t="n"/>
      <c r="S270" s="6" t="n"/>
    </row>
    <row r="271">
      <c r="A271" s="2">
        <f>IF($D271="","","INV-"&amp;$B271&amp;"-"&amp;$C271&amp;"-"&amp;TEXT(ROW(A267),"0000"))</f>
        <v/>
      </c>
      <c r="B271" s="2">
        <f>Setup!$B$5</f>
        <v/>
      </c>
      <c r="C271" s="2">
        <f>Setup!$B$6</f>
        <v/>
      </c>
      <c r="D271" s="2">
        <f>IFERROR(INDEX(Units_Owners!$A$5:$A$504,ROWS($A$5:A271)),"")</f>
        <v/>
      </c>
      <c r="E271" s="2">
        <f>IF($D271="","",IFERROR(INDEX(Units_Owners!$B$5:$B$504,MATCH($D271,Units_Owners!$A$5:$A$504,0)),""))</f>
        <v/>
      </c>
      <c r="F271" s="2">
        <f>IF($D271="","",IFERROR(INDEX(Units_Owners!$C$5:$C$504,MATCH($D271,Units_Owners!$A$5:$A$504,0)),""))</f>
        <v/>
      </c>
      <c r="G271" s="2">
        <f>IF($D271="","",IFERROR(INDEX(Units_Owners!$D$5:$D$504,MATCH($D271,Units_Owners!$A$5:$A$504,0)),""))</f>
        <v/>
      </c>
      <c r="H271" s="12">
        <f>Setup!$B$7</f>
        <v/>
      </c>
      <c r="I271" s="12">
        <f>Setup!$B$8</f>
        <v/>
      </c>
      <c r="J271" s="13">
        <f>IF($D271="","",IFERROR(INDEX(Units_Owners!$J$5:$J$504,MATCH($D271,Units_Owners!$A$5:$A$504,0)),0)+SUMIFS(Ledger!$F:$F,Ledger!$B:$B,$D271,Ledger!$D:$D,"&lt;"&amp;$H271)-SUMIFS(Ledger!$G:$G,Ledger!$B:$B,$D271,Ledger!$D:$D,"&lt;"&amp;$H271))</f>
        <v/>
      </c>
      <c r="K271" s="13">
        <f>IF($D271="","",IFERROR(INDEX(Units_Owners!$H$5:$H$504,MATCH($D271,Units_Owners!$A$5:$A$504,0)),Setup!$B$10))</f>
        <v/>
      </c>
      <c r="L271" s="13">
        <f>IF($D271="","",Setup!$B$11)</f>
        <v/>
      </c>
      <c r="M271" s="13">
        <f>IF($D271="","",IF(AND(TODAY()&gt;=Setup!$B$9,$P271&gt;0),Setup!$B$12,0))</f>
        <v/>
      </c>
      <c r="N271" s="13">
        <f>IF($D271="","",SUM($J271:$M271))</f>
        <v/>
      </c>
      <c r="O271" s="13">
        <f>IF($A271="","",SUMIFS(Payments!$F:$F,Payments!$D:$D,$A271))</f>
        <v/>
      </c>
      <c r="P271" s="13">
        <f>IF($D271="","",MAX(0,$N271-$O271))</f>
        <v/>
      </c>
      <c r="Q271" s="2">
        <f>IF($D271="","",IF(IFERROR(INDEX(Units_Owners!$I$5:$I$504,MATCH($D271,Units_Owners!$A$5:$A$504,0)),"No")&lt;&gt;"Yes","Skip - Inactive",IF($P271=0,"Paid",IF(TODAY()&gt;$I271,"Past Due","Open"))))</f>
        <v/>
      </c>
      <c r="R271" s="12" t="n"/>
      <c r="S271" s="2" t="n"/>
    </row>
    <row r="272">
      <c r="A272" s="2">
        <f>IF($D272="","","INV-"&amp;$B272&amp;"-"&amp;$C272&amp;"-"&amp;TEXT(ROW(A268),"0000"))</f>
        <v/>
      </c>
      <c r="B272" s="2">
        <f>Setup!$B$5</f>
        <v/>
      </c>
      <c r="C272" s="2">
        <f>Setup!$B$6</f>
        <v/>
      </c>
      <c r="D272" s="2">
        <f>IFERROR(INDEX(Units_Owners!$A$5:$A$504,ROWS($A$5:A272)),"")</f>
        <v/>
      </c>
      <c r="E272" s="2">
        <f>IF($D272="","",IFERROR(INDEX(Units_Owners!$B$5:$B$504,MATCH($D272,Units_Owners!$A$5:$A$504,0)),""))</f>
        <v/>
      </c>
      <c r="F272" s="2">
        <f>IF($D272="","",IFERROR(INDEX(Units_Owners!$C$5:$C$504,MATCH($D272,Units_Owners!$A$5:$A$504,0)),""))</f>
        <v/>
      </c>
      <c r="G272" s="2">
        <f>IF($D272="","",IFERROR(INDEX(Units_Owners!$D$5:$D$504,MATCH($D272,Units_Owners!$A$5:$A$504,0)),""))</f>
        <v/>
      </c>
      <c r="H272" s="12">
        <f>Setup!$B$7</f>
        <v/>
      </c>
      <c r="I272" s="12">
        <f>Setup!$B$8</f>
        <v/>
      </c>
      <c r="J272" s="13">
        <f>IF($D272="","",IFERROR(INDEX(Units_Owners!$J$5:$J$504,MATCH($D272,Units_Owners!$A$5:$A$504,0)),0)+SUMIFS(Ledger!$F:$F,Ledger!$B:$B,$D272,Ledger!$D:$D,"&lt;"&amp;$H272)-SUMIFS(Ledger!$G:$G,Ledger!$B:$B,$D272,Ledger!$D:$D,"&lt;"&amp;$H272))</f>
        <v/>
      </c>
      <c r="K272" s="13">
        <f>IF($D272="","",IFERROR(INDEX(Units_Owners!$H$5:$H$504,MATCH($D272,Units_Owners!$A$5:$A$504,0)),Setup!$B$10))</f>
        <v/>
      </c>
      <c r="L272" s="13">
        <f>IF($D272="","",Setup!$B$11)</f>
        <v/>
      </c>
      <c r="M272" s="13">
        <f>IF($D272="","",IF(AND(TODAY()&gt;=Setup!$B$9,$P272&gt;0),Setup!$B$12,0))</f>
        <v/>
      </c>
      <c r="N272" s="13">
        <f>IF($D272="","",SUM($J272:$M272))</f>
        <v/>
      </c>
      <c r="O272" s="13">
        <f>IF($A272="","",SUMIFS(Payments!$F:$F,Payments!$D:$D,$A272))</f>
        <v/>
      </c>
      <c r="P272" s="13">
        <f>IF($D272="","",MAX(0,$N272-$O272))</f>
        <v/>
      </c>
      <c r="Q272" s="2">
        <f>IF($D272="","",IF(IFERROR(INDEX(Units_Owners!$I$5:$I$504,MATCH($D272,Units_Owners!$A$5:$A$504,0)),"No")&lt;&gt;"Yes","Skip - Inactive",IF($P272=0,"Paid",IF(TODAY()&gt;$I272,"Past Due","Open"))))</f>
        <v/>
      </c>
      <c r="R272" s="14" t="n"/>
      <c r="S272" s="6" t="n"/>
    </row>
    <row r="273">
      <c r="A273" s="2">
        <f>IF($D273="","","INV-"&amp;$B273&amp;"-"&amp;$C273&amp;"-"&amp;TEXT(ROW(A269),"0000"))</f>
        <v/>
      </c>
      <c r="B273" s="2">
        <f>Setup!$B$5</f>
        <v/>
      </c>
      <c r="C273" s="2">
        <f>Setup!$B$6</f>
        <v/>
      </c>
      <c r="D273" s="2">
        <f>IFERROR(INDEX(Units_Owners!$A$5:$A$504,ROWS($A$5:A273)),"")</f>
        <v/>
      </c>
      <c r="E273" s="2">
        <f>IF($D273="","",IFERROR(INDEX(Units_Owners!$B$5:$B$504,MATCH($D273,Units_Owners!$A$5:$A$504,0)),""))</f>
        <v/>
      </c>
      <c r="F273" s="2">
        <f>IF($D273="","",IFERROR(INDEX(Units_Owners!$C$5:$C$504,MATCH($D273,Units_Owners!$A$5:$A$504,0)),""))</f>
        <v/>
      </c>
      <c r="G273" s="2">
        <f>IF($D273="","",IFERROR(INDEX(Units_Owners!$D$5:$D$504,MATCH($D273,Units_Owners!$A$5:$A$504,0)),""))</f>
        <v/>
      </c>
      <c r="H273" s="12">
        <f>Setup!$B$7</f>
        <v/>
      </c>
      <c r="I273" s="12">
        <f>Setup!$B$8</f>
        <v/>
      </c>
      <c r="J273" s="13">
        <f>IF($D273="","",IFERROR(INDEX(Units_Owners!$J$5:$J$504,MATCH($D273,Units_Owners!$A$5:$A$504,0)),0)+SUMIFS(Ledger!$F:$F,Ledger!$B:$B,$D273,Ledger!$D:$D,"&lt;"&amp;$H273)-SUMIFS(Ledger!$G:$G,Ledger!$B:$B,$D273,Ledger!$D:$D,"&lt;"&amp;$H273))</f>
        <v/>
      </c>
      <c r="K273" s="13">
        <f>IF($D273="","",IFERROR(INDEX(Units_Owners!$H$5:$H$504,MATCH($D273,Units_Owners!$A$5:$A$504,0)),Setup!$B$10))</f>
        <v/>
      </c>
      <c r="L273" s="13">
        <f>IF($D273="","",Setup!$B$11)</f>
        <v/>
      </c>
      <c r="M273" s="13">
        <f>IF($D273="","",IF(AND(TODAY()&gt;=Setup!$B$9,$P273&gt;0),Setup!$B$12,0))</f>
        <v/>
      </c>
      <c r="N273" s="13">
        <f>IF($D273="","",SUM($J273:$M273))</f>
        <v/>
      </c>
      <c r="O273" s="13">
        <f>IF($A273="","",SUMIFS(Payments!$F:$F,Payments!$D:$D,$A273))</f>
        <v/>
      </c>
      <c r="P273" s="13">
        <f>IF($D273="","",MAX(0,$N273-$O273))</f>
        <v/>
      </c>
      <c r="Q273" s="2">
        <f>IF($D273="","",IF(IFERROR(INDEX(Units_Owners!$I$5:$I$504,MATCH($D273,Units_Owners!$A$5:$A$504,0)),"No")&lt;&gt;"Yes","Skip - Inactive",IF($P273=0,"Paid",IF(TODAY()&gt;$I273,"Past Due","Open"))))</f>
        <v/>
      </c>
      <c r="R273" s="12" t="n"/>
      <c r="S273" s="2" t="n"/>
    </row>
    <row r="274">
      <c r="A274" s="2">
        <f>IF($D274="","","INV-"&amp;$B274&amp;"-"&amp;$C274&amp;"-"&amp;TEXT(ROW(A270),"0000"))</f>
        <v/>
      </c>
      <c r="B274" s="2">
        <f>Setup!$B$5</f>
        <v/>
      </c>
      <c r="C274" s="2">
        <f>Setup!$B$6</f>
        <v/>
      </c>
      <c r="D274" s="2">
        <f>IFERROR(INDEX(Units_Owners!$A$5:$A$504,ROWS($A$5:A274)),"")</f>
        <v/>
      </c>
      <c r="E274" s="2">
        <f>IF($D274="","",IFERROR(INDEX(Units_Owners!$B$5:$B$504,MATCH($D274,Units_Owners!$A$5:$A$504,0)),""))</f>
        <v/>
      </c>
      <c r="F274" s="2">
        <f>IF($D274="","",IFERROR(INDEX(Units_Owners!$C$5:$C$504,MATCH($D274,Units_Owners!$A$5:$A$504,0)),""))</f>
        <v/>
      </c>
      <c r="G274" s="2">
        <f>IF($D274="","",IFERROR(INDEX(Units_Owners!$D$5:$D$504,MATCH($D274,Units_Owners!$A$5:$A$504,0)),""))</f>
        <v/>
      </c>
      <c r="H274" s="12">
        <f>Setup!$B$7</f>
        <v/>
      </c>
      <c r="I274" s="12">
        <f>Setup!$B$8</f>
        <v/>
      </c>
      <c r="J274" s="13">
        <f>IF($D274="","",IFERROR(INDEX(Units_Owners!$J$5:$J$504,MATCH($D274,Units_Owners!$A$5:$A$504,0)),0)+SUMIFS(Ledger!$F:$F,Ledger!$B:$B,$D274,Ledger!$D:$D,"&lt;"&amp;$H274)-SUMIFS(Ledger!$G:$G,Ledger!$B:$B,$D274,Ledger!$D:$D,"&lt;"&amp;$H274))</f>
        <v/>
      </c>
      <c r="K274" s="13">
        <f>IF($D274="","",IFERROR(INDEX(Units_Owners!$H$5:$H$504,MATCH($D274,Units_Owners!$A$5:$A$504,0)),Setup!$B$10))</f>
        <v/>
      </c>
      <c r="L274" s="13">
        <f>IF($D274="","",Setup!$B$11)</f>
        <v/>
      </c>
      <c r="M274" s="13">
        <f>IF($D274="","",IF(AND(TODAY()&gt;=Setup!$B$9,$P274&gt;0),Setup!$B$12,0))</f>
        <v/>
      </c>
      <c r="N274" s="13">
        <f>IF($D274="","",SUM($J274:$M274))</f>
        <v/>
      </c>
      <c r="O274" s="13">
        <f>IF($A274="","",SUMIFS(Payments!$F:$F,Payments!$D:$D,$A274))</f>
        <v/>
      </c>
      <c r="P274" s="13">
        <f>IF($D274="","",MAX(0,$N274-$O274))</f>
        <v/>
      </c>
      <c r="Q274" s="2">
        <f>IF($D274="","",IF(IFERROR(INDEX(Units_Owners!$I$5:$I$504,MATCH($D274,Units_Owners!$A$5:$A$504,0)),"No")&lt;&gt;"Yes","Skip - Inactive",IF($P274=0,"Paid",IF(TODAY()&gt;$I274,"Past Due","Open"))))</f>
        <v/>
      </c>
      <c r="R274" s="14" t="n"/>
      <c r="S274" s="6" t="n"/>
    </row>
    <row r="275">
      <c r="A275" s="2">
        <f>IF($D275="","","INV-"&amp;$B275&amp;"-"&amp;$C275&amp;"-"&amp;TEXT(ROW(A271),"0000"))</f>
        <v/>
      </c>
      <c r="B275" s="2">
        <f>Setup!$B$5</f>
        <v/>
      </c>
      <c r="C275" s="2">
        <f>Setup!$B$6</f>
        <v/>
      </c>
      <c r="D275" s="2">
        <f>IFERROR(INDEX(Units_Owners!$A$5:$A$504,ROWS($A$5:A275)),"")</f>
        <v/>
      </c>
      <c r="E275" s="2">
        <f>IF($D275="","",IFERROR(INDEX(Units_Owners!$B$5:$B$504,MATCH($D275,Units_Owners!$A$5:$A$504,0)),""))</f>
        <v/>
      </c>
      <c r="F275" s="2">
        <f>IF($D275="","",IFERROR(INDEX(Units_Owners!$C$5:$C$504,MATCH($D275,Units_Owners!$A$5:$A$504,0)),""))</f>
        <v/>
      </c>
      <c r="G275" s="2">
        <f>IF($D275="","",IFERROR(INDEX(Units_Owners!$D$5:$D$504,MATCH($D275,Units_Owners!$A$5:$A$504,0)),""))</f>
        <v/>
      </c>
      <c r="H275" s="12">
        <f>Setup!$B$7</f>
        <v/>
      </c>
      <c r="I275" s="12">
        <f>Setup!$B$8</f>
        <v/>
      </c>
      <c r="J275" s="13">
        <f>IF($D275="","",IFERROR(INDEX(Units_Owners!$J$5:$J$504,MATCH($D275,Units_Owners!$A$5:$A$504,0)),0)+SUMIFS(Ledger!$F:$F,Ledger!$B:$B,$D275,Ledger!$D:$D,"&lt;"&amp;$H275)-SUMIFS(Ledger!$G:$G,Ledger!$B:$B,$D275,Ledger!$D:$D,"&lt;"&amp;$H275))</f>
        <v/>
      </c>
      <c r="K275" s="13">
        <f>IF($D275="","",IFERROR(INDEX(Units_Owners!$H$5:$H$504,MATCH($D275,Units_Owners!$A$5:$A$504,0)),Setup!$B$10))</f>
        <v/>
      </c>
      <c r="L275" s="13">
        <f>IF($D275="","",Setup!$B$11)</f>
        <v/>
      </c>
      <c r="M275" s="13">
        <f>IF($D275="","",IF(AND(TODAY()&gt;=Setup!$B$9,$P275&gt;0),Setup!$B$12,0))</f>
        <v/>
      </c>
      <c r="N275" s="13">
        <f>IF($D275="","",SUM($J275:$M275))</f>
        <v/>
      </c>
      <c r="O275" s="13">
        <f>IF($A275="","",SUMIFS(Payments!$F:$F,Payments!$D:$D,$A275))</f>
        <v/>
      </c>
      <c r="P275" s="13">
        <f>IF($D275="","",MAX(0,$N275-$O275))</f>
        <v/>
      </c>
      <c r="Q275" s="2">
        <f>IF($D275="","",IF(IFERROR(INDEX(Units_Owners!$I$5:$I$504,MATCH($D275,Units_Owners!$A$5:$A$504,0)),"No")&lt;&gt;"Yes","Skip - Inactive",IF($P275=0,"Paid",IF(TODAY()&gt;$I275,"Past Due","Open"))))</f>
        <v/>
      </c>
      <c r="R275" s="12" t="n"/>
      <c r="S275" s="2" t="n"/>
    </row>
    <row r="276">
      <c r="A276" s="2">
        <f>IF($D276="","","INV-"&amp;$B276&amp;"-"&amp;$C276&amp;"-"&amp;TEXT(ROW(A272),"0000"))</f>
        <v/>
      </c>
      <c r="B276" s="2">
        <f>Setup!$B$5</f>
        <v/>
      </c>
      <c r="C276" s="2">
        <f>Setup!$B$6</f>
        <v/>
      </c>
      <c r="D276" s="2">
        <f>IFERROR(INDEX(Units_Owners!$A$5:$A$504,ROWS($A$5:A276)),"")</f>
        <v/>
      </c>
      <c r="E276" s="2">
        <f>IF($D276="","",IFERROR(INDEX(Units_Owners!$B$5:$B$504,MATCH($D276,Units_Owners!$A$5:$A$504,0)),""))</f>
        <v/>
      </c>
      <c r="F276" s="2">
        <f>IF($D276="","",IFERROR(INDEX(Units_Owners!$C$5:$C$504,MATCH($D276,Units_Owners!$A$5:$A$504,0)),""))</f>
        <v/>
      </c>
      <c r="G276" s="2">
        <f>IF($D276="","",IFERROR(INDEX(Units_Owners!$D$5:$D$504,MATCH($D276,Units_Owners!$A$5:$A$504,0)),""))</f>
        <v/>
      </c>
      <c r="H276" s="12">
        <f>Setup!$B$7</f>
        <v/>
      </c>
      <c r="I276" s="12">
        <f>Setup!$B$8</f>
        <v/>
      </c>
      <c r="J276" s="13">
        <f>IF($D276="","",IFERROR(INDEX(Units_Owners!$J$5:$J$504,MATCH($D276,Units_Owners!$A$5:$A$504,0)),0)+SUMIFS(Ledger!$F:$F,Ledger!$B:$B,$D276,Ledger!$D:$D,"&lt;"&amp;$H276)-SUMIFS(Ledger!$G:$G,Ledger!$B:$B,$D276,Ledger!$D:$D,"&lt;"&amp;$H276))</f>
        <v/>
      </c>
      <c r="K276" s="13">
        <f>IF($D276="","",IFERROR(INDEX(Units_Owners!$H$5:$H$504,MATCH($D276,Units_Owners!$A$5:$A$504,0)),Setup!$B$10))</f>
        <v/>
      </c>
      <c r="L276" s="13">
        <f>IF($D276="","",Setup!$B$11)</f>
        <v/>
      </c>
      <c r="M276" s="13">
        <f>IF($D276="","",IF(AND(TODAY()&gt;=Setup!$B$9,$P276&gt;0),Setup!$B$12,0))</f>
        <v/>
      </c>
      <c r="N276" s="13">
        <f>IF($D276="","",SUM($J276:$M276))</f>
        <v/>
      </c>
      <c r="O276" s="13">
        <f>IF($A276="","",SUMIFS(Payments!$F:$F,Payments!$D:$D,$A276))</f>
        <v/>
      </c>
      <c r="P276" s="13">
        <f>IF($D276="","",MAX(0,$N276-$O276))</f>
        <v/>
      </c>
      <c r="Q276" s="2">
        <f>IF($D276="","",IF(IFERROR(INDEX(Units_Owners!$I$5:$I$504,MATCH($D276,Units_Owners!$A$5:$A$504,0)),"No")&lt;&gt;"Yes","Skip - Inactive",IF($P276=0,"Paid",IF(TODAY()&gt;$I276,"Past Due","Open"))))</f>
        <v/>
      </c>
      <c r="R276" s="14" t="n"/>
      <c r="S276" s="6" t="n"/>
    </row>
    <row r="277">
      <c r="A277" s="2">
        <f>IF($D277="","","INV-"&amp;$B277&amp;"-"&amp;$C277&amp;"-"&amp;TEXT(ROW(A273),"0000"))</f>
        <v/>
      </c>
      <c r="B277" s="2">
        <f>Setup!$B$5</f>
        <v/>
      </c>
      <c r="C277" s="2">
        <f>Setup!$B$6</f>
        <v/>
      </c>
      <c r="D277" s="2">
        <f>IFERROR(INDEX(Units_Owners!$A$5:$A$504,ROWS($A$5:A277)),"")</f>
        <v/>
      </c>
      <c r="E277" s="2">
        <f>IF($D277="","",IFERROR(INDEX(Units_Owners!$B$5:$B$504,MATCH($D277,Units_Owners!$A$5:$A$504,0)),""))</f>
        <v/>
      </c>
      <c r="F277" s="2">
        <f>IF($D277="","",IFERROR(INDEX(Units_Owners!$C$5:$C$504,MATCH($D277,Units_Owners!$A$5:$A$504,0)),""))</f>
        <v/>
      </c>
      <c r="G277" s="2">
        <f>IF($D277="","",IFERROR(INDEX(Units_Owners!$D$5:$D$504,MATCH($D277,Units_Owners!$A$5:$A$504,0)),""))</f>
        <v/>
      </c>
      <c r="H277" s="12">
        <f>Setup!$B$7</f>
        <v/>
      </c>
      <c r="I277" s="12">
        <f>Setup!$B$8</f>
        <v/>
      </c>
      <c r="J277" s="13">
        <f>IF($D277="","",IFERROR(INDEX(Units_Owners!$J$5:$J$504,MATCH($D277,Units_Owners!$A$5:$A$504,0)),0)+SUMIFS(Ledger!$F:$F,Ledger!$B:$B,$D277,Ledger!$D:$D,"&lt;"&amp;$H277)-SUMIFS(Ledger!$G:$G,Ledger!$B:$B,$D277,Ledger!$D:$D,"&lt;"&amp;$H277))</f>
        <v/>
      </c>
      <c r="K277" s="13">
        <f>IF($D277="","",IFERROR(INDEX(Units_Owners!$H$5:$H$504,MATCH($D277,Units_Owners!$A$5:$A$504,0)),Setup!$B$10))</f>
        <v/>
      </c>
      <c r="L277" s="13">
        <f>IF($D277="","",Setup!$B$11)</f>
        <v/>
      </c>
      <c r="M277" s="13">
        <f>IF($D277="","",IF(AND(TODAY()&gt;=Setup!$B$9,$P277&gt;0),Setup!$B$12,0))</f>
        <v/>
      </c>
      <c r="N277" s="13">
        <f>IF($D277="","",SUM($J277:$M277))</f>
        <v/>
      </c>
      <c r="O277" s="13">
        <f>IF($A277="","",SUMIFS(Payments!$F:$F,Payments!$D:$D,$A277))</f>
        <v/>
      </c>
      <c r="P277" s="13">
        <f>IF($D277="","",MAX(0,$N277-$O277))</f>
        <v/>
      </c>
      <c r="Q277" s="2">
        <f>IF($D277="","",IF(IFERROR(INDEX(Units_Owners!$I$5:$I$504,MATCH($D277,Units_Owners!$A$5:$A$504,0)),"No")&lt;&gt;"Yes","Skip - Inactive",IF($P277=0,"Paid",IF(TODAY()&gt;$I277,"Past Due","Open"))))</f>
        <v/>
      </c>
      <c r="R277" s="12" t="n"/>
      <c r="S277" s="2" t="n"/>
    </row>
    <row r="278">
      <c r="A278" s="2">
        <f>IF($D278="","","INV-"&amp;$B278&amp;"-"&amp;$C278&amp;"-"&amp;TEXT(ROW(A274),"0000"))</f>
        <v/>
      </c>
      <c r="B278" s="2">
        <f>Setup!$B$5</f>
        <v/>
      </c>
      <c r="C278" s="2">
        <f>Setup!$B$6</f>
        <v/>
      </c>
      <c r="D278" s="2">
        <f>IFERROR(INDEX(Units_Owners!$A$5:$A$504,ROWS($A$5:A278)),"")</f>
        <v/>
      </c>
      <c r="E278" s="2">
        <f>IF($D278="","",IFERROR(INDEX(Units_Owners!$B$5:$B$504,MATCH($D278,Units_Owners!$A$5:$A$504,0)),""))</f>
        <v/>
      </c>
      <c r="F278" s="2">
        <f>IF($D278="","",IFERROR(INDEX(Units_Owners!$C$5:$C$504,MATCH($D278,Units_Owners!$A$5:$A$504,0)),""))</f>
        <v/>
      </c>
      <c r="G278" s="2">
        <f>IF($D278="","",IFERROR(INDEX(Units_Owners!$D$5:$D$504,MATCH($D278,Units_Owners!$A$5:$A$504,0)),""))</f>
        <v/>
      </c>
      <c r="H278" s="12">
        <f>Setup!$B$7</f>
        <v/>
      </c>
      <c r="I278" s="12">
        <f>Setup!$B$8</f>
        <v/>
      </c>
      <c r="J278" s="13">
        <f>IF($D278="","",IFERROR(INDEX(Units_Owners!$J$5:$J$504,MATCH($D278,Units_Owners!$A$5:$A$504,0)),0)+SUMIFS(Ledger!$F:$F,Ledger!$B:$B,$D278,Ledger!$D:$D,"&lt;"&amp;$H278)-SUMIFS(Ledger!$G:$G,Ledger!$B:$B,$D278,Ledger!$D:$D,"&lt;"&amp;$H278))</f>
        <v/>
      </c>
      <c r="K278" s="13">
        <f>IF($D278="","",IFERROR(INDEX(Units_Owners!$H$5:$H$504,MATCH($D278,Units_Owners!$A$5:$A$504,0)),Setup!$B$10))</f>
        <v/>
      </c>
      <c r="L278" s="13">
        <f>IF($D278="","",Setup!$B$11)</f>
        <v/>
      </c>
      <c r="M278" s="13">
        <f>IF($D278="","",IF(AND(TODAY()&gt;=Setup!$B$9,$P278&gt;0),Setup!$B$12,0))</f>
        <v/>
      </c>
      <c r="N278" s="13">
        <f>IF($D278="","",SUM($J278:$M278))</f>
        <v/>
      </c>
      <c r="O278" s="13">
        <f>IF($A278="","",SUMIFS(Payments!$F:$F,Payments!$D:$D,$A278))</f>
        <v/>
      </c>
      <c r="P278" s="13">
        <f>IF($D278="","",MAX(0,$N278-$O278))</f>
        <v/>
      </c>
      <c r="Q278" s="2">
        <f>IF($D278="","",IF(IFERROR(INDEX(Units_Owners!$I$5:$I$504,MATCH($D278,Units_Owners!$A$5:$A$504,0)),"No")&lt;&gt;"Yes","Skip - Inactive",IF($P278=0,"Paid",IF(TODAY()&gt;$I278,"Past Due","Open"))))</f>
        <v/>
      </c>
      <c r="R278" s="14" t="n"/>
      <c r="S278" s="6" t="n"/>
    </row>
    <row r="279">
      <c r="A279" s="2">
        <f>IF($D279="","","INV-"&amp;$B279&amp;"-"&amp;$C279&amp;"-"&amp;TEXT(ROW(A275),"0000"))</f>
        <v/>
      </c>
      <c r="B279" s="2">
        <f>Setup!$B$5</f>
        <v/>
      </c>
      <c r="C279" s="2">
        <f>Setup!$B$6</f>
        <v/>
      </c>
      <c r="D279" s="2">
        <f>IFERROR(INDEX(Units_Owners!$A$5:$A$504,ROWS($A$5:A279)),"")</f>
        <v/>
      </c>
      <c r="E279" s="2">
        <f>IF($D279="","",IFERROR(INDEX(Units_Owners!$B$5:$B$504,MATCH($D279,Units_Owners!$A$5:$A$504,0)),""))</f>
        <v/>
      </c>
      <c r="F279" s="2">
        <f>IF($D279="","",IFERROR(INDEX(Units_Owners!$C$5:$C$504,MATCH($D279,Units_Owners!$A$5:$A$504,0)),""))</f>
        <v/>
      </c>
      <c r="G279" s="2">
        <f>IF($D279="","",IFERROR(INDEX(Units_Owners!$D$5:$D$504,MATCH($D279,Units_Owners!$A$5:$A$504,0)),""))</f>
        <v/>
      </c>
      <c r="H279" s="12">
        <f>Setup!$B$7</f>
        <v/>
      </c>
      <c r="I279" s="12">
        <f>Setup!$B$8</f>
        <v/>
      </c>
      <c r="J279" s="13">
        <f>IF($D279="","",IFERROR(INDEX(Units_Owners!$J$5:$J$504,MATCH($D279,Units_Owners!$A$5:$A$504,0)),0)+SUMIFS(Ledger!$F:$F,Ledger!$B:$B,$D279,Ledger!$D:$D,"&lt;"&amp;$H279)-SUMIFS(Ledger!$G:$G,Ledger!$B:$B,$D279,Ledger!$D:$D,"&lt;"&amp;$H279))</f>
        <v/>
      </c>
      <c r="K279" s="13">
        <f>IF($D279="","",IFERROR(INDEX(Units_Owners!$H$5:$H$504,MATCH($D279,Units_Owners!$A$5:$A$504,0)),Setup!$B$10))</f>
        <v/>
      </c>
      <c r="L279" s="13">
        <f>IF($D279="","",Setup!$B$11)</f>
        <v/>
      </c>
      <c r="M279" s="13">
        <f>IF($D279="","",IF(AND(TODAY()&gt;=Setup!$B$9,$P279&gt;0),Setup!$B$12,0))</f>
        <v/>
      </c>
      <c r="N279" s="13">
        <f>IF($D279="","",SUM($J279:$M279))</f>
        <v/>
      </c>
      <c r="O279" s="13">
        <f>IF($A279="","",SUMIFS(Payments!$F:$F,Payments!$D:$D,$A279))</f>
        <v/>
      </c>
      <c r="P279" s="13">
        <f>IF($D279="","",MAX(0,$N279-$O279))</f>
        <v/>
      </c>
      <c r="Q279" s="2">
        <f>IF($D279="","",IF(IFERROR(INDEX(Units_Owners!$I$5:$I$504,MATCH($D279,Units_Owners!$A$5:$A$504,0)),"No")&lt;&gt;"Yes","Skip - Inactive",IF($P279=0,"Paid",IF(TODAY()&gt;$I279,"Past Due","Open"))))</f>
        <v/>
      </c>
      <c r="R279" s="12" t="n"/>
      <c r="S279" s="2" t="n"/>
    </row>
    <row r="280">
      <c r="A280" s="2">
        <f>IF($D280="","","INV-"&amp;$B280&amp;"-"&amp;$C280&amp;"-"&amp;TEXT(ROW(A276),"0000"))</f>
        <v/>
      </c>
      <c r="B280" s="2">
        <f>Setup!$B$5</f>
        <v/>
      </c>
      <c r="C280" s="2">
        <f>Setup!$B$6</f>
        <v/>
      </c>
      <c r="D280" s="2">
        <f>IFERROR(INDEX(Units_Owners!$A$5:$A$504,ROWS($A$5:A280)),"")</f>
        <v/>
      </c>
      <c r="E280" s="2">
        <f>IF($D280="","",IFERROR(INDEX(Units_Owners!$B$5:$B$504,MATCH($D280,Units_Owners!$A$5:$A$504,0)),""))</f>
        <v/>
      </c>
      <c r="F280" s="2">
        <f>IF($D280="","",IFERROR(INDEX(Units_Owners!$C$5:$C$504,MATCH($D280,Units_Owners!$A$5:$A$504,0)),""))</f>
        <v/>
      </c>
      <c r="G280" s="2">
        <f>IF($D280="","",IFERROR(INDEX(Units_Owners!$D$5:$D$504,MATCH($D280,Units_Owners!$A$5:$A$504,0)),""))</f>
        <v/>
      </c>
      <c r="H280" s="12">
        <f>Setup!$B$7</f>
        <v/>
      </c>
      <c r="I280" s="12">
        <f>Setup!$B$8</f>
        <v/>
      </c>
      <c r="J280" s="13">
        <f>IF($D280="","",IFERROR(INDEX(Units_Owners!$J$5:$J$504,MATCH($D280,Units_Owners!$A$5:$A$504,0)),0)+SUMIFS(Ledger!$F:$F,Ledger!$B:$B,$D280,Ledger!$D:$D,"&lt;"&amp;$H280)-SUMIFS(Ledger!$G:$G,Ledger!$B:$B,$D280,Ledger!$D:$D,"&lt;"&amp;$H280))</f>
        <v/>
      </c>
      <c r="K280" s="13">
        <f>IF($D280="","",IFERROR(INDEX(Units_Owners!$H$5:$H$504,MATCH($D280,Units_Owners!$A$5:$A$504,0)),Setup!$B$10))</f>
        <v/>
      </c>
      <c r="L280" s="13">
        <f>IF($D280="","",Setup!$B$11)</f>
        <v/>
      </c>
      <c r="M280" s="13">
        <f>IF($D280="","",IF(AND(TODAY()&gt;=Setup!$B$9,$P280&gt;0),Setup!$B$12,0))</f>
        <v/>
      </c>
      <c r="N280" s="13">
        <f>IF($D280="","",SUM($J280:$M280))</f>
        <v/>
      </c>
      <c r="O280" s="13">
        <f>IF($A280="","",SUMIFS(Payments!$F:$F,Payments!$D:$D,$A280))</f>
        <v/>
      </c>
      <c r="P280" s="13">
        <f>IF($D280="","",MAX(0,$N280-$O280))</f>
        <v/>
      </c>
      <c r="Q280" s="2">
        <f>IF($D280="","",IF(IFERROR(INDEX(Units_Owners!$I$5:$I$504,MATCH($D280,Units_Owners!$A$5:$A$504,0)),"No")&lt;&gt;"Yes","Skip - Inactive",IF($P280=0,"Paid",IF(TODAY()&gt;$I280,"Past Due","Open"))))</f>
        <v/>
      </c>
      <c r="R280" s="14" t="n"/>
      <c r="S280" s="6" t="n"/>
    </row>
    <row r="281">
      <c r="A281" s="2">
        <f>IF($D281="","","INV-"&amp;$B281&amp;"-"&amp;$C281&amp;"-"&amp;TEXT(ROW(A277),"0000"))</f>
        <v/>
      </c>
      <c r="B281" s="2">
        <f>Setup!$B$5</f>
        <v/>
      </c>
      <c r="C281" s="2">
        <f>Setup!$B$6</f>
        <v/>
      </c>
      <c r="D281" s="2">
        <f>IFERROR(INDEX(Units_Owners!$A$5:$A$504,ROWS($A$5:A281)),"")</f>
        <v/>
      </c>
      <c r="E281" s="2">
        <f>IF($D281="","",IFERROR(INDEX(Units_Owners!$B$5:$B$504,MATCH($D281,Units_Owners!$A$5:$A$504,0)),""))</f>
        <v/>
      </c>
      <c r="F281" s="2">
        <f>IF($D281="","",IFERROR(INDEX(Units_Owners!$C$5:$C$504,MATCH($D281,Units_Owners!$A$5:$A$504,0)),""))</f>
        <v/>
      </c>
      <c r="G281" s="2">
        <f>IF($D281="","",IFERROR(INDEX(Units_Owners!$D$5:$D$504,MATCH($D281,Units_Owners!$A$5:$A$504,0)),""))</f>
        <v/>
      </c>
      <c r="H281" s="12">
        <f>Setup!$B$7</f>
        <v/>
      </c>
      <c r="I281" s="12">
        <f>Setup!$B$8</f>
        <v/>
      </c>
      <c r="J281" s="13">
        <f>IF($D281="","",IFERROR(INDEX(Units_Owners!$J$5:$J$504,MATCH($D281,Units_Owners!$A$5:$A$504,0)),0)+SUMIFS(Ledger!$F:$F,Ledger!$B:$B,$D281,Ledger!$D:$D,"&lt;"&amp;$H281)-SUMIFS(Ledger!$G:$G,Ledger!$B:$B,$D281,Ledger!$D:$D,"&lt;"&amp;$H281))</f>
        <v/>
      </c>
      <c r="K281" s="13">
        <f>IF($D281="","",IFERROR(INDEX(Units_Owners!$H$5:$H$504,MATCH($D281,Units_Owners!$A$5:$A$504,0)),Setup!$B$10))</f>
        <v/>
      </c>
      <c r="L281" s="13">
        <f>IF($D281="","",Setup!$B$11)</f>
        <v/>
      </c>
      <c r="M281" s="13">
        <f>IF($D281="","",IF(AND(TODAY()&gt;=Setup!$B$9,$P281&gt;0),Setup!$B$12,0))</f>
        <v/>
      </c>
      <c r="N281" s="13">
        <f>IF($D281="","",SUM($J281:$M281))</f>
        <v/>
      </c>
      <c r="O281" s="13">
        <f>IF($A281="","",SUMIFS(Payments!$F:$F,Payments!$D:$D,$A281))</f>
        <v/>
      </c>
      <c r="P281" s="13">
        <f>IF($D281="","",MAX(0,$N281-$O281))</f>
        <v/>
      </c>
      <c r="Q281" s="2">
        <f>IF($D281="","",IF(IFERROR(INDEX(Units_Owners!$I$5:$I$504,MATCH($D281,Units_Owners!$A$5:$A$504,0)),"No")&lt;&gt;"Yes","Skip - Inactive",IF($P281=0,"Paid",IF(TODAY()&gt;$I281,"Past Due","Open"))))</f>
        <v/>
      </c>
      <c r="R281" s="12" t="n"/>
      <c r="S281" s="2" t="n"/>
    </row>
    <row r="282">
      <c r="A282" s="2">
        <f>IF($D282="","","INV-"&amp;$B282&amp;"-"&amp;$C282&amp;"-"&amp;TEXT(ROW(A278),"0000"))</f>
        <v/>
      </c>
      <c r="B282" s="2">
        <f>Setup!$B$5</f>
        <v/>
      </c>
      <c r="C282" s="2">
        <f>Setup!$B$6</f>
        <v/>
      </c>
      <c r="D282" s="2">
        <f>IFERROR(INDEX(Units_Owners!$A$5:$A$504,ROWS($A$5:A282)),"")</f>
        <v/>
      </c>
      <c r="E282" s="2">
        <f>IF($D282="","",IFERROR(INDEX(Units_Owners!$B$5:$B$504,MATCH($D282,Units_Owners!$A$5:$A$504,0)),""))</f>
        <v/>
      </c>
      <c r="F282" s="2">
        <f>IF($D282="","",IFERROR(INDEX(Units_Owners!$C$5:$C$504,MATCH($D282,Units_Owners!$A$5:$A$504,0)),""))</f>
        <v/>
      </c>
      <c r="G282" s="2">
        <f>IF($D282="","",IFERROR(INDEX(Units_Owners!$D$5:$D$504,MATCH($D282,Units_Owners!$A$5:$A$504,0)),""))</f>
        <v/>
      </c>
      <c r="H282" s="12">
        <f>Setup!$B$7</f>
        <v/>
      </c>
      <c r="I282" s="12">
        <f>Setup!$B$8</f>
        <v/>
      </c>
      <c r="J282" s="13">
        <f>IF($D282="","",IFERROR(INDEX(Units_Owners!$J$5:$J$504,MATCH($D282,Units_Owners!$A$5:$A$504,0)),0)+SUMIFS(Ledger!$F:$F,Ledger!$B:$B,$D282,Ledger!$D:$D,"&lt;"&amp;$H282)-SUMIFS(Ledger!$G:$G,Ledger!$B:$B,$D282,Ledger!$D:$D,"&lt;"&amp;$H282))</f>
        <v/>
      </c>
      <c r="K282" s="13">
        <f>IF($D282="","",IFERROR(INDEX(Units_Owners!$H$5:$H$504,MATCH($D282,Units_Owners!$A$5:$A$504,0)),Setup!$B$10))</f>
        <v/>
      </c>
      <c r="L282" s="13">
        <f>IF($D282="","",Setup!$B$11)</f>
        <v/>
      </c>
      <c r="M282" s="13">
        <f>IF($D282="","",IF(AND(TODAY()&gt;=Setup!$B$9,$P282&gt;0),Setup!$B$12,0))</f>
        <v/>
      </c>
      <c r="N282" s="13">
        <f>IF($D282="","",SUM($J282:$M282))</f>
        <v/>
      </c>
      <c r="O282" s="13">
        <f>IF($A282="","",SUMIFS(Payments!$F:$F,Payments!$D:$D,$A282))</f>
        <v/>
      </c>
      <c r="P282" s="13">
        <f>IF($D282="","",MAX(0,$N282-$O282))</f>
        <v/>
      </c>
      <c r="Q282" s="2">
        <f>IF($D282="","",IF(IFERROR(INDEX(Units_Owners!$I$5:$I$504,MATCH($D282,Units_Owners!$A$5:$A$504,0)),"No")&lt;&gt;"Yes","Skip - Inactive",IF($P282=0,"Paid",IF(TODAY()&gt;$I282,"Past Due","Open"))))</f>
        <v/>
      </c>
      <c r="R282" s="14" t="n"/>
      <c r="S282" s="6" t="n"/>
    </row>
    <row r="283">
      <c r="A283" s="2">
        <f>IF($D283="","","INV-"&amp;$B283&amp;"-"&amp;$C283&amp;"-"&amp;TEXT(ROW(A279),"0000"))</f>
        <v/>
      </c>
      <c r="B283" s="2">
        <f>Setup!$B$5</f>
        <v/>
      </c>
      <c r="C283" s="2">
        <f>Setup!$B$6</f>
        <v/>
      </c>
      <c r="D283" s="2">
        <f>IFERROR(INDEX(Units_Owners!$A$5:$A$504,ROWS($A$5:A283)),"")</f>
        <v/>
      </c>
      <c r="E283" s="2">
        <f>IF($D283="","",IFERROR(INDEX(Units_Owners!$B$5:$B$504,MATCH($D283,Units_Owners!$A$5:$A$504,0)),""))</f>
        <v/>
      </c>
      <c r="F283" s="2">
        <f>IF($D283="","",IFERROR(INDEX(Units_Owners!$C$5:$C$504,MATCH($D283,Units_Owners!$A$5:$A$504,0)),""))</f>
        <v/>
      </c>
      <c r="G283" s="2">
        <f>IF($D283="","",IFERROR(INDEX(Units_Owners!$D$5:$D$504,MATCH($D283,Units_Owners!$A$5:$A$504,0)),""))</f>
        <v/>
      </c>
      <c r="H283" s="12">
        <f>Setup!$B$7</f>
        <v/>
      </c>
      <c r="I283" s="12">
        <f>Setup!$B$8</f>
        <v/>
      </c>
      <c r="J283" s="13">
        <f>IF($D283="","",IFERROR(INDEX(Units_Owners!$J$5:$J$504,MATCH($D283,Units_Owners!$A$5:$A$504,0)),0)+SUMIFS(Ledger!$F:$F,Ledger!$B:$B,$D283,Ledger!$D:$D,"&lt;"&amp;$H283)-SUMIFS(Ledger!$G:$G,Ledger!$B:$B,$D283,Ledger!$D:$D,"&lt;"&amp;$H283))</f>
        <v/>
      </c>
      <c r="K283" s="13">
        <f>IF($D283="","",IFERROR(INDEX(Units_Owners!$H$5:$H$504,MATCH($D283,Units_Owners!$A$5:$A$504,0)),Setup!$B$10))</f>
        <v/>
      </c>
      <c r="L283" s="13">
        <f>IF($D283="","",Setup!$B$11)</f>
        <v/>
      </c>
      <c r="M283" s="13">
        <f>IF($D283="","",IF(AND(TODAY()&gt;=Setup!$B$9,$P283&gt;0),Setup!$B$12,0))</f>
        <v/>
      </c>
      <c r="N283" s="13">
        <f>IF($D283="","",SUM($J283:$M283))</f>
        <v/>
      </c>
      <c r="O283" s="13">
        <f>IF($A283="","",SUMIFS(Payments!$F:$F,Payments!$D:$D,$A283))</f>
        <v/>
      </c>
      <c r="P283" s="13">
        <f>IF($D283="","",MAX(0,$N283-$O283))</f>
        <v/>
      </c>
      <c r="Q283" s="2">
        <f>IF($D283="","",IF(IFERROR(INDEX(Units_Owners!$I$5:$I$504,MATCH($D283,Units_Owners!$A$5:$A$504,0)),"No")&lt;&gt;"Yes","Skip - Inactive",IF($P283=0,"Paid",IF(TODAY()&gt;$I283,"Past Due","Open"))))</f>
        <v/>
      </c>
      <c r="R283" s="12" t="n"/>
      <c r="S283" s="2" t="n"/>
    </row>
    <row r="284">
      <c r="A284" s="2">
        <f>IF($D284="","","INV-"&amp;$B284&amp;"-"&amp;$C284&amp;"-"&amp;TEXT(ROW(A280),"0000"))</f>
        <v/>
      </c>
      <c r="B284" s="2">
        <f>Setup!$B$5</f>
        <v/>
      </c>
      <c r="C284" s="2">
        <f>Setup!$B$6</f>
        <v/>
      </c>
      <c r="D284" s="2">
        <f>IFERROR(INDEX(Units_Owners!$A$5:$A$504,ROWS($A$5:A284)),"")</f>
        <v/>
      </c>
      <c r="E284" s="2">
        <f>IF($D284="","",IFERROR(INDEX(Units_Owners!$B$5:$B$504,MATCH($D284,Units_Owners!$A$5:$A$504,0)),""))</f>
        <v/>
      </c>
      <c r="F284" s="2">
        <f>IF($D284="","",IFERROR(INDEX(Units_Owners!$C$5:$C$504,MATCH($D284,Units_Owners!$A$5:$A$504,0)),""))</f>
        <v/>
      </c>
      <c r="G284" s="2">
        <f>IF($D284="","",IFERROR(INDEX(Units_Owners!$D$5:$D$504,MATCH($D284,Units_Owners!$A$5:$A$504,0)),""))</f>
        <v/>
      </c>
      <c r="H284" s="12">
        <f>Setup!$B$7</f>
        <v/>
      </c>
      <c r="I284" s="12">
        <f>Setup!$B$8</f>
        <v/>
      </c>
      <c r="J284" s="13">
        <f>IF($D284="","",IFERROR(INDEX(Units_Owners!$J$5:$J$504,MATCH($D284,Units_Owners!$A$5:$A$504,0)),0)+SUMIFS(Ledger!$F:$F,Ledger!$B:$B,$D284,Ledger!$D:$D,"&lt;"&amp;$H284)-SUMIFS(Ledger!$G:$G,Ledger!$B:$B,$D284,Ledger!$D:$D,"&lt;"&amp;$H284))</f>
        <v/>
      </c>
      <c r="K284" s="13">
        <f>IF($D284="","",IFERROR(INDEX(Units_Owners!$H$5:$H$504,MATCH($D284,Units_Owners!$A$5:$A$504,0)),Setup!$B$10))</f>
        <v/>
      </c>
      <c r="L284" s="13">
        <f>IF($D284="","",Setup!$B$11)</f>
        <v/>
      </c>
      <c r="M284" s="13">
        <f>IF($D284="","",IF(AND(TODAY()&gt;=Setup!$B$9,$P284&gt;0),Setup!$B$12,0))</f>
        <v/>
      </c>
      <c r="N284" s="13">
        <f>IF($D284="","",SUM($J284:$M284))</f>
        <v/>
      </c>
      <c r="O284" s="13">
        <f>IF($A284="","",SUMIFS(Payments!$F:$F,Payments!$D:$D,$A284))</f>
        <v/>
      </c>
      <c r="P284" s="13">
        <f>IF($D284="","",MAX(0,$N284-$O284))</f>
        <v/>
      </c>
      <c r="Q284" s="2">
        <f>IF($D284="","",IF(IFERROR(INDEX(Units_Owners!$I$5:$I$504,MATCH($D284,Units_Owners!$A$5:$A$504,0)),"No")&lt;&gt;"Yes","Skip - Inactive",IF($P284=0,"Paid",IF(TODAY()&gt;$I284,"Past Due","Open"))))</f>
        <v/>
      </c>
      <c r="R284" s="14" t="n"/>
      <c r="S284" s="6" t="n"/>
    </row>
    <row r="285">
      <c r="A285" s="2">
        <f>IF($D285="","","INV-"&amp;$B285&amp;"-"&amp;$C285&amp;"-"&amp;TEXT(ROW(A281),"0000"))</f>
        <v/>
      </c>
      <c r="B285" s="2">
        <f>Setup!$B$5</f>
        <v/>
      </c>
      <c r="C285" s="2">
        <f>Setup!$B$6</f>
        <v/>
      </c>
      <c r="D285" s="2">
        <f>IFERROR(INDEX(Units_Owners!$A$5:$A$504,ROWS($A$5:A285)),"")</f>
        <v/>
      </c>
      <c r="E285" s="2">
        <f>IF($D285="","",IFERROR(INDEX(Units_Owners!$B$5:$B$504,MATCH($D285,Units_Owners!$A$5:$A$504,0)),""))</f>
        <v/>
      </c>
      <c r="F285" s="2">
        <f>IF($D285="","",IFERROR(INDEX(Units_Owners!$C$5:$C$504,MATCH($D285,Units_Owners!$A$5:$A$504,0)),""))</f>
        <v/>
      </c>
      <c r="G285" s="2">
        <f>IF($D285="","",IFERROR(INDEX(Units_Owners!$D$5:$D$504,MATCH($D285,Units_Owners!$A$5:$A$504,0)),""))</f>
        <v/>
      </c>
      <c r="H285" s="12">
        <f>Setup!$B$7</f>
        <v/>
      </c>
      <c r="I285" s="12">
        <f>Setup!$B$8</f>
        <v/>
      </c>
      <c r="J285" s="13">
        <f>IF($D285="","",IFERROR(INDEX(Units_Owners!$J$5:$J$504,MATCH($D285,Units_Owners!$A$5:$A$504,0)),0)+SUMIFS(Ledger!$F:$F,Ledger!$B:$B,$D285,Ledger!$D:$D,"&lt;"&amp;$H285)-SUMIFS(Ledger!$G:$G,Ledger!$B:$B,$D285,Ledger!$D:$D,"&lt;"&amp;$H285))</f>
        <v/>
      </c>
      <c r="K285" s="13">
        <f>IF($D285="","",IFERROR(INDEX(Units_Owners!$H$5:$H$504,MATCH($D285,Units_Owners!$A$5:$A$504,0)),Setup!$B$10))</f>
        <v/>
      </c>
      <c r="L285" s="13">
        <f>IF($D285="","",Setup!$B$11)</f>
        <v/>
      </c>
      <c r="M285" s="13">
        <f>IF($D285="","",IF(AND(TODAY()&gt;=Setup!$B$9,$P285&gt;0),Setup!$B$12,0))</f>
        <v/>
      </c>
      <c r="N285" s="13">
        <f>IF($D285="","",SUM($J285:$M285))</f>
        <v/>
      </c>
      <c r="O285" s="13">
        <f>IF($A285="","",SUMIFS(Payments!$F:$F,Payments!$D:$D,$A285))</f>
        <v/>
      </c>
      <c r="P285" s="13">
        <f>IF($D285="","",MAX(0,$N285-$O285))</f>
        <v/>
      </c>
      <c r="Q285" s="2">
        <f>IF($D285="","",IF(IFERROR(INDEX(Units_Owners!$I$5:$I$504,MATCH($D285,Units_Owners!$A$5:$A$504,0)),"No")&lt;&gt;"Yes","Skip - Inactive",IF($P285=0,"Paid",IF(TODAY()&gt;$I285,"Past Due","Open"))))</f>
        <v/>
      </c>
      <c r="R285" s="12" t="n"/>
      <c r="S285" s="2" t="n"/>
    </row>
    <row r="286">
      <c r="A286" s="2">
        <f>IF($D286="","","INV-"&amp;$B286&amp;"-"&amp;$C286&amp;"-"&amp;TEXT(ROW(A282),"0000"))</f>
        <v/>
      </c>
      <c r="B286" s="2">
        <f>Setup!$B$5</f>
        <v/>
      </c>
      <c r="C286" s="2">
        <f>Setup!$B$6</f>
        <v/>
      </c>
      <c r="D286" s="2">
        <f>IFERROR(INDEX(Units_Owners!$A$5:$A$504,ROWS($A$5:A286)),"")</f>
        <v/>
      </c>
      <c r="E286" s="2">
        <f>IF($D286="","",IFERROR(INDEX(Units_Owners!$B$5:$B$504,MATCH($D286,Units_Owners!$A$5:$A$504,0)),""))</f>
        <v/>
      </c>
      <c r="F286" s="2">
        <f>IF($D286="","",IFERROR(INDEX(Units_Owners!$C$5:$C$504,MATCH($D286,Units_Owners!$A$5:$A$504,0)),""))</f>
        <v/>
      </c>
      <c r="G286" s="2">
        <f>IF($D286="","",IFERROR(INDEX(Units_Owners!$D$5:$D$504,MATCH($D286,Units_Owners!$A$5:$A$504,0)),""))</f>
        <v/>
      </c>
      <c r="H286" s="12">
        <f>Setup!$B$7</f>
        <v/>
      </c>
      <c r="I286" s="12">
        <f>Setup!$B$8</f>
        <v/>
      </c>
      <c r="J286" s="13">
        <f>IF($D286="","",IFERROR(INDEX(Units_Owners!$J$5:$J$504,MATCH($D286,Units_Owners!$A$5:$A$504,0)),0)+SUMIFS(Ledger!$F:$F,Ledger!$B:$B,$D286,Ledger!$D:$D,"&lt;"&amp;$H286)-SUMIFS(Ledger!$G:$G,Ledger!$B:$B,$D286,Ledger!$D:$D,"&lt;"&amp;$H286))</f>
        <v/>
      </c>
      <c r="K286" s="13">
        <f>IF($D286="","",IFERROR(INDEX(Units_Owners!$H$5:$H$504,MATCH($D286,Units_Owners!$A$5:$A$504,0)),Setup!$B$10))</f>
        <v/>
      </c>
      <c r="L286" s="13">
        <f>IF($D286="","",Setup!$B$11)</f>
        <v/>
      </c>
      <c r="M286" s="13">
        <f>IF($D286="","",IF(AND(TODAY()&gt;=Setup!$B$9,$P286&gt;0),Setup!$B$12,0))</f>
        <v/>
      </c>
      <c r="N286" s="13">
        <f>IF($D286="","",SUM($J286:$M286))</f>
        <v/>
      </c>
      <c r="O286" s="13">
        <f>IF($A286="","",SUMIFS(Payments!$F:$F,Payments!$D:$D,$A286))</f>
        <v/>
      </c>
      <c r="P286" s="13">
        <f>IF($D286="","",MAX(0,$N286-$O286))</f>
        <v/>
      </c>
      <c r="Q286" s="2">
        <f>IF($D286="","",IF(IFERROR(INDEX(Units_Owners!$I$5:$I$504,MATCH($D286,Units_Owners!$A$5:$A$504,0)),"No")&lt;&gt;"Yes","Skip - Inactive",IF($P286=0,"Paid",IF(TODAY()&gt;$I286,"Past Due","Open"))))</f>
        <v/>
      </c>
      <c r="R286" s="14" t="n"/>
      <c r="S286" s="6" t="n"/>
    </row>
    <row r="287">
      <c r="A287" s="2">
        <f>IF($D287="","","INV-"&amp;$B287&amp;"-"&amp;$C287&amp;"-"&amp;TEXT(ROW(A283),"0000"))</f>
        <v/>
      </c>
      <c r="B287" s="2">
        <f>Setup!$B$5</f>
        <v/>
      </c>
      <c r="C287" s="2">
        <f>Setup!$B$6</f>
        <v/>
      </c>
      <c r="D287" s="2">
        <f>IFERROR(INDEX(Units_Owners!$A$5:$A$504,ROWS($A$5:A287)),"")</f>
        <v/>
      </c>
      <c r="E287" s="2">
        <f>IF($D287="","",IFERROR(INDEX(Units_Owners!$B$5:$B$504,MATCH($D287,Units_Owners!$A$5:$A$504,0)),""))</f>
        <v/>
      </c>
      <c r="F287" s="2">
        <f>IF($D287="","",IFERROR(INDEX(Units_Owners!$C$5:$C$504,MATCH($D287,Units_Owners!$A$5:$A$504,0)),""))</f>
        <v/>
      </c>
      <c r="G287" s="2">
        <f>IF($D287="","",IFERROR(INDEX(Units_Owners!$D$5:$D$504,MATCH($D287,Units_Owners!$A$5:$A$504,0)),""))</f>
        <v/>
      </c>
      <c r="H287" s="12">
        <f>Setup!$B$7</f>
        <v/>
      </c>
      <c r="I287" s="12">
        <f>Setup!$B$8</f>
        <v/>
      </c>
      <c r="J287" s="13">
        <f>IF($D287="","",IFERROR(INDEX(Units_Owners!$J$5:$J$504,MATCH($D287,Units_Owners!$A$5:$A$504,0)),0)+SUMIFS(Ledger!$F:$F,Ledger!$B:$B,$D287,Ledger!$D:$D,"&lt;"&amp;$H287)-SUMIFS(Ledger!$G:$G,Ledger!$B:$B,$D287,Ledger!$D:$D,"&lt;"&amp;$H287))</f>
        <v/>
      </c>
      <c r="K287" s="13">
        <f>IF($D287="","",IFERROR(INDEX(Units_Owners!$H$5:$H$504,MATCH($D287,Units_Owners!$A$5:$A$504,0)),Setup!$B$10))</f>
        <v/>
      </c>
      <c r="L287" s="13">
        <f>IF($D287="","",Setup!$B$11)</f>
        <v/>
      </c>
      <c r="M287" s="13">
        <f>IF($D287="","",IF(AND(TODAY()&gt;=Setup!$B$9,$P287&gt;0),Setup!$B$12,0))</f>
        <v/>
      </c>
      <c r="N287" s="13">
        <f>IF($D287="","",SUM($J287:$M287))</f>
        <v/>
      </c>
      <c r="O287" s="13">
        <f>IF($A287="","",SUMIFS(Payments!$F:$F,Payments!$D:$D,$A287))</f>
        <v/>
      </c>
      <c r="P287" s="13">
        <f>IF($D287="","",MAX(0,$N287-$O287))</f>
        <v/>
      </c>
      <c r="Q287" s="2">
        <f>IF($D287="","",IF(IFERROR(INDEX(Units_Owners!$I$5:$I$504,MATCH($D287,Units_Owners!$A$5:$A$504,0)),"No")&lt;&gt;"Yes","Skip - Inactive",IF($P287=0,"Paid",IF(TODAY()&gt;$I287,"Past Due","Open"))))</f>
        <v/>
      </c>
      <c r="R287" s="12" t="n"/>
      <c r="S287" s="2" t="n"/>
    </row>
    <row r="288">
      <c r="A288" s="2">
        <f>IF($D288="","","INV-"&amp;$B288&amp;"-"&amp;$C288&amp;"-"&amp;TEXT(ROW(A284),"0000"))</f>
        <v/>
      </c>
      <c r="B288" s="2">
        <f>Setup!$B$5</f>
        <v/>
      </c>
      <c r="C288" s="2">
        <f>Setup!$B$6</f>
        <v/>
      </c>
      <c r="D288" s="2">
        <f>IFERROR(INDEX(Units_Owners!$A$5:$A$504,ROWS($A$5:A288)),"")</f>
        <v/>
      </c>
      <c r="E288" s="2">
        <f>IF($D288="","",IFERROR(INDEX(Units_Owners!$B$5:$B$504,MATCH($D288,Units_Owners!$A$5:$A$504,0)),""))</f>
        <v/>
      </c>
      <c r="F288" s="2">
        <f>IF($D288="","",IFERROR(INDEX(Units_Owners!$C$5:$C$504,MATCH($D288,Units_Owners!$A$5:$A$504,0)),""))</f>
        <v/>
      </c>
      <c r="G288" s="2">
        <f>IF($D288="","",IFERROR(INDEX(Units_Owners!$D$5:$D$504,MATCH($D288,Units_Owners!$A$5:$A$504,0)),""))</f>
        <v/>
      </c>
      <c r="H288" s="12">
        <f>Setup!$B$7</f>
        <v/>
      </c>
      <c r="I288" s="12">
        <f>Setup!$B$8</f>
        <v/>
      </c>
      <c r="J288" s="13">
        <f>IF($D288="","",IFERROR(INDEX(Units_Owners!$J$5:$J$504,MATCH($D288,Units_Owners!$A$5:$A$504,0)),0)+SUMIFS(Ledger!$F:$F,Ledger!$B:$B,$D288,Ledger!$D:$D,"&lt;"&amp;$H288)-SUMIFS(Ledger!$G:$G,Ledger!$B:$B,$D288,Ledger!$D:$D,"&lt;"&amp;$H288))</f>
        <v/>
      </c>
      <c r="K288" s="13">
        <f>IF($D288="","",IFERROR(INDEX(Units_Owners!$H$5:$H$504,MATCH($D288,Units_Owners!$A$5:$A$504,0)),Setup!$B$10))</f>
        <v/>
      </c>
      <c r="L288" s="13">
        <f>IF($D288="","",Setup!$B$11)</f>
        <v/>
      </c>
      <c r="M288" s="13">
        <f>IF($D288="","",IF(AND(TODAY()&gt;=Setup!$B$9,$P288&gt;0),Setup!$B$12,0))</f>
        <v/>
      </c>
      <c r="N288" s="13">
        <f>IF($D288="","",SUM($J288:$M288))</f>
        <v/>
      </c>
      <c r="O288" s="13">
        <f>IF($A288="","",SUMIFS(Payments!$F:$F,Payments!$D:$D,$A288))</f>
        <v/>
      </c>
      <c r="P288" s="13">
        <f>IF($D288="","",MAX(0,$N288-$O288))</f>
        <v/>
      </c>
      <c r="Q288" s="2">
        <f>IF($D288="","",IF(IFERROR(INDEX(Units_Owners!$I$5:$I$504,MATCH($D288,Units_Owners!$A$5:$A$504,0)),"No")&lt;&gt;"Yes","Skip - Inactive",IF($P288=0,"Paid",IF(TODAY()&gt;$I288,"Past Due","Open"))))</f>
        <v/>
      </c>
      <c r="R288" s="14" t="n"/>
      <c r="S288" s="6" t="n"/>
    </row>
    <row r="289">
      <c r="A289" s="2">
        <f>IF($D289="","","INV-"&amp;$B289&amp;"-"&amp;$C289&amp;"-"&amp;TEXT(ROW(A285),"0000"))</f>
        <v/>
      </c>
      <c r="B289" s="2">
        <f>Setup!$B$5</f>
        <v/>
      </c>
      <c r="C289" s="2">
        <f>Setup!$B$6</f>
        <v/>
      </c>
      <c r="D289" s="2">
        <f>IFERROR(INDEX(Units_Owners!$A$5:$A$504,ROWS($A$5:A289)),"")</f>
        <v/>
      </c>
      <c r="E289" s="2">
        <f>IF($D289="","",IFERROR(INDEX(Units_Owners!$B$5:$B$504,MATCH($D289,Units_Owners!$A$5:$A$504,0)),""))</f>
        <v/>
      </c>
      <c r="F289" s="2">
        <f>IF($D289="","",IFERROR(INDEX(Units_Owners!$C$5:$C$504,MATCH($D289,Units_Owners!$A$5:$A$504,0)),""))</f>
        <v/>
      </c>
      <c r="G289" s="2">
        <f>IF($D289="","",IFERROR(INDEX(Units_Owners!$D$5:$D$504,MATCH($D289,Units_Owners!$A$5:$A$504,0)),""))</f>
        <v/>
      </c>
      <c r="H289" s="12">
        <f>Setup!$B$7</f>
        <v/>
      </c>
      <c r="I289" s="12">
        <f>Setup!$B$8</f>
        <v/>
      </c>
      <c r="J289" s="13">
        <f>IF($D289="","",IFERROR(INDEX(Units_Owners!$J$5:$J$504,MATCH($D289,Units_Owners!$A$5:$A$504,0)),0)+SUMIFS(Ledger!$F:$F,Ledger!$B:$B,$D289,Ledger!$D:$D,"&lt;"&amp;$H289)-SUMIFS(Ledger!$G:$G,Ledger!$B:$B,$D289,Ledger!$D:$D,"&lt;"&amp;$H289))</f>
        <v/>
      </c>
      <c r="K289" s="13">
        <f>IF($D289="","",IFERROR(INDEX(Units_Owners!$H$5:$H$504,MATCH($D289,Units_Owners!$A$5:$A$504,0)),Setup!$B$10))</f>
        <v/>
      </c>
      <c r="L289" s="13">
        <f>IF($D289="","",Setup!$B$11)</f>
        <v/>
      </c>
      <c r="M289" s="13">
        <f>IF($D289="","",IF(AND(TODAY()&gt;=Setup!$B$9,$P289&gt;0),Setup!$B$12,0))</f>
        <v/>
      </c>
      <c r="N289" s="13">
        <f>IF($D289="","",SUM($J289:$M289))</f>
        <v/>
      </c>
      <c r="O289" s="13">
        <f>IF($A289="","",SUMIFS(Payments!$F:$F,Payments!$D:$D,$A289))</f>
        <v/>
      </c>
      <c r="P289" s="13">
        <f>IF($D289="","",MAX(0,$N289-$O289))</f>
        <v/>
      </c>
      <c r="Q289" s="2">
        <f>IF($D289="","",IF(IFERROR(INDEX(Units_Owners!$I$5:$I$504,MATCH($D289,Units_Owners!$A$5:$A$504,0)),"No")&lt;&gt;"Yes","Skip - Inactive",IF($P289=0,"Paid",IF(TODAY()&gt;$I289,"Past Due","Open"))))</f>
        <v/>
      </c>
      <c r="R289" s="12" t="n"/>
      <c r="S289" s="2" t="n"/>
    </row>
    <row r="290">
      <c r="A290" s="2">
        <f>IF($D290="","","INV-"&amp;$B290&amp;"-"&amp;$C290&amp;"-"&amp;TEXT(ROW(A286),"0000"))</f>
        <v/>
      </c>
      <c r="B290" s="2">
        <f>Setup!$B$5</f>
        <v/>
      </c>
      <c r="C290" s="2">
        <f>Setup!$B$6</f>
        <v/>
      </c>
      <c r="D290" s="2">
        <f>IFERROR(INDEX(Units_Owners!$A$5:$A$504,ROWS($A$5:A290)),"")</f>
        <v/>
      </c>
      <c r="E290" s="2">
        <f>IF($D290="","",IFERROR(INDEX(Units_Owners!$B$5:$B$504,MATCH($D290,Units_Owners!$A$5:$A$504,0)),""))</f>
        <v/>
      </c>
      <c r="F290" s="2">
        <f>IF($D290="","",IFERROR(INDEX(Units_Owners!$C$5:$C$504,MATCH($D290,Units_Owners!$A$5:$A$504,0)),""))</f>
        <v/>
      </c>
      <c r="G290" s="2">
        <f>IF($D290="","",IFERROR(INDEX(Units_Owners!$D$5:$D$504,MATCH($D290,Units_Owners!$A$5:$A$504,0)),""))</f>
        <v/>
      </c>
      <c r="H290" s="12">
        <f>Setup!$B$7</f>
        <v/>
      </c>
      <c r="I290" s="12">
        <f>Setup!$B$8</f>
        <v/>
      </c>
      <c r="J290" s="13">
        <f>IF($D290="","",IFERROR(INDEX(Units_Owners!$J$5:$J$504,MATCH($D290,Units_Owners!$A$5:$A$504,0)),0)+SUMIFS(Ledger!$F:$F,Ledger!$B:$B,$D290,Ledger!$D:$D,"&lt;"&amp;$H290)-SUMIFS(Ledger!$G:$G,Ledger!$B:$B,$D290,Ledger!$D:$D,"&lt;"&amp;$H290))</f>
        <v/>
      </c>
      <c r="K290" s="13">
        <f>IF($D290="","",IFERROR(INDEX(Units_Owners!$H$5:$H$504,MATCH($D290,Units_Owners!$A$5:$A$504,0)),Setup!$B$10))</f>
        <v/>
      </c>
      <c r="L290" s="13">
        <f>IF($D290="","",Setup!$B$11)</f>
        <v/>
      </c>
      <c r="M290" s="13">
        <f>IF($D290="","",IF(AND(TODAY()&gt;=Setup!$B$9,$P290&gt;0),Setup!$B$12,0))</f>
        <v/>
      </c>
      <c r="N290" s="13">
        <f>IF($D290="","",SUM($J290:$M290))</f>
        <v/>
      </c>
      <c r="O290" s="13">
        <f>IF($A290="","",SUMIFS(Payments!$F:$F,Payments!$D:$D,$A290))</f>
        <v/>
      </c>
      <c r="P290" s="13">
        <f>IF($D290="","",MAX(0,$N290-$O290))</f>
        <v/>
      </c>
      <c r="Q290" s="2">
        <f>IF($D290="","",IF(IFERROR(INDEX(Units_Owners!$I$5:$I$504,MATCH($D290,Units_Owners!$A$5:$A$504,0)),"No")&lt;&gt;"Yes","Skip - Inactive",IF($P290=0,"Paid",IF(TODAY()&gt;$I290,"Past Due","Open"))))</f>
        <v/>
      </c>
      <c r="R290" s="14" t="n"/>
      <c r="S290" s="6" t="n"/>
    </row>
    <row r="291">
      <c r="A291" s="2">
        <f>IF($D291="","","INV-"&amp;$B291&amp;"-"&amp;$C291&amp;"-"&amp;TEXT(ROW(A287),"0000"))</f>
        <v/>
      </c>
      <c r="B291" s="2">
        <f>Setup!$B$5</f>
        <v/>
      </c>
      <c r="C291" s="2">
        <f>Setup!$B$6</f>
        <v/>
      </c>
      <c r="D291" s="2">
        <f>IFERROR(INDEX(Units_Owners!$A$5:$A$504,ROWS($A$5:A291)),"")</f>
        <v/>
      </c>
      <c r="E291" s="2">
        <f>IF($D291="","",IFERROR(INDEX(Units_Owners!$B$5:$B$504,MATCH($D291,Units_Owners!$A$5:$A$504,0)),""))</f>
        <v/>
      </c>
      <c r="F291" s="2">
        <f>IF($D291="","",IFERROR(INDEX(Units_Owners!$C$5:$C$504,MATCH($D291,Units_Owners!$A$5:$A$504,0)),""))</f>
        <v/>
      </c>
      <c r="G291" s="2">
        <f>IF($D291="","",IFERROR(INDEX(Units_Owners!$D$5:$D$504,MATCH($D291,Units_Owners!$A$5:$A$504,0)),""))</f>
        <v/>
      </c>
      <c r="H291" s="12">
        <f>Setup!$B$7</f>
        <v/>
      </c>
      <c r="I291" s="12">
        <f>Setup!$B$8</f>
        <v/>
      </c>
      <c r="J291" s="13">
        <f>IF($D291="","",IFERROR(INDEX(Units_Owners!$J$5:$J$504,MATCH($D291,Units_Owners!$A$5:$A$504,0)),0)+SUMIFS(Ledger!$F:$F,Ledger!$B:$B,$D291,Ledger!$D:$D,"&lt;"&amp;$H291)-SUMIFS(Ledger!$G:$G,Ledger!$B:$B,$D291,Ledger!$D:$D,"&lt;"&amp;$H291))</f>
        <v/>
      </c>
      <c r="K291" s="13">
        <f>IF($D291="","",IFERROR(INDEX(Units_Owners!$H$5:$H$504,MATCH($D291,Units_Owners!$A$5:$A$504,0)),Setup!$B$10))</f>
        <v/>
      </c>
      <c r="L291" s="13">
        <f>IF($D291="","",Setup!$B$11)</f>
        <v/>
      </c>
      <c r="M291" s="13">
        <f>IF($D291="","",IF(AND(TODAY()&gt;=Setup!$B$9,$P291&gt;0),Setup!$B$12,0))</f>
        <v/>
      </c>
      <c r="N291" s="13">
        <f>IF($D291="","",SUM($J291:$M291))</f>
        <v/>
      </c>
      <c r="O291" s="13">
        <f>IF($A291="","",SUMIFS(Payments!$F:$F,Payments!$D:$D,$A291))</f>
        <v/>
      </c>
      <c r="P291" s="13">
        <f>IF($D291="","",MAX(0,$N291-$O291))</f>
        <v/>
      </c>
      <c r="Q291" s="2">
        <f>IF($D291="","",IF(IFERROR(INDEX(Units_Owners!$I$5:$I$504,MATCH($D291,Units_Owners!$A$5:$A$504,0)),"No")&lt;&gt;"Yes","Skip - Inactive",IF($P291=0,"Paid",IF(TODAY()&gt;$I291,"Past Due","Open"))))</f>
        <v/>
      </c>
      <c r="R291" s="12" t="n"/>
      <c r="S291" s="2" t="n"/>
    </row>
    <row r="292">
      <c r="A292" s="2">
        <f>IF($D292="","","INV-"&amp;$B292&amp;"-"&amp;$C292&amp;"-"&amp;TEXT(ROW(A288),"0000"))</f>
        <v/>
      </c>
      <c r="B292" s="2">
        <f>Setup!$B$5</f>
        <v/>
      </c>
      <c r="C292" s="2">
        <f>Setup!$B$6</f>
        <v/>
      </c>
      <c r="D292" s="2">
        <f>IFERROR(INDEX(Units_Owners!$A$5:$A$504,ROWS($A$5:A292)),"")</f>
        <v/>
      </c>
      <c r="E292" s="2">
        <f>IF($D292="","",IFERROR(INDEX(Units_Owners!$B$5:$B$504,MATCH($D292,Units_Owners!$A$5:$A$504,0)),""))</f>
        <v/>
      </c>
      <c r="F292" s="2">
        <f>IF($D292="","",IFERROR(INDEX(Units_Owners!$C$5:$C$504,MATCH($D292,Units_Owners!$A$5:$A$504,0)),""))</f>
        <v/>
      </c>
      <c r="G292" s="2">
        <f>IF($D292="","",IFERROR(INDEX(Units_Owners!$D$5:$D$504,MATCH($D292,Units_Owners!$A$5:$A$504,0)),""))</f>
        <v/>
      </c>
      <c r="H292" s="12">
        <f>Setup!$B$7</f>
        <v/>
      </c>
      <c r="I292" s="12">
        <f>Setup!$B$8</f>
        <v/>
      </c>
      <c r="J292" s="13">
        <f>IF($D292="","",IFERROR(INDEX(Units_Owners!$J$5:$J$504,MATCH($D292,Units_Owners!$A$5:$A$504,0)),0)+SUMIFS(Ledger!$F:$F,Ledger!$B:$B,$D292,Ledger!$D:$D,"&lt;"&amp;$H292)-SUMIFS(Ledger!$G:$G,Ledger!$B:$B,$D292,Ledger!$D:$D,"&lt;"&amp;$H292))</f>
        <v/>
      </c>
      <c r="K292" s="13">
        <f>IF($D292="","",IFERROR(INDEX(Units_Owners!$H$5:$H$504,MATCH($D292,Units_Owners!$A$5:$A$504,0)),Setup!$B$10))</f>
        <v/>
      </c>
      <c r="L292" s="13">
        <f>IF($D292="","",Setup!$B$11)</f>
        <v/>
      </c>
      <c r="M292" s="13">
        <f>IF($D292="","",IF(AND(TODAY()&gt;=Setup!$B$9,$P292&gt;0),Setup!$B$12,0))</f>
        <v/>
      </c>
      <c r="N292" s="13">
        <f>IF($D292="","",SUM($J292:$M292))</f>
        <v/>
      </c>
      <c r="O292" s="13">
        <f>IF($A292="","",SUMIFS(Payments!$F:$F,Payments!$D:$D,$A292))</f>
        <v/>
      </c>
      <c r="P292" s="13">
        <f>IF($D292="","",MAX(0,$N292-$O292))</f>
        <v/>
      </c>
      <c r="Q292" s="2">
        <f>IF($D292="","",IF(IFERROR(INDEX(Units_Owners!$I$5:$I$504,MATCH($D292,Units_Owners!$A$5:$A$504,0)),"No")&lt;&gt;"Yes","Skip - Inactive",IF($P292=0,"Paid",IF(TODAY()&gt;$I292,"Past Due","Open"))))</f>
        <v/>
      </c>
      <c r="R292" s="14" t="n"/>
      <c r="S292" s="6" t="n"/>
    </row>
    <row r="293">
      <c r="A293" s="2">
        <f>IF($D293="","","INV-"&amp;$B293&amp;"-"&amp;$C293&amp;"-"&amp;TEXT(ROW(A289),"0000"))</f>
        <v/>
      </c>
      <c r="B293" s="2">
        <f>Setup!$B$5</f>
        <v/>
      </c>
      <c r="C293" s="2">
        <f>Setup!$B$6</f>
        <v/>
      </c>
      <c r="D293" s="2">
        <f>IFERROR(INDEX(Units_Owners!$A$5:$A$504,ROWS($A$5:A293)),"")</f>
        <v/>
      </c>
      <c r="E293" s="2">
        <f>IF($D293="","",IFERROR(INDEX(Units_Owners!$B$5:$B$504,MATCH($D293,Units_Owners!$A$5:$A$504,0)),""))</f>
        <v/>
      </c>
      <c r="F293" s="2">
        <f>IF($D293="","",IFERROR(INDEX(Units_Owners!$C$5:$C$504,MATCH($D293,Units_Owners!$A$5:$A$504,0)),""))</f>
        <v/>
      </c>
      <c r="G293" s="2">
        <f>IF($D293="","",IFERROR(INDEX(Units_Owners!$D$5:$D$504,MATCH($D293,Units_Owners!$A$5:$A$504,0)),""))</f>
        <v/>
      </c>
      <c r="H293" s="12">
        <f>Setup!$B$7</f>
        <v/>
      </c>
      <c r="I293" s="12">
        <f>Setup!$B$8</f>
        <v/>
      </c>
      <c r="J293" s="13">
        <f>IF($D293="","",IFERROR(INDEX(Units_Owners!$J$5:$J$504,MATCH($D293,Units_Owners!$A$5:$A$504,0)),0)+SUMIFS(Ledger!$F:$F,Ledger!$B:$B,$D293,Ledger!$D:$D,"&lt;"&amp;$H293)-SUMIFS(Ledger!$G:$G,Ledger!$B:$B,$D293,Ledger!$D:$D,"&lt;"&amp;$H293))</f>
        <v/>
      </c>
      <c r="K293" s="13">
        <f>IF($D293="","",IFERROR(INDEX(Units_Owners!$H$5:$H$504,MATCH($D293,Units_Owners!$A$5:$A$504,0)),Setup!$B$10))</f>
        <v/>
      </c>
      <c r="L293" s="13">
        <f>IF($D293="","",Setup!$B$11)</f>
        <v/>
      </c>
      <c r="M293" s="13">
        <f>IF($D293="","",IF(AND(TODAY()&gt;=Setup!$B$9,$P293&gt;0),Setup!$B$12,0))</f>
        <v/>
      </c>
      <c r="N293" s="13">
        <f>IF($D293="","",SUM($J293:$M293))</f>
        <v/>
      </c>
      <c r="O293" s="13">
        <f>IF($A293="","",SUMIFS(Payments!$F:$F,Payments!$D:$D,$A293))</f>
        <v/>
      </c>
      <c r="P293" s="13">
        <f>IF($D293="","",MAX(0,$N293-$O293))</f>
        <v/>
      </c>
      <c r="Q293" s="2">
        <f>IF($D293="","",IF(IFERROR(INDEX(Units_Owners!$I$5:$I$504,MATCH($D293,Units_Owners!$A$5:$A$504,0)),"No")&lt;&gt;"Yes","Skip - Inactive",IF($P293=0,"Paid",IF(TODAY()&gt;$I293,"Past Due","Open"))))</f>
        <v/>
      </c>
      <c r="R293" s="12" t="n"/>
      <c r="S293" s="2" t="n"/>
    </row>
    <row r="294">
      <c r="A294" s="2">
        <f>IF($D294="","","INV-"&amp;$B294&amp;"-"&amp;$C294&amp;"-"&amp;TEXT(ROW(A290),"0000"))</f>
        <v/>
      </c>
      <c r="B294" s="2">
        <f>Setup!$B$5</f>
        <v/>
      </c>
      <c r="C294" s="2">
        <f>Setup!$B$6</f>
        <v/>
      </c>
      <c r="D294" s="2">
        <f>IFERROR(INDEX(Units_Owners!$A$5:$A$504,ROWS($A$5:A294)),"")</f>
        <v/>
      </c>
      <c r="E294" s="2">
        <f>IF($D294="","",IFERROR(INDEX(Units_Owners!$B$5:$B$504,MATCH($D294,Units_Owners!$A$5:$A$504,0)),""))</f>
        <v/>
      </c>
      <c r="F294" s="2">
        <f>IF($D294="","",IFERROR(INDEX(Units_Owners!$C$5:$C$504,MATCH($D294,Units_Owners!$A$5:$A$504,0)),""))</f>
        <v/>
      </c>
      <c r="G294" s="2">
        <f>IF($D294="","",IFERROR(INDEX(Units_Owners!$D$5:$D$504,MATCH($D294,Units_Owners!$A$5:$A$504,0)),""))</f>
        <v/>
      </c>
      <c r="H294" s="12">
        <f>Setup!$B$7</f>
        <v/>
      </c>
      <c r="I294" s="12">
        <f>Setup!$B$8</f>
        <v/>
      </c>
      <c r="J294" s="13">
        <f>IF($D294="","",IFERROR(INDEX(Units_Owners!$J$5:$J$504,MATCH($D294,Units_Owners!$A$5:$A$504,0)),0)+SUMIFS(Ledger!$F:$F,Ledger!$B:$B,$D294,Ledger!$D:$D,"&lt;"&amp;$H294)-SUMIFS(Ledger!$G:$G,Ledger!$B:$B,$D294,Ledger!$D:$D,"&lt;"&amp;$H294))</f>
        <v/>
      </c>
      <c r="K294" s="13">
        <f>IF($D294="","",IFERROR(INDEX(Units_Owners!$H$5:$H$504,MATCH($D294,Units_Owners!$A$5:$A$504,0)),Setup!$B$10))</f>
        <v/>
      </c>
      <c r="L294" s="13">
        <f>IF($D294="","",Setup!$B$11)</f>
        <v/>
      </c>
      <c r="M294" s="13">
        <f>IF($D294="","",IF(AND(TODAY()&gt;=Setup!$B$9,$P294&gt;0),Setup!$B$12,0))</f>
        <v/>
      </c>
      <c r="N294" s="13">
        <f>IF($D294="","",SUM($J294:$M294))</f>
        <v/>
      </c>
      <c r="O294" s="13">
        <f>IF($A294="","",SUMIFS(Payments!$F:$F,Payments!$D:$D,$A294))</f>
        <v/>
      </c>
      <c r="P294" s="13">
        <f>IF($D294="","",MAX(0,$N294-$O294))</f>
        <v/>
      </c>
      <c r="Q294" s="2">
        <f>IF($D294="","",IF(IFERROR(INDEX(Units_Owners!$I$5:$I$504,MATCH($D294,Units_Owners!$A$5:$A$504,0)),"No")&lt;&gt;"Yes","Skip - Inactive",IF($P294=0,"Paid",IF(TODAY()&gt;$I294,"Past Due","Open"))))</f>
        <v/>
      </c>
      <c r="R294" s="14" t="n"/>
      <c r="S294" s="6" t="n"/>
    </row>
    <row r="295">
      <c r="A295" s="2">
        <f>IF($D295="","","INV-"&amp;$B295&amp;"-"&amp;$C295&amp;"-"&amp;TEXT(ROW(A291),"0000"))</f>
        <v/>
      </c>
      <c r="B295" s="2">
        <f>Setup!$B$5</f>
        <v/>
      </c>
      <c r="C295" s="2">
        <f>Setup!$B$6</f>
        <v/>
      </c>
      <c r="D295" s="2">
        <f>IFERROR(INDEX(Units_Owners!$A$5:$A$504,ROWS($A$5:A295)),"")</f>
        <v/>
      </c>
      <c r="E295" s="2">
        <f>IF($D295="","",IFERROR(INDEX(Units_Owners!$B$5:$B$504,MATCH($D295,Units_Owners!$A$5:$A$504,0)),""))</f>
        <v/>
      </c>
      <c r="F295" s="2">
        <f>IF($D295="","",IFERROR(INDEX(Units_Owners!$C$5:$C$504,MATCH($D295,Units_Owners!$A$5:$A$504,0)),""))</f>
        <v/>
      </c>
      <c r="G295" s="2">
        <f>IF($D295="","",IFERROR(INDEX(Units_Owners!$D$5:$D$504,MATCH($D295,Units_Owners!$A$5:$A$504,0)),""))</f>
        <v/>
      </c>
      <c r="H295" s="12">
        <f>Setup!$B$7</f>
        <v/>
      </c>
      <c r="I295" s="12">
        <f>Setup!$B$8</f>
        <v/>
      </c>
      <c r="J295" s="13">
        <f>IF($D295="","",IFERROR(INDEX(Units_Owners!$J$5:$J$504,MATCH($D295,Units_Owners!$A$5:$A$504,0)),0)+SUMIFS(Ledger!$F:$F,Ledger!$B:$B,$D295,Ledger!$D:$D,"&lt;"&amp;$H295)-SUMIFS(Ledger!$G:$G,Ledger!$B:$B,$D295,Ledger!$D:$D,"&lt;"&amp;$H295))</f>
        <v/>
      </c>
      <c r="K295" s="13">
        <f>IF($D295="","",IFERROR(INDEX(Units_Owners!$H$5:$H$504,MATCH($D295,Units_Owners!$A$5:$A$504,0)),Setup!$B$10))</f>
        <v/>
      </c>
      <c r="L295" s="13">
        <f>IF($D295="","",Setup!$B$11)</f>
        <v/>
      </c>
      <c r="M295" s="13">
        <f>IF($D295="","",IF(AND(TODAY()&gt;=Setup!$B$9,$P295&gt;0),Setup!$B$12,0))</f>
        <v/>
      </c>
      <c r="N295" s="13">
        <f>IF($D295="","",SUM($J295:$M295))</f>
        <v/>
      </c>
      <c r="O295" s="13">
        <f>IF($A295="","",SUMIFS(Payments!$F:$F,Payments!$D:$D,$A295))</f>
        <v/>
      </c>
      <c r="P295" s="13">
        <f>IF($D295="","",MAX(0,$N295-$O295))</f>
        <v/>
      </c>
      <c r="Q295" s="2">
        <f>IF($D295="","",IF(IFERROR(INDEX(Units_Owners!$I$5:$I$504,MATCH($D295,Units_Owners!$A$5:$A$504,0)),"No")&lt;&gt;"Yes","Skip - Inactive",IF($P295=0,"Paid",IF(TODAY()&gt;$I295,"Past Due","Open"))))</f>
        <v/>
      </c>
      <c r="R295" s="12" t="n"/>
      <c r="S295" s="2" t="n"/>
    </row>
    <row r="296">
      <c r="A296" s="2">
        <f>IF($D296="","","INV-"&amp;$B296&amp;"-"&amp;$C296&amp;"-"&amp;TEXT(ROW(A292),"0000"))</f>
        <v/>
      </c>
      <c r="B296" s="2">
        <f>Setup!$B$5</f>
        <v/>
      </c>
      <c r="C296" s="2">
        <f>Setup!$B$6</f>
        <v/>
      </c>
      <c r="D296" s="2">
        <f>IFERROR(INDEX(Units_Owners!$A$5:$A$504,ROWS($A$5:A296)),"")</f>
        <v/>
      </c>
      <c r="E296" s="2">
        <f>IF($D296="","",IFERROR(INDEX(Units_Owners!$B$5:$B$504,MATCH($D296,Units_Owners!$A$5:$A$504,0)),""))</f>
        <v/>
      </c>
      <c r="F296" s="2">
        <f>IF($D296="","",IFERROR(INDEX(Units_Owners!$C$5:$C$504,MATCH($D296,Units_Owners!$A$5:$A$504,0)),""))</f>
        <v/>
      </c>
      <c r="G296" s="2">
        <f>IF($D296="","",IFERROR(INDEX(Units_Owners!$D$5:$D$504,MATCH($D296,Units_Owners!$A$5:$A$504,0)),""))</f>
        <v/>
      </c>
      <c r="H296" s="12">
        <f>Setup!$B$7</f>
        <v/>
      </c>
      <c r="I296" s="12">
        <f>Setup!$B$8</f>
        <v/>
      </c>
      <c r="J296" s="13">
        <f>IF($D296="","",IFERROR(INDEX(Units_Owners!$J$5:$J$504,MATCH($D296,Units_Owners!$A$5:$A$504,0)),0)+SUMIFS(Ledger!$F:$F,Ledger!$B:$B,$D296,Ledger!$D:$D,"&lt;"&amp;$H296)-SUMIFS(Ledger!$G:$G,Ledger!$B:$B,$D296,Ledger!$D:$D,"&lt;"&amp;$H296))</f>
        <v/>
      </c>
      <c r="K296" s="13">
        <f>IF($D296="","",IFERROR(INDEX(Units_Owners!$H$5:$H$504,MATCH($D296,Units_Owners!$A$5:$A$504,0)),Setup!$B$10))</f>
        <v/>
      </c>
      <c r="L296" s="13">
        <f>IF($D296="","",Setup!$B$11)</f>
        <v/>
      </c>
      <c r="M296" s="13">
        <f>IF($D296="","",IF(AND(TODAY()&gt;=Setup!$B$9,$P296&gt;0),Setup!$B$12,0))</f>
        <v/>
      </c>
      <c r="N296" s="13">
        <f>IF($D296="","",SUM($J296:$M296))</f>
        <v/>
      </c>
      <c r="O296" s="13">
        <f>IF($A296="","",SUMIFS(Payments!$F:$F,Payments!$D:$D,$A296))</f>
        <v/>
      </c>
      <c r="P296" s="13">
        <f>IF($D296="","",MAX(0,$N296-$O296))</f>
        <v/>
      </c>
      <c r="Q296" s="2">
        <f>IF($D296="","",IF(IFERROR(INDEX(Units_Owners!$I$5:$I$504,MATCH($D296,Units_Owners!$A$5:$A$504,0)),"No")&lt;&gt;"Yes","Skip - Inactive",IF($P296=0,"Paid",IF(TODAY()&gt;$I296,"Past Due","Open"))))</f>
        <v/>
      </c>
      <c r="R296" s="14" t="n"/>
      <c r="S296" s="6" t="n"/>
    </row>
    <row r="297">
      <c r="A297" s="2">
        <f>IF($D297="","","INV-"&amp;$B297&amp;"-"&amp;$C297&amp;"-"&amp;TEXT(ROW(A293),"0000"))</f>
        <v/>
      </c>
      <c r="B297" s="2">
        <f>Setup!$B$5</f>
        <v/>
      </c>
      <c r="C297" s="2">
        <f>Setup!$B$6</f>
        <v/>
      </c>
      <c r="D297" s="2">
        <f>IFERROR(INDEX(Units_Owners!$A$5:$A$504,ROWS($A$5:A297)),"")</f>
        <v/>
      </c>
      <c r="E297" s="2">
        <f>IF($D297="","",IFERROR(INDEX(Units_Owners!$B$5:$B$504,MATCH($D297,Units_Owners!$A$5:$A$504,0)),""))</f>
        <v/>
      </c>
      <c r="F297" s="2">
        <f>IF($D297="","",IFERROR(INDEX(Units_Owners!$C$5:$C$504,MATCH($D297,Units_Owners!$A$5:$A$504,0)),""))</f>
        <v/>
      </c>
      <c r="G297" s="2">
        <f>IF($D297="","",IFERROR(INDEX(Units_Owners!$D$5:$D$504,MATCH($D297,Units_Owners!$A$5:$A$504,0)),""))</f>
        <v/>
      </c>
      <c r="H297" s="12">
        <f>Setup!$B$7</f>
        <v/>
      </c>
      <c r="I297" s="12">
        <f>Setup!$B$8</f>
        <v/>
      </c>
      <c r="J297" s="13">
        <f>IF($D297="","",IFERROR(INDEX(Units_Owners!$J$5:$J$504,MATCH($D297,Units_Owners!$A$5:$A$504,0)),0)+SUMIFS(Ledger!$F:$F,Ledger!$B:$B,$D297,Ledger!$D:$D,"&lt;"&amp;$H297)-SUMIFS(Ledger!$G:$G,Ledger!$B:$B,$D297,Ledger!$D:$D,"&lt;"&amp;$H297))</f>
        <v/>
      </c>
      <c r="K297" s="13">
        <f>IF($D297="","",IFERROR(INDEX(Units_Owners!$H$5:$H$504,MATCH($D297,Units_Owners!$A$5:$A$504,0)),Setup!$B$10))</f>
        <v/>
      </c>
      <c r="L297" s="13">
        <f>IF($D297="","",Setup!$B$11)</f>
        <v/>
      </c>
      <c r="M297" s="13">
        <f>IF($D297="","",IF(AND(TODAY()&gt;=Setup!$B$9,$P297&gt;0),Setup!$B$12,0))</f>
        <v/>
      </c>
      <c r="N297" s="13">
        <f>IF($D297="","",SUM($J297:$M297))</f>
        <v/>
      </c>
      <c r="O297" s="13">
        <f>IF($A297="","",SUMIFS(Payments!$F:$F,Payments!$D:$D,$A297))</f>
        <v/>
      </c>
      <c r="P297" s="13">
        <f>IF($D297="","",MAX(0,$N297-$O297))</f>
        <v/>
      </c>
      <c r="Q297" s="2">
        <f>IF($D297="","",IF(IFERROR(INDEX(Units_Owners!$I$5:$I$504,MATCH($D297,Units_Owners!$A$5:$A$504,0)),"No")&lt;&gt;"Yes","Skip - Inactive",IF($P297=0,"Paid",IF(TODAY()&gt;$I297,"Past Due","Open"))))</f>
        <v/>
      </c>
      <c r="R297" s="12" t="n"/>
      <c r="S297" s="2" t="n"/>
    </row>
    <row r="298">
      <c r="A298" s="2">
        <f>IF($D298="","","INV-"&amp;$B298&amp;"-"&amp;$C298&amp;"-"&amp;TEXT(ROW(A294),"0000"))</f>
        <v/>
      </c>
      <c r="B298" s="2">
        <f>Setup!$B$5</f>
        <v/>
      </c>
      <c r="C298" s="2">
        <f>Setup!$B$6</f>
        <v/>
      </c>
      <c r="D298" s="2">
        <f>IFERROR(INDEX(Units_Owners!$A$5:$A$504,ROWS($A$5:A298)),"")</f>
        <v/>
      </c>
      <c r="E298" s="2">
        <f>IF($D298="","",IFERROR(INDEX(Units_Owners!$B$5:$B$504,MATCH($D298,Units_Owners!$A$5:$A$504,0)),""))</f>
        <v/>
      </c>
      <c r="F298" s="2">
        <f>IF($D298="","",IFERROR(INDEX(Units_Owners!$C$5:$C$504,MATCH($D298,Units_Owners!$A$5:$A$504,0)),""))</f>
        <v/>
      </c>
      <c r="G298" s="2">
        <f>IF($D298="","",IFERROR(INDEX(Units_Owners!$D$5:$D$504,MATCH($D298,Units_Owners!$A$5:$A$504,0)),""))</f>
        <v/>
      </c>
      <c r="H298" s="12">
        <f>Setup!$B$7</f>
        <v/>
      </c>
      <c r="I298" s="12">
        <f>Setup!$B$8</f>
        <v/>
      </c>
      <c r="J298" s="13">
        <f>IF($D298="","",IFERROR(INDEX(Units_Owners!$J$5:$J$504,MATCH($D298,Units_Owners!$A$5:$A$504,0)),0)+SUMIFS(Ledger!$F:$F,Ledger!$B:$B,$D298,Ledger!$D:$D,"&lt;"&amp;$H298)-SUMIFS(Ledger!$G:$G,Ledger!$B:$B,$D298,Ledger!$D:$D,"&lt;"&amp;$H298))</f>
        <v/>
      </c>
      <c r="K298" s="13">
        <f>IF($D298="","",IFERROR(INDEX(Units_Owners!$H$5:$H$504,MATCH($D298,Units_Owners!$A$5:$A$504,0)),Setup!$B$10))</f>
        <v/>
      </c>
      <c r="L298" s="13">
        <f>IF($D298="","",Setup!$B$11)</f>
        <v/>
      </c>
      <c r="M298" s="13">
        <f>IF($D298="","",IF(AND(TODAY()&gt;=Setup!$B$9,$P298&gt;0),Setup!$B$12,0))</f>
        <v/>
      </c>
      <c r="N298" s="13">
        <f>IF($D298="","",SUM($J298:$M298))</f>
        <v/>
      </c>
      <c r="O298" s="13">
        <f>IF($A298="","",SUMIFS(Payments!$F:$F,Payments!$D:$D,$A298))</f>
        <v/>
      </c>
      <c r="P298" s="13">
        <f>IF($D298="","",MAX(0,$N298-$O298))</f>
        <v/>
      </c>
      <c r="Q298" s="2">
        <f>IF($D298="","",IF(IFERROR(INDEX(Units_Owners!$I$5:$I$504,MATCH($D298,Units_Owners!$A$5:$A$504,0)),"No")&lt;&gt;"Yes","Skip - Inactive",IF($P298=0,"Paid",IF(TODAY()&gt;$I298,"Past Due","Open"))))</f>
        <v/>
      </c>
      <c r="R298" s="14" t="n"/>
      <c r="S298" s="6" t="n"/>
    </row>
    <row r="299">
      <c r="A299" s="2">
        <f>IF($D299="","","INV-"&amp;$B299&amp;"-"&amp;$C299&amp;"-"&amp;TEXT(ROW(A295),"0000"))</f>
        <v/>
      </c>
      <c r="B299" s="2">
        <f>Setup!$B$5</f>
        <v/>
      </c>
      <c r="C299" s="2">
        <f>Setup!$B$6</f>
        <v/>
      </c>
      <c r="D299" s="2">
        <f>IFERROR(INDEX(Units_Owners!$A$5:$A$504,ROWS($A$5:A299)),"")</f>
        <v/>
      </c>
      <c r="E299" s="2">
        <f>IF($D299="","",IFERROR(INDEX(Units_Owners!$B$5:$B$504,MATCH($D299,Units_Owners!$A$5:$A$504,0)),""))</f>
        <v/>
      </c>
      <c r="F299" s="2">
        <f>IF($D299="","",IFERROR(INDEX(Units_Owners!$C$5:$C$504,MATCH($D299,Units_Owners!$A$5:$A$504,0)),""))</f>
        <v/>
      </c>
      <c r="G299" s="2">
        <f>IF($D299="","",IFERROR(INDEX(Units_Owners!$D$5:$D$504,MATCH($D299,Units_Owners!$A$5:$A$504,0)),""))</f>
        <v/>
      </c>
      <c r="H299" s="12">
        <f>Setup!$B$7</f>
        <v/>
      </c>
      <c r="I299" s="12">
        <f>Setup!$B$8</f>
        <v/>
      </c>
      <c r="J299" s="13">
        <f>IF($D299="","",IFERROR(INDEX(Units_Owners!$J$5:$J$504,MATCH($D299,Units_Owners!$A$5:$A$504,0)),0)+SUMIFS(Ledger!$F:$F,Ledger!$B:$B,$D299,Ledger!$D:$D,"&lt;"&amp;$H299)-SUMIFS(Ledger!$G:$G,Ledger!$B:$B,$D299,Ledger!$D:$D,"&lt;"&amp;$H299))</f>
        <v/>
      </c>
      <c r="K299" s="13">
        <f>IF($D299="","",IFERROR(INDEX(Units_Owners!$H$5:$H$504,MATCH($D299,Units_Owners!$A$5:$A$504,0)),Setup!$B$10))</f>
        <v/>
      </c>
      <c r="L299" s="13">
        <f>IF($D299="","",Setup!$B$11)</f>
        <v/>
      </c>
      <c r="M299" s="13">
        <f>IF($D299="","",IF(AND(TODAY()&gt;=Setup!$B$9,$P299&gt;0),Setup!$B$12,0))</f>
        <v/>
      </c>
      <c r="N299" s="13">
        <f>IF($D299="","",SUM($J299:$M299))</f>
        <v/>
      </c>
      <c r="O299" s="13">
        <f>IF($A299="","",SUMIFS(Payments!$F:$F,Payments!$D:$D,$A299))</f>
        <v/>
      </c>
      <c r="P299" s="13">
        <f>IF($D299="","",MAX(0,$N299-$O299))</f>
        <v/>
      </c>
      <c r="Q299" s="2">
        <f>IF($D299="","",IF(IFERROR(INDEX(Units_Owners!$I$5:$I$504,MATCH($D299,Units_Owners!$A$5:$A$504,0)),"No")&lt;&gt;"Yes","Skip - Inactive",IF($P299=0,"Paid",IF(TODAY()&gt;$I299,"Past Due","Open"))))</f>
        <v/>
      </c>
      <c r="R299" s="12" t="n"/>
      <c r="S299" s="2" t="n"/>
    </row>
    <row r="300">
      <c r="A300" s="2">
        <f>IF($D300="","","INV-"&amp;$B300&amp;"-"&amp;$C300&amp;"-"&amp;TEXT(ROW(A296),"0000"))</f>
        <v/>
      </c>
      <c r="B300" s="2">
        <f>Setup!$B$5</f>
        <v/>
      </c>
      <c r="C300" s="2">
        <f>Setup!$B$6</f>
        <v/>
      </c>
      <c r="D300" s="2">
        <f>IFERROR(INDEX(Units_Owners!$A$5:$A$504,ROWS($A$5:A300)),"")</f>
        <v/>
      </c>
      <c r="E300" s="2">
        <f>IF($D300="","",IFERROR(INDEX(Units_Owners!$B$5:$B$504,MATCH($D300,Units_Owners!$A$5:$A$504,0)),""))</f>
        <v/>
      </c>
      <c r="F300" s="2">
        <f>IF($D300="","",IFERROR(INDEX(Units_Owners!$C$5:$C$504,MATCH($D300,Units_Owners!$A$5:$A$504,0)),""))</f>
        <v/>
      </c>
      <c r="G300" s="2">
        <f>IF($D300="","",IFERROR(INDEX(Units_Owners!$D$5:$D$504,MATCH($D300,Units_Owners!$A$5:$A$504,0)),""))</f>
        <v/>
      </c>
      <c r="H300" s="12">
        <f>Setup!$B$7</f>
        <v/>
      </c>
      <c r="I300" s="12">
        <f>Setup!$B$8</f>
        <v/>
      </c>
      <c r="J300" s="13">
        <f>IF($D300="","",IFERROR(INDEX(Units_Owners!$J$5:$J$504,MATCH($D300,Units_Owners!$A$5:$A$504,0)),0)+SUMIFS(Ledger!$F:$F,Ledger!$B:$B,$D300,Ledger!$D:$D,"&lt;"&amp;$H300)-SUMIFS(Ledger!$G:$G,Ledger!$B:$B,$D300,Ledger!$D:$D,"&lt;"&amp;$H300))</f>
        <v/>
      </c>
      <c r="K300" s="13">
        <f>IF($D300="","",IFERROR(INDEX(Units_Owners!$H$5:$H$504,MATCH($D300,Units_Owners!$A$5:$A$504,0)),Setup!$B$10))</f>
        <v/>
      </c>
      <c r="L300" s="13">
        <f>IF($D300="","",Setup!$B$11)</f>
        <v/>
      </c>
      <c r="M300" s="13">
        <f>IF($D300="","",IF(AND(TODAY()&gt;=Setup!$B$9,$P300&gt;0),Setup!$B$12,0))</f>
        <v/>
      </c>
      <c r="N300" s="13">
        <f>IF($D300="","",SUM($J300:$M300))</f>
        <v/>
      </c>
      <c r="O300" s="13">
        <f>IF($A300="","",SUMIFS(Payments!$F:$F,Payments!$D:$D,$A300))</f>
        <v/>
      </c>
      <c r="P300" s="13">
        <f>IF($D300="","",MAX(0,$N300-$O300))</f>
        <v/>
      </c>
      <c r="Q300" s="2">
        <f>IF($D300="","",IF(IFERROR(INDEX(Units_Owners!$I$5:$I$504,MATCH($D300,Units_Owners!$A$5:$A$504,0)),"No")&lt;&gt;"Yes","Skip - Inactive",IF($P300=0,"Paid",IF(TODAY()&gt;$I300,"Past Due","Open"))))</f>
        <v/>
      </c>
      <c r="R300" s="14" t="n"/>
      <c r="S300" s="6" t="n"/>
    </row>
    <row r="301">
      <c r="A301" s="2">
        <f>IF($D301="","","INV-"&amp;$B301&amp;"-"&amp;$C301&amp;"-"&amp;TEXT(ROW(A297),"0000"))</f>
        <v/>
      </c>
      <c r="B301" s="2">
        <f>Setup!$B$5</f>
        <v/>
      </c>
      <c r="C301" s="2">
        <f>Setup!$B$6</f>
        <v/>
      </c>
      <c r="D301" s="2">
        <f>IFERROR(INDEX(Units_Owners!$A$5:$A$504,ROWS($A$5:A301)),"")</f>
        <v/>
      </c>
      <c r="E301" s="2">
        <f>IF($D301="","",IFERROR(INDEX(Units_Owners!$B$5:$B$504,MATCH($D301,Units_Owners!$A$5:$A$504,0)),""))</f>
        <v/>
      </c>
      <c r="F301" s="2">
        <f>IF($D301="","",IFERROR(INDEX(Units_Owners!$C$5:$C$504,MATCH($D301,Units_Owners!$A$5:$A$504,0)),""))</f>
        <v/>
      </c>
      <c r="G301" s="2">
        <f>IF($D301="","",IFERROR(INDEX(Units_Owners!$D$5:$D$504,MATCH($D301,Units_Owners!$A$5:$A$504,0)),""))</f>
        <v/>
      </c>
      <c r="H301" s="12">
        <f>Setup!$B$7</f>
        <v/>
      </c>
      <c r="I301" s="12">
        <f>Setup!$B$8</f>
        <v/>
      </c>
      <c r="J301" s="13">
        <f>IF($D301="","",IFERROR(INDEX(Units_Owners!$J$5:$J$504,MATCH($D301,Units_Owners!$A$5:$A$504,0)),0)+SUMIFS(Ledger!$F:$F,Ledger!$B:$B,$D301,Ledger!$D:$D,"&lt;"&amp;$H301)-SUMIFS(Ledger!$G:$G,Ledger!$B:$B,$D301,Ledger!$D:$D,"&lt;"&amp;$H301))</f>
        <v/>
      </c>
      <c r="K301" s="13">
        <f>IF($D301="","",IFERROR(INDEX(Units_Owners!$H$5:$H$504,MATCH($D301,Units_Owners!$A$5:$A$504,0)),Setup!$B$10))</f>
        <v/>
      </c>
      <c r="L301" s="13">
        <f>IF($D301="","",Setup!$B$11)</f>
        <v/>
      </c>
      <c r="M301" s="13">
        <f>IF($D301="","",IF(AND(TODAY()&gt;=Setup!$B$9,$P301&gt;0),Setup!$B$12,0))</f>
        <v/>
      </c>
      <c r="N301" s="13">
        <f>IF($D301="","",SUM($J301:$M301))</f>
        <v/>
      </c>
      <c r="O301" s="13">
        <f>IF($A301="","",SUMIFS(Payments!$F:$F,Payments!$D:$D,$A301))</f>
        <v/>
      </c>
      <c r="P301" s="13">
        <f>IF($D301="","",MAX(0,$N301-$O301))</f>
        <v/>
      </c>
      <c r="Q301" s="2">
        <f>IF($D301="","",IF(IFERROR(INDEX(Units_Owners!$I$5:$I$504,MATCH($D301,Units_Owners!$A$5:$A$504,0)),"No")&lt;&gt;"Yes","Skip - Inactive",IF($P301=0,"Paid",IF(TODAY()&gt;$I301,"Past Due","Open"))))</f>
        <v/>
      </c>
      <c r="R301" s="12" t="n"/>
      <c r="S301" s="2" t="n"/>
    </row>
    <row r="302">
      <c r="A302" s="2">
        <f>IF($D302="","","INV-"&amp;$B302&amp;"-"&amp;$C302&amp;"-"&amp;TEXT(ROW(A298),"0000"))</f>
        <v/>
      </c>
      <c r="B302" s="2">
        <f>Setup!$B$5</f>
        <v/>
      </c>
      <c r="C302" s="2">
        <f>Setup!$B$6</f>
        <v/>
      </c>
      <c r="D302" s="2">
        <f>IFERROR(INDEX(Units_Owners!$A$5:$A$504,ROWS($A$5:A302)),"")</f>
        <v/>
      </c>
      <c r="E302" s="2">
        <f>IF($D302="","",IFERROR(INDEX(Units_Owners!$B$5:$B$504,MATCH($D302,Units_Owners!$A$5:$A$504,0)),""))</f>
        <v/>
      </c>
      <c r="F302" s="2">
        <f>IF($D302="","",IFERROR(INDEX(Units_Owners!$C$5:$C$504,MATCH($D302,Units_Owners!$A$5:$A$504,0)),""))</f>
        <v/>
      </c>
      <c r="G302" s="2">
        <f>IF($D302="","",IFERROR(INDEX(Units_Owners!$D$5:$D$504,MATCH($D302,Units_Owners!$A$5:$A$504,0)),""))</f>
        <v/>
      </c>
      <c r="H302" s="12">
        <f>Setup!$B$7</f>
        <v/>
      </c>
      <c r="I302" s="12">
        <f>Setup!$B$8</f>
        <v/>
      </c>
      <c r="J302" s="13">
        <f>IF($D302="","",IFERROR(INDEX(Units_Owners!$J$5:$J$504,MATCH($D302,Units_Owners!$A$5:$A$504,0)),0)+SUMIFS(Ledger!$F:$F,Ledger!$B:$B,$D302,Ledger!$D:$D,"&lt;"&amp;$H302)-SUMIFS(Ledger!$G:$G,Ledger!$B:$B,$D302,Ledger!$D:$D,"&lt;"&amp;$H302))</f>
        <v/>
      </c>
      <c r="K302" s="13">
        <f>IF($D302="","",IFERROR(INDEX(Units_Owners!$H$5:$H$504,MATCH($D302,Units_Owners!$A$5:$A$504,0)),Setup!$B$10))</f>
        <v/>
      </c>
      <c r="L302" s="13">
        <f>IF($D302="","",Setup!$B$11)</f>
        <v/>
      </c>
      <c r="M302" s="13">
        <f>IF($D302="","",IF(AND(TODAY()&gt;=Setup!$B$9,$P302&gt;0),Setup!$B$12,0))</f>
        <v/>
      </c>
      <c r="N302" s="13">
        <f>IF($D302="","",SUM($J302:$M302))</f>
        <v/>
      </c>
      <c r="O302" s="13">
        <f>IF($A302="","",SUMIFS(Payments!$F:$F,Payments!$D:$D,$A302))</f>
        <v/>
      </c>
      <c r="P302" s="13">
        <f>IF($D302="","",MAX(0,$N302-$O302))</f>
        <v/>
      </c>
      <c r="Q302" s="2">
        <f>IF($D302="","",IF(IFERROR(INDEX(Units_Owners!$I$5:$I$504,MATCH($D302,Units_Owners!$A$5:$A$504,0)),"No")&lt;&gt;"Yes","Skip - Inactive",IF($P302=0,"Paid",IF(TODAY()&gt;$I302,"Past Due","Open"))))</f>
        <v/>
      </c>
      <c r="R302" s="14" t="n"/>
      <c r="S302" s="6" t="n"/>
    </row>
    <row r="303">
      <c r="A303" s="2">
        <f>IF($D303="","","INV-"&amp;$B303&amp;"-"&amp;$C303&amp;"-"&amp;TEXT(ROW(A299),"0000"))</f>
        <v/>
      </c>
      <c r="B303" s="2">
        <f>Setup!$B$5</f>
        <v/>
      </c>
      <c r="C303" s="2">
        <f>Setup!$B$6</f>
        <v/>
      </c>
      <c r="D303" s="2">
        <f>IFERROR(INDEX(Units_Owners!$A$5:$A$504,ROWS($A$5:A303)),"")</f>
        <v/>
      </c>
      <c r="E303" s="2">
        <f>IF($D303="","",IFERROR(INDEX(Units_Owners!$B$5:$B$504,MATCH($D303,Units_Owners!$A$5:$A$504,0)),""))</f>
        <v/>
      </c>
      <c r="F303" s="2">
        <f>IF($D303="","",IFERROR(INDEX(Units_Owners!$C$5:$C$504,MATCH($D303,Units_Owners!$A$5:$A$504,0)),""))</f>
        <v/>
      </c>
      <c r="G303" s="2">
        <f>IF($D303="","",IFERROR(INDEX(Units_Owners!$D$5:$D$504,MATCH($D303,Units_Owners!$A$5:$A$504,0)),""))</f>
        <v/>
      </c>
      <c r="H303" s="12">
        <f>Setup!$B$7</f>
        <v/>
      </c>
      <c r="I303" s="12">
        <f>Setup!$B$8</f>
        <v/>
      </c>
      <c r="J303" s="13">
        <f>IF($D303="","",IFERROR(INDEX(Units_Owners!$J$5:$J$504,MATCH($D303,Units_Owners!$A$5:$A$504,0)),0)+SUMIFS(Ledger!$F:$F,Ledger!$B:$B,$D303,Ledger!$D:$D,"&lt;"&amp;$H303)-SUMIFS(Ledger!$G:$G,Ledger!$B:$B,$D303,Ledger!$D:$D,"&lt;"&amp;$H303))</f>
        <v/>
      </c>
      <c r="K303" s="13">
        <f>IF($D303="","",IFERROR(INDEX(Units_Owners!$H$5:$H$504,MATCH($D303,Units_Owners!$A$5:$A$504,0)),Setup!$B$10))</f>
        <v/>
      </c>
      <c r="L303" s="13">
        <f>IF($D303="","",Setup!$B$11)</f>
        <v/>
      </c>
      <c r="M303" s="13">
        <f>IF($D303="","",IF(AND(TODAY()&gt;=Setup!$B$9,$P303&gt;0),Setup!$B$12,0))</f>
        <v/>
      </c>
      <c r="N303" s="13">
        <f>IF($D303="","",SUM($J303:$M303))</f>
        <v/>
      </c>
      <c r="O303" s="13">
        <f>IF($A303="","",SUMIFS(Payments!$F:$F,Payments!$D:$D,$A303))</f>
        <v/>
      </c>
      <c r="P303" s="13">
        <f>IF($D303="","",MAX(0,$N303-$O303))</f>
        <v/>
      </c>
      <c r="Q303" s="2">
        <f>IF($D303="","",IF(IFERROR(INDEX(Units_Owners!$I$5:$I$504,MATCH($D303,Units_Owners!$A$5:$A$504,0)),"No")&lt;&gt;"Yes","Skip - Inactive",IF($P303=0,"Paid",IF(TODAY()&gt;$I303,"Past Due","Open"))))</f>
        <v/>
      </c>
      <c r="R303" s="12" t="n"/>
      <c r="S303" s="2" t="n"/>
    </row>
    <row r="304">
      <c r="A304" s="2">
        <f>IF($D304="","","INV-"&amp;$B304&amp;"-"&amp;$C304&amp;"-"&amp;TEXT(ROW(A300),"0000"))</f>
        <v/>
      </c>
      <c r="B304" s="2">
        <f>Setup!$B$5</f>
        <v/>
      </c>
      <c r="C304" s="2">
        <f>Setup!$B$6</f>
        <v/>
      </c>
      <c r="D304" s="2">
        <f>IFERROR(INDEX(Units_Owners!$A$5:$A$504,ROWS($A$5:A304)),"")</f>
        <v/>
      </c>
      <c r="E304" s="2">
        <f>IF($D304="","",IFERROR(INDEX(Units_Owners!$B$5:$B$504,MATCH($D304,Units_Owners!$A$5:$A$504,0)),""))</f>
        <v/>
      </c>
      <c r="F304" s="2">
        <f>IF($D304="","",IFERROR(INDEX(Units_Owners!$C$5:$C$504,MATCH($D304,Units_Owners!$A$5:$A$504,0)),""))</f>
        <v/>
      </c>
      <c r="G304" s="2">
        <f>IF($D304="","",IFERROR(INDEX(Units_Owners!$D$5:$D$504,MATCH($D304,Units_Owners!$A$5:$A$504,0)),""))</f>
        <v/>
      </c>
      <c r="H304" s="12">
        <f>Setup!$B$7</f>
        <v/>
      </c>
      <c r="I304" s="12">
        <f>Setup!$B$8</f>
        <v/>
      </c>
      <c r="J304" s="13">
        <f>IF($D304="","",IFERROR(INDEX(Units_Owners!$J$5:$J$504,MATCH($D304,Units_Owners!$A$5:$A$504,0)),0)+SUMIFS(Ledger!$F:$F,Ledger!$B:$B,$D304,Ledger!$D:$D,"&lt;"&amp;$H304)-SUMIFS(Ledger!$G:$G,Ledger!$B:$B,$D304,Ledger!$D:$D,"&lt;"&amp;$H304))</f>
        <v/>
      </c>
      <c r="K304" s="13">
        <f>IF($D304="","",IFERROR(INDEX(Units_Owners!$H$5:$H$504,MATCH($D304,Units_Owners!$A$5:$A$504,0)),Setup!$B$10))</f>
        <v/>
      </c>
      <c r="L304" s="13">
        <f>IF($D304="","",Setup!$B$11)</f>
        <v/>
      </c>
      <c r="M304" s="13">
        <f>IF($D304="","",IF(AND(TODAY()&gt;=Setup!$B$9,$P304&gt;0),Setup!$B$12,0))</f>
        <v/>
      </c>
      <c r="N304" s="13">
        <f>IF($D304="","",SUM($J304:$M304))</f>
        <v/>
      </c>
      <c r="O304" s="13">
        <f>IF($A304="","",SUMIFS(Payments!$F:$F,Payments!$D:$D,$A304))</f>
        <v/>
      </c>
      <c r="P304" s="13">
        <f>IF($D304="","",MAX(0,$N304-$O304))</f>
        <v/>
      </c>
      <c r="Q304" s="2">
        <f>IF($D304="","",IF(IFERROR(INDEX(Units_Owners!$I$5:$I$504,MATCH($D304,Units_Owners!$A$5:$A$504,0)),"No")&lt;&gt;"Yes","Skip - Inactive",IF($P304=0,"Paid",IF(TODAY()&gt;$I304,"Past Due","Open"))))</f>
        <v/>
      </c>
      <c r="R304" s="14" t="n"/>
      <c r="S304" s="6" t="n"/>
    </row>
    <row r="305">
      <c r="A305" s="2">
        <f>IF($D305="","","INV-"&amp;$B305&amp;"-"&amp;$C305&amp;"-"&amp;TEXT(ROW(A301),"0000"))</f>
        <v/>
      </c>
      <c r="B305" s="2">
        <f>Setup!$B$5</f>
        <v/>
      </c>
      <c r="C305" s="2">
        <f>Setup!$B$6</f>
        <v/>
      </c>
      <c r="D305" s="2">
        <f>IFERROR(INDEX(Units_Owners!$A$5:$A$504,ROWS($A$5:A305)),"")</f>
        <v/>
      </c>
      <c r="E305" s="2">
        <f>IF($D305="","",IFERROR(INDEX(Units_Owners!$B$5:$B$504,MATCH($D305,Units_Owners!$A$5:$A$504,0)),""))</f>
        <v/>
      </c>
      <c r="F305" s="2">
        <f>IF($D305="","",IFERROR(INDEX(Units_Owners!$C$5:$C$504,MATCH($D305,Units_Owners!$A$5:$A$504,0)),""))</f>
        <v/>
      </c>
      <c r="G305" s="2">
        <f>IF($D305="","",IFERROR(INDEX(Units_Owners!$D$5:$D$504,MATCH($D305,Units_Owners!$A$5:$A$504,0)),""))</f>
        <v/>
      </c>
      <c r="H305" s="12">
        <f>Setup!$B$7</f>
        <v/>
      </c>
      <c r="I305" s="12">
        <f>Setup!$B$8</f>
        <v/>
      </c>
      <c r="J305" s="13">
        <f>IF($D305="","",IFERROR(INDEX(Units_Owners!$J$5:$J$504,MATCH($D305,Units_Owners!$A$5:$A$504,0)),0)+SUMIFS(Ledger!$F:$F,Ledger!$B:$B,$D305,Ledger!$D:$D,"&lt;"&amp;$H305)-SUMIFS(Ledger!$G:$G,Ledger!$B:$B,$D305,Ledger!$D:$D,"&lt;"&amp;$H305))</f>
        <v/>
      </c>
      <c r="K305" s="13">
        <f>IF($D305="","",IFERROR(INDEX(Units_Owners!$H$5:$H$504,MATCH($D305,Units_Owners!$A$5:$A$504,0)),Setup!$B$10))</f>
        <v/>
      </c>
      <c r="L305" s="13">
        <f>IF($D305="","",Setup!$B$11)</f>
        <v/>
      </c>
      <c r="M305" s="13">
        <f>IF($D305="","",IF(AND(TODAY()&gt;=Setup!$B$9,$P305&gt;0),Setup!$B$12,0))</f>
        <v/>
      </c>
      <c r="N305" s="13">
        <f>IF($D305="","",SUM($J305:$M305))</f>
        <v/>
      </c>
      <c r="O305" s="13">
        <f>IF($A305="","",SUMIFS(Payments!$F:$F,Payments!$D:$D,$A305))</f>
        <v/>
      </c>
      <c r="P305" s="13">
        <f>IF($D305="","",MAX(0,$N305-$O305))</f>
        <v/>
      </c>
      <c r="Q305" s="2">
        <f>IF($D305="","",IF(IFERROR(INDEX(Units_Owners!$I$5:$I$504,MATCH($D305,Units_Owners!$A$5:$A$504,0)),"No")&lt;&gt;"Yes","Skip - Inactive",IF($P305=0,"Paid",IF(TODAY()&gt;$I305,"Past Due","Open"))))</f>
        <v/>
      </c>
      <c r="R305" s="12" t="n"/>
      <c r="S305" s="2" t="n"/>
    </row>
    <row r="306">
      <c r="A306" s="2">
        <f>IF($D306="","","INV-"&amp;$B306&amp;"-"&amp;$C306&amp;"-"&amp;TEXT(ROW(A302),"0000"))</f>
        <v/>
      </c>
      <c r="B306" s="2">
        <f>Setup!$B$5</f>
        <v/>
      </c>
      <c r="C306" s="2">
        <f>Setup!$B$6</f>
        <v/>
      </c>
      <c r="D306" s="2">
        <f>IFERROR(INDEX(Units_Owners!$A$5:$A$504,ROWS($A$5:A306)),"")</f>
        <v/>
      </c>
      <c r="E306" s="2">
        <f>IF($D306="","",IFERROR(INDEX(Units_Owners!$B$5:$B$504,MATCH($D306,Units_Owners!$A$5:$A$504,0)),""))</f>
        <v/>
      </c>
      <c r="F306" s="2">
        <f>IF($D306="","",IFERROR(INDEX(Units_Owners!$C$5:$C$504,MATCH($D306,Units_Owners!$A$5:$A$504,0)),""))</f>
        <v/>
      </c>
      <c r="G306" s="2">
        <f>IF($D306="","",IFERROR(INDEX(Units_Owners!$D$5:$D$504,MATCH($D306,Units_Owners!$A$5:$A$504,0)),""))</f>
        <v/>
      </c>
      <c r="H306" s="12">
        <f>Setup!$B$7</f>
        <v/>
      </c>
      <c r="I306" s="12">
        <f>Setup!$B$8</f>
        <v/>
      </c>
      <c r="J306" s="13">
        <f>IF($D306="","",IFERROR(INDEX(Units_Owners!$J$5:$J$504,MATCH($D306,Units_Owners!$A$5:$A$504,0)),0)+SUMIFS(Ledger!$F:$F,Ledger!$B:$B,$D306,Ledger!$D:$D,"&lt;"&amp;$H306)-SUMIFS(Ledger!$G:$G,Ledger!$B:$B,$D306,Ledger!$D:$D,"&lt;"&amp;$H306))</f>
        <v/>
      </c>
      <c r="K306" s="13">
        <f>IF($D306="","",IFERROR(INDEX(Units_Owners!$H$5:$H$504,MATCH($D306,Units_Owners!$A$5:$A$504,0)),Setup!$B$10))</f>
        <v/>
      </c>
      <c r="L306" s="13">
        <f>IF($D306="","",Setup!$B$11)</f>
        <v/>
      </c>
      <c r="M306" s="13">
        <f>IF($D306="","",IF(AND(TODAY()&gt;=Setup!$B$9,$P306&gt;0),Setup!$B$12,0))</f>
        <v/>
      </c>
      <c r="N306" s="13">
        <f>IF($D306="","",SUM($J306:$M306))</f>
        <v/>
      </c>
      <c r="O306" s="13">
        <f>IF($A306="","",SUMIFS(Payments!$F:$F,Payments!$D:$D,$A306))</f>
        <v/>
      </c>
      <c r="P306" s="13">
        <f>IF($D306="","",MAX(0,$N306-$O306))</f>
        <v/>
      </c>
      <c r="Q306" s="2">
        <f>IF($D306="","",IF(IFERROR(INDEX(Units_Owners!$I$5:$I$504,MATCH($D306,Units_Owners!$A$5:$A$504,0)),"No")&lt;&gt;"Yes","Skip - Inactive",IF($P306=0,"Paid",IF(TODAY()&gt;$I306,"Past Due","Open"))))</f>
        <v/>
      </c>
      <c r="R306" s="14" t="n"/>
      <c r="S306" s="6" t="n"/>
    </row>
    <row r="307">
      <c r="A307" s="2">
        <f>IF($D307="","","INV-"&amp;$B307&amp;"-"&amp;$C307&amp;"-"&amp;TEXT(ROW(A303),"0000"))</f>
        <v/>
      </c>
      <c r="B307" s="2">
        <f>Setup!$B$5</f>
        <v/>
      </c>
      <c r="C307" s="2">
        <f>Setup!$B$6</f>
        <v/>
      </c>
      <c r="D307" s="2">
        <f>IFERROR(INDEX(Units_Owners!$A$5:$A$504,ROWS($A$5:A307)),"")</f>
        <v/>
      </c>
      <c r="E307" s="2">
        <f>IF($D307="","",IFERROR(INDEX(Units_Owners!$B$5:$B$504,MATCH($D307,Units_Owners!$A$5:$A$504,0)),""))</f>
        <v/>
      </c>
      <c r="F307" s="2">
        <f>IF($D307="","",IFERROR(INDEX(Units_Owners!$C$5:$C$504,MATCH($D307,Units_Owners!$A$5:$A$504,0)),""))</f>
        <v/>
      </c>
      <c r="G307" s="2">
        <f>IF($D307="","",IFERROR(INDEX(Units_Owners!$D$5:$D$504,MATCH($D307,Units_Owners!$A$5:$A$504,0)),""))</f>
        <v/>
      </c>
      <c r="H307" s="12">
        <f>Setup!$B$7</f>
        <v/>
      </c>
      <c r="I307" s="12">
        <f>Setup!$B$8</f>
        <v/>
      </c>
      <c r="J307" s="13">
        <f>IF($D307="","",IFERROR(INDEX(Units_Owners!$J$5:$J$504,MATCH($D307,Units_Owners!$A$5:$A$504,0)),0)+SUMIFS(Ledger!$F:$F,Ledger!$B:$B,$D307,Ledger!$D:$D,"&lt;"&amp;$H307)-SUMIFS(Ledger!$G:$G,Ledger!$B:$B,$D307,Ledger!$D:$D,"&lt;"&amp;$H307))</f>
        <v/>
      </c>
      <c r="K307" s="13">
        <f>IF($D307="","",IFERROR(INDEX(Units_Owners!$H$5:$H$504,MATCH($D307,Units_Owners!$A$5:$A$504,0)),Setup!$B$10))</f>
        <v/>
      </c>
      <c r="L307" s="13">
        <f>IF($D307="","",Setup!$B$11)</f>
        <v/>
      </c>
      <c r="M307" s="13">
        <f>IF($D307="","",IF(AND(TODAY()&gt;=Setup!$B$9,$P307&gt;0),Setup!$B$12,0))</f>
        <v/>
      </c>
      <c r="N307" s="13">
        <f>IF($D307="","",SUM($J307:$M307))</f>
        <v/>
      </c>
      <c r="O307" s="13">
        <f>IF($A307="","",SUMIFS(Payments!$F:$F,Payments!$D:$D,$A307))</f>
        <v/>
      </c>
      <c r="P307" s="13">
        <f>IF($D307="","",MAX(0,$N307-$O307))</f>
        <v/>
      </c>
      <c r="Q307" s="2">
        <f>IF($D307="","",IF(IFERROR(INDEX(Units_Owners!$I$5:$I$504,MATCH($D307,Units_Owners!$A$5:$A$504,0)),"No")&lt;&gt;"Yes","Skip - Inactive",IF($P307=0,"Paid",IF(TODAY()&gt;$I307,"Past Due","Open"))))</f>
        <v/>
      </c>
      <c r="R307" s="12" t="n"/>
      <c r="S307" s="2" t="n"/>
    </row>
    <row r="308">
      <c r="A308" s="2">
        <f>IF($D308="","","INV-"&amp;$B308&amp;"-"&amp;$C308&amp;"-"&amp;TEXT(ROW(A304),"0000"))</f>
        <v/>
      </c>
      <c r="B308" s="2">
        <f>Setup!$B$5</f>
        <v/>
      </c>
      <c r="C308" s="2">
        <f>Setup!$B$6</f>
        <v/>
      </c>
      <c r="D308" s="2">
        <f>IFERROR(INDEX(Units_Owners!$A$5:$A$504,ROWS($A$5:A308)),"")</f>
        <v/>
      </c>
      <c r="E308" s="2">
        <f>IF($D308="","",IFERROR(INDEX(Units_Owners!$B$5:$B$504,MATCH($D308,Units_Owners!$A$5:$A$504,0)),""))</f>
        <v/>
      </c>
      <c r="F308" s="2">
        <f>IF($D308="","",IFERROR(INDEX(Units_Owners!$C$5:$C$504,MATCH($D308,Units_Owners!$A$5:$A$504,0)),""))</f>
        <v/>
      </c>
      <c r="G308" s="2">
        <f>IF($D308="","",IFERROR(INDEX(Units_Owners!$D$5:$D$504,MATCH($D308,Units_Owners!$A$5:$A$504,0)),""))</f>
        <v/>
      </c>
      <c r="H308" s="12">
        <f>Setup!$B$7</f>
        <v/>
      </c>
      <c r="I308" s="12">
        <f>Setup!$B$8</f>
        <v/>
      </c>
      <c r="J308" s="13">
        <f>IF($D308="","",IFERROR(INDEX(Units_Owners!$J$5:$J$504,MATCH($D308,Units_Owners!$A$5:$A$504,0)),0)+SUMIFS(Ledger!$F:$F,Ledger!$B:$B,$D308,Ledger!$D:$D,"&lt;"&amp;$H308)-SUMIFS(Ledger!$G:$G,Ledger!$B:$B,$D308,Ledger!$D:$D,"&lt;"&amp;$H308))</f>
        <v/>
      </c>
      <c r="K308" s="13">
        <f>IF($D308="","",IFERROR(INDEX(Units_Owners!$H$5:$H$504,MATCH($D308,Units_Owners!$A$5:$A$504,0)),Setup!$B$10))</f>
        <v/>
      </c>
      <c r="L308" s="13">
        <f>IF($D308="","",Setup!$B$11)</f>
        <v/>
      </c>
      <c r="M308" s="13">
        <f>IF($D308="","",IF(AND(TODAY()&gt;=Setup!$B$9,$P308&gt;0),Setup!$B$12,0))</f>
        <v/>
      </c>
      <c r="N308" s="13">
        <f>IF($D308="","",SUM($J308:$M308))</f>
        <v/>
      </c>
      <c r="O308" s="13">
        <f>IF($A308="","",SUMIFS(Payments!$F:$F,Payments!$D:$D,$A308))</f>
        <v/>
      </c>
      <c r="P308" s="13">
        <f>IF($D308="","",MAX(0,$N308-$O308))</f>
        <v/>
      </c>
      <c r="Q308" s="2">
        <f>IF($D308="","",IF(IFERROR(INDEX(Units_Owners!$I$5:$I$504,MATCH($D308,Units_Owners!$A$5:$A$504,0)),"No")&lt;&gt;"Yes","Skip - Inactive",IF($P308=0,"Paid",IF(TODAY()&gt;$I308,"Past Due","Open"))))</f>
        <v/>
      </c>
      <c r="R308" s="14" t="n"/>
      <c r="S308" s="6" t="n"/>
    </row>
    <row r="309">
      <c r="A309" s="2">
        <f>IF($D309="","","INV-"&amp;$B309&amp;"-"&amp;$C309&amp;"-"&amp;TEXT(ROW(A305),"0000"))</f>
        <v/>
      </c>
      <c r="B309" s="2">
        <f>Setup!$B$5</f>
        <v/>
      </c>
      <c r="C309" s="2">
        <f>Setup!$B$6</f>
        <v/>
      </c>
      <c r="D309" s="2">
        <f>IFERROR(INDEX(Units_Owners!$A$5:$A$504,ROWS($A$5:A309)),"")</f>
        <v/>
      </c>
      <c r="E309" s="2">
        <f>IF($D309="","",IFERROR(INDEX(Units_Owners!$B$5:$B$504,MATCH($D309,Units_Owners!$A$5:$A$504,0)),""))</f>
        <v/>
      </c>
      <c r="F309" s="2">
        <f>IF($D309="","",IFERROR(INDEX(Units_Owners!$C$5:$C$504,MATCH($D309,Units_Owners!$A$5:$A$504,0)),""))</f>
        <v/>
      </c>
      <c r="G309" s="2">
        <f>IF($D309="","",IFERROR(INDEX(Units_Owners!$D$5:$D$504,MATCH($D309,Units_Owners!$A$5:$A$504,0)),""))</f>
        <v/>
      </c>
      <c r="H309" s="12">
        <f>Setup!$B$7</f>
        <v/>
      </c>
      <c r="I309" s="12">
        <f>Setup!$B$8</f>
        <v/>
      </c>
      <c r="J309" s="13">
        <f>IF($D309="","",IFERROR(INDEX(Units_Owners!$J$5:$J$504,MATCH($D309,Units_Owners!$A$5:$A$504,0)),0)+SUMIFS(Ledger!$F:$F,Ledger!$B:$B,$D309,Ledger!$D:$D,"&lt;"&amp;$H309)-SUMIFS(Ledger!$G:$G,Ledger!$B:$B,$D309,Ledger!$D:$D,"&lt;"&amp;$H309))</f>
        <v/>
      </c>
      <c r="K309" s="13">
        <f>IF($D309="","",IFERROR(INDEX(Units_Owners!$H$5:$H$504,MATCH($D309,Units_Owners!$A$5:$A$504,0)),Setup!$B$10))</f>
        <v/>
      </c>
      <c r="L309" s="13">
        <f>IF($D309="","",Setup!$B$11)</f>
        <v/>
      </c>
      <c r="M309" s="13">
        <f>IF($D309="","",IF(AND(TODAY()&gt;=Setup!$B$9,$P309&gt;0),Setup!$B$12,0))</f>
        <v/>
      </c>
      <c r="N309" s="13">
        <f>IF($D309="","",SUM($J309:$M309))</f>
        <v/>
      </c>
      <c r="O309" s="13">
        <f>IF($A309="","",SUMIFS(Payments!$F:$F,Payments!$D:$D,$A309))</f>
        <v/>
      </c>
      <c r="P309" s="13">
        <f>IF($D309="","",MAX(0,$N309-$O309))</f>
        <v/>
      </c>
      <c r="Q309" s="2">
        <f>IF($D309="","",IF(IFERROR(INDEX(Units_Owners!$I$5:$I$504,MATCH($D309,Units_Owners!$A$5:$A$504,0)),"No")&lt;&gt;"Yes","Skip - Inactive",IF($P309=0,"Paid",IF(TODAY()&gt;$I309,"Past Due","Open"))))</f>
        <v/>
      </c>
      <c r="R309" s="12" t="n"/>
      <c r="S309" s="2" t="n"/>
    </row>
    <row r="310">
      <c r="A310" s="2">
        <f>IF($D310="","","INV-"&amp;$B310&amp;"-"&amp;$C310&amp;"-"&amp;TEXT(ROW(A306),"0000"))</f>
        <v/>
      </c>
      <c r="B310" s="2">
        <f>Setup!$B$5</f>
        <v/>
      </c>
      <c r="C310" s="2">
        <f>Setup!$B$6</f>
        <v/>
      </c>
      <c r="D310" s="2">
        <f>IFERROR(INDEX(Units_Owners!$A$5:$A$504,ROWS($A$5:A310)),"")</f>
        <v/>
      </c>
      <c r="E310" s="2">
        <f>IF($D310="","",IFERROR(INDEX(Units_Owners!$B$5:$B$504,MATCH($D310,Units_Owners!$A$5:$A$504,0)),""))</f>
        <v/>
      </c>
      <c r="F310" s="2">
        <f>IF($D310="","",IFERROR(INDEX(Units_Owners!$C$5:$C$504,MATCH($D310,Units_Owners!$A$5:$A$504,0)),""))</f>
        <v/>
      </c>
      <c r="G310" s="2">
        <f>IF($D310="","",IFERROR(INDEX(Units_Owners!$D$5:$D$504,MATCH($D310,Units_Owners!$A$5:$A$504,0)),""))</f>
        <v/>
      </c>
      <c r="H310" s="12">
        <f>Setup!$B$7</f>
        <v/>
      </c>
      <c r="I310" s="12">
        <f>Setup!$B$8</f>
        <v/>
      </c>
      <c r="J310" s="13">
        <f>IF($D310="","",IFERROR(INDEX(Units_Owners!$J$5:$J$504,MATCH($D310,Units_Owners!$A$5:$A$504,0)),0)+SUMIFS(Ledger!$F:$F,Ledger!$B:$B,$D310,Ledger!$D:$D,"&lt;"&amp;$H310)-SUMIFS(Ledger!$G:$G,Ledger!$B:$B,$D310,Ledger!$D:$D,"&lt;"&amp;$H310))</f>
        <v/>
      </c>
      <c r="K310" s="13">
        <f>IF($D310="","",IFERROR(INDEX(Units_Owners!$H$5:$H$504,MATCH($D310,Units_Owners!$A$5:$A$504,0)),Setup!$B$10))</f>
        <v/>
      </c>
      <c r="L310" s="13">
        <f>IF($D310="","",Setup!$B$11)</f>
        <v/>
      </c>
      <c r="M310" s="13">
        <f>IF($D310="","",IF(AND(TODAY()&gt;=Setup!$B$9,$P310&gt;0),Setup!$B$12,0))</f>
        <v/>
      </c>
      <c r="N310" s="13">
        <f>IF($D310="","",SUM($J310:$M310))</f>
        <v/>
      </c>
      <c r="O310" s="13">
        <f>IF($A310="","",SUMIFS(Payments!$F:$F,Payments!$D:$D,$A310))</f>
        <v/>
      </c>
      <c r="P310" s="13">
        <f>IF($D310="","",MAX(0,$N310-$O310))</f>
        <v/>
      </c>
      <c r="Q310" s="2">
        <f>IF($D310="","",IF(IFERROR(INDEX(Units_Owners!$I$5:$I$504,MATCH($D310,Units_Owners!$A$5:$A$504,0)),"No")&lt;&gt;"Yes","Skip - Inactive",IF($P310=0,"Paid",IF(TODAY()&gt;$I310,"Past Due","Open"))))</f>
        <v/>
      </c>
      <c r="R310" s="14" t="n"/>
      <c r="S310" s="6" t="n"/>
    </row>
    <row r="311">
      <c r="A311" s="2">
        <f>IF($D311="","","INV-"&amp;$B311&amp;"-"&amp;$C311&amp;"-"&amp;TEXT(ROW(A307),"0000"))</f>
        <v/>
      </c>
      <c r="B311" s="2">
        <f>Setup!$B$5</f>
        <v/>
      </c>
      <c r="C311" s="2">
        <f>Setup!$B$6</f>
        <v/>
      </c>
      <c r="D311" s="2">
        <f>IFERROR(INDEX(Units_Owners!$A$5:$A$504,ROWS($A$5:A311)),"")</f>
        <v/>
      </c>
      <c r="E311" s="2">
        <f>IF($D311="","",IFERROR(INDEX(Units_Owners!$B$5:$B$504,MATCH($D311,Units_Owners!$A$5:$A$504,0)),""))</f>
        <v/>
      </c>
      <c r="F311" s="2">
        <f>IF($D311="","",IFERROR(INDEX(Units_Owners!$C$5:$C$504,MATCH($D311,Units_Owners!$A$5:$A$504,0)),""))</f>
        <v/>
      </c>
      <c r="G311" s="2">
        <f>IF($D311="","",IFERROR(INDEX(Units_Owners!$D$5:$D$504,MATCH($D311,Units_Owners!$A$5:$A$504,0)),""))</f>
        <v/>
      </c>
      <c r="H311" s="12">
        <f>Setup!$B$7</f>
        <v/>
      </c>
      <c r="I311" s="12">
        <f>Setup!$B$8</f>
        <v/>
      </c>
      <c r="J311" s="13">
        <f>IF($D311="","",IFERROR(INDEX(Units_Owners!$J$5:$J$504,MATCH($D311,Units_Owners!$A$5:$A$504,0)),0)+SUMIFS(Ledger!$F:$F,Ledger!$B:$B,$D311,Ledger!$D:$D,"&lt;"&amp;$H311)-SUMIFS(Ledger!$G:$G,Ledger!$B:$B,$D311,Ledger!$D:$D,"&lt;"&amp;$H311))</f>
        <v/>
      </c>
      <c r="K311" s="13">
        <f>IF($D311="","",IFERROR(INDEX(Units_Owners!$H$5:$H$504,MATCH($D311,Units_Owners!$A$5:$A$504,0)),Setup!$B$10))</f>
        <v/>
      </c>
      <c r="L311" s="13">
        <f>IF($D311="","",Setup!$B$11)</f>
        <v/>
      </c>
      <c r="M311" s="13">
        <f>IF($D311="","",IF(AND(TODAY()&gt;=Setup!$B$9,$P311&gt;0),Setup!$B$12,0))</f>
        <v/>
      </c>
      <c r="N311" s="13">
        <f>IF($D311="","",SUM($J311:$M311))</f>
        <v/>
      </c>
      <c r="O311" s="13">
        <f>IF($A311="","",SUMIFS(Payments!$F:$F,Payments!$D:$D,$A311))</f>
        <v/>
      </c>
      <c r="P311" s="13">
        <f>IF($D311="","",MAX(0,$N311-$O311))</f>
        <v/>
      </c>
      <c r="Q311" s="2">
        <f>IF($D311="","",IF(IFERROR(INDEX(Units_Owners!$I$5:$I$504,MATCH($D311,Units_Owners!$A$5:$A$504,0)),"No")&lt;&gt;"Yes","Skip - Inactive",IF($P311=0,"Paid",IF(TODAY()&gt;$I311,"Past Due","Open"))))</f>
        <v/>
      </c>
      <c r="R311" s="12" t="n"/>
      <c r="S311" s="2" t="n"/>
    </row>
    <row r="312">
      <c r="A312" s="2">
        <f>IF($D312="","","INV-"&amp;$B312&amp;"-"&amp;$C312&amp;"-"&amp;TEXT(ROW(A308),"0000"))</f>
        <v/>
      </c>
      <c r="B312" s="2">
        <f>Setup!$B$5</f>
        <v/>
      </c>
      <c r="C312" s="2">
        <f>Setup!$B$6</f>
        <v/>
      </c>
      <c r="D312" s="2">
        <f>IFERROR(INDEX(Units_Owners!$A$5:$A$504,ROWS($A$5:A312)),"")</f>
        <v/>
      </c>
      <c r="E312" s="2">
        <f>IF($D312="","",IFERROR(INDEX(Units_Owners!$B$5:$B$504,MATCH($D312,Units_Owners!$A$5:$A$504,0)),""))</f>
        <v/>
      </c>
      <c r="F312" s="2">
        <f>IF($D312="","",IFERROR(INDEX(Units_Owners!$C$5:$C$504,MATCH($D312,Units_Owners!$A$5:$A$504,0)),""))</f>
        <v/>
      </c>
      <c r="G312" s="2">
        <f>IF($D312="","",IFERROR(INDEX(Units_Owners!$D$5:$D$504,MATCH($D312,Units_Owners!$A$5:$A$504,0)),""))</f>
        <v/>
      </c>
      <c r="H312" s="12">
        <f>Setup!$B$7</f>
        <v/>
      </c>
      <c r="I312" s="12">
        <f>Setup!$B$8</f>
        <v/>
      </c>
      <c r="J312" s="13">
        <f>IF($D312="","",IFERROR(INDEX(Units_Owners!$J$5:$J$504,MATCH($D312,Units_Owners!$A$5:$A$504,0)),0)+SUMIFS(Ledger!$F:$F,Ledger!$B:$B,$D312,Ledger!$D:$D,"&lt;"&amp;$H312)-SUMIFS(Ledger!$G:$G,Ledger!$B:$B,$D312,Ledger!$D:$D,"&lt;"&amp;$H312))</f>
        <v/>
      </c>
      <c r="K312" s="13">
        <f>IF($D312="","",IFERROR(INDEX(Units_Owners!$H$5:$H$504,MATCH($D312,Units_Owners!$A$5:$A$504,0)),Setup!$B$10))</f>
        <v/>
      </c>
      <c r="L312" s="13">
        <f>IF($D312="","",Setup!$B$11)</f>
        <v/>
      </c>
      <c r="M312" s="13">
        <f>IF($D312="","",IF(AND(TODAY()&gt;=Setup!$B$9,$P312&gt;0),Setup!$B$12,0))</f>
        <v/>
      </c>
      <c r="N312" s="13">
        <f>IF($D312="","",SUM($J312:$M312))</f>
        <v/>
      </c>
      <c r="O312" s="13">
        <f>IF($A312="","",SUMIFS(Payments!$F:$F,Payments!$D:$D,$A312))</f>
        <v/>
      </c>
      <c r="P312" s="13">
        <f>IF($D312="","",MAX(0,$N312-$O312))</f>
        <v/>
      </c>
      <c r="Q312" s="2">
        <f>IF($D312="","",IF(IFERROR(INDEX(Units_Owners!$I$5:$I$504,MATCH($D312,Units_Owners!$A$5:$A$504,0)),"No")&lt;&gt;"Yes","Skip - Inactive",IF($P312=0,"Paid",IF(TODAY()&gt;$I312,"Past Due","Open"))))</f>
        <v/>
      </c>
      <c r="R312" s="14" t="n"/>
      <c r="S312" s="6" t="n"/>
    </row>
    <row r="313">
      <c r="A313" s="2">
        <f>IF($D313="","","INV-"&amp;$B313&amp;"-"&amp;$C313&amp;"-"&amp;TEXT(ROW(A309),"0000"))</f>
        <v/>
      </c>
      <c r="B313" s="2">
        <f>Setup!$B$5</f>
        <v/>
      </c>
      <c r="C313" s="2">
        <f>Setup!$B$6</f>
        <v/>
      </c>
      <c r="D313" s="2">
        <f>IFERROR(INDEX(Units_Owners!$A$5:$A$504,ROWS($A$5:A313)),"")</f>
        <v/>
      </c>
      <c r="E313" s="2">
        <f>IF($D313="","",IFERROR(INDEX(Units_Owners!$B$5:$B$504,MATCH($D313,Units_Owners!$A$5:$A$504,0)),""))</f>
        <v/>
      </c>
      <c r="F313" s="2">
        <f>IF($D313="","",IFERROR(INDEX(Units_Owners!$C$5:$C$504,MATCH($D313,Units_Owners!$A$5:$A$504,0)),""))</f>
        <v/>
      </c>
      <c r="G313" s="2">
        <f>IF($D313="","",IFERROR(INDEX(Units_Owners!$D$5:$D$504,MATCH($D313,Units_Owners!$A$5:$A$504,0)),""))</f>
        <v/>
      </c>
      <c r="H313" s="12">
        <f>Setup!$B$7</f>
        <v/>
      </c>
      <c r="I313" s="12">
        <f>Setup!$B$8</f>
        <v/>
      </c>
      <c r="J313" s="13">
        <f>IF($D313="","",IFERROR(INDEX(Units_Owners!$J$5:$J$504,MATCH($D313,Units_Owners!$A$5:$A$504,0)),0)+SUMIFS(Ledger!$F:$F,Ledger!$B:$B,$D313,Ledger!$D:$D,"&lt;"&amp;$H313)-SUMIFS(Ledger!$G:$G,Ledger!$B:$B,$D313,Ledger!$D:$D,"&lt;"&amp;$H313))</f>
        <v/>
      </c>
      <c r="K313" s="13">
        <f>IF($D313="","",IFERROR(INDEX(Units_Owners!$H$5:$H$504,MATCH($D313,Units_Owners!$A$5:$A$504,0)),Setup!$B$10))</f>
        <v/>
      </c>
      <c r="L313" s="13">
        <f>IF($D313="","",Setup!$B$11)</f>
        <v/>
      </c>
      <c r="M313" s="13">
        <f>IF($D313="","",IF(AND(TODAY()&gt;=Setup!$B$9,$P313&gt;0),Setup!$B$12,0))</f>
        <v/>
      </c>
      <c r="N313" s="13">
        <f>IF($D313="","",SUM($J313:$M313))</f>
        <v/>
      </c>
      <c r="O313" s="13">
        <f>IF($A313="","",SUMIFS(Payments!$F:$F,Payments!$D:$D,$A313))</f>
        <v/>
      </c>
      <c r="P313" s="13">
        <f>IF($D313="","",MAX(0,$N313-$O313))</f>
        <v/>
      </c>
      <c r="Q313" s="2">
        <f>IF($D313="","",IF(IFERROR(INDEX(Units_Owners!$I$5:$I$504,MATCH($D313,Units_Owners!$A$5:$A$504,0)),"No")&lt;&gt;"Yes","Skip - Inactive",IF($P313=0,"Paid",IF(TODAY()&gt;$I313,"Past Due","Open"))))</f>
        <v/>
      </c>
      <c r="R313" s="12" t="n"/>
      <c r="S313" s="2" t="n"/>
    </row>
    <row r="314">
      <c r="A314" s="2">
        <f>IF($D314="","","INV-"&amp;$B314&amp;"-"&amp;$C314&amp;"-"&amp;TEXT(ROW(A310),"0000"))</f>
        <v/>
      </c>
      <c r="B314" s="2">
        <f>Setup!$B$5</f>
        <v/>
      </c>
      <c r="C314" s="2">
        <f>Setup!$B$6</f>
        <v/>
      </c>
      <c r="D314" s="2">
        <f>IFERROR(INDEX(Units_Owners!$A$5:$A$504,ROWS($A$5:A314)),"")</f>
        <v/>
      </c>
      <c r="E314" s="2">
        <f>IF($D314="","",IFERROR(INDEX(Units_Owners!$B$5:$B$504,MATCH($D314,Units_Owners!$A$5:$A$504,0)),""))</f>
        <v/>
      </c>
      <c r="F314" s="2">
        <f>IF($D314="","",IFERROR(INDEX(Units_Owners!$C$5:$C$504,MATCH($D314,Units_Owners!$A$5:$A$504,0)),""))</f>
        <v/>
      </c>
      <c r="G314" s="2">
        <f>IF($D314="","",IFERROR(INDEX(Units_Owners!$D$5:$D$504,MATCH($D314,Units_Owners!$A$5:$A$504,0)),""))</f>
        <v/>
      </c>
      <c r="H314" s="12">
        <f>Setup!$B$7</f>
        <v/>
      </c>
      <c r="I314" s="12">
        <f>Setup!$B$8</f>
        <v/>
      </c>
      <c r="J314" s="13">
        <f>IF($D314="","",IFERROR(INDEX(Units_Owners!$J$5:$J$504,MATCH($D314,Units_Owners!$A$5:$A$504,0)),0)+SUMIFS(Ledger!$F:$F,Ledger!$B:$B,$D314,Ledger!$D:$D,"&lt;"&amp;$H314)-SUMIFS(Ledger!$G:$G,Ledger!$B:$B,$D314,Ledger!$D:$D,"&lt;"&amp;$H314))</f>
        <v/>
      </c>
      <c r="K314" s="13">
        <f>IF($D314="","",IFERROR(INDEX(Units_Owners!$H$5:$H$504,MATCH($D314,Units_Owners!$A$5:$A$504,0)),Setup!$B$10))</f>
        <v/>
      </c>
      <c r="L314" s="13">
        <f>IF($D314="","",Setup!$B$11)</f>
        <v/>
      </c>
      <c r="M314" s="13">
        <f>IF($D314="","",IF(AND(TODAY()&gt;=Setup!$B$9,$P314&gt;0),Setup!$B$12,0))</f>
        <v/>
      </c>
      <c r="N314" s="13">
        <f>IF($D314="","",SUM($J314:$M314))</f>
        <v/>
      </c>
      <c r="O314" s="13">
        <f>IF($A314="","",SUMIFS(Payments!$F:$F,Payments!$D:$D,$A314))</f>
        <v/>
      </c>
      <c r="P314" s="13">
        <f>IF($D314="","",MAX(0,$N314-$O314))</f>
        <v/>
      </c>
      <c r="Q314" s="2">
        <f>IF($D314="","",IF(IFERROR(INDEX(Units_Owners!$I$5:$I$504,MATCH($D314,Units_Owners!$A$5:$A$504,0)),"No")&lt;&gt;"Yes","Skip - Inactive",IF($P314=0,"Paid",IF(TODAY()&gt;$I314,"Past Due","Open"))))</f>
        <v/>
      </c>
      <c r="R314" s="14" t="n"/>
      <c r="S314" s="6" t="n"/>
    </row>
    <row r="315">
      <c r="A315" s="2">
        <f>IF($D315="","","INV-"&amp;$B315&amp;"-"&amp;$C315&amp;"-"&amp;TEXT(ROW(A311),"0000"))</f>
        <v/>
      </c>
      <c r="B315" s="2">
        <f>Setup!$B$5</f>
        <v/>
      </c>
      <c r="C315" s="2">
        <f>Setup!$B$6</f>
        <v/>
      </c>
      <c r="D315" s="2">
        <f>IFERROR(INDEX(Units_Owners!$A$5:$A$504,ROWS($A$5:A315)),"")</f>
        <v/>
      </c>
      <c r="E315" s="2">
        <f>IF($D315="","",IFERROR(INDEX(Units_Owners!$B$5:$B$504,MATCH($D315,Units_Owners!$A$5:$A$504,0)),""))</f>
        <v/>
      </c>
      <c r="F315" s="2">
        <f>IF($D315="","",IFERROR(INDEX(Units_Owners!$C$5:$C$504,MATCH($D315,Units_Owners!$A$5:$A$504,0)),""))</f>
        <v/>
      </c>
      <c r="G315" s="2">
        <f>IF($D315="","",IFERROR(INDEX(Units_Owners!$D$5:$D$504,MATCH($D315,Units_Owners!$A$5:$A$504,0)),""))</f>
        <v/>
      </c>
      <c r="H315" s="12">
        <f>Setup!$B$7</f>
        <v/>
      </c>
      <c r="I315" s="12">
        <f>Setup!$B$8</f>
        <v/>
      </c>
      <c r="J315" s="13">
        <f>IF($D315="","",IFERROR(INDEX(Units_Owners!$J$5:$J$504,MATCH($D315,Units_Owners!$A$5:$A$504,0)),0)+SUMIFS(Ledger!$F:$F,Ledger!$B:$B,$D315,Ledger!$D:$D,"&lt;"&amp;$H315)-SUMIFS(Ledger!$G:$G,Ledger!$B:$B,$D315,Ledger!$D:$D,"&lt;"&amp;$H315))</f>
        <v/>
      </c>
      <c r="K315" s="13">
        <f>IF($D315="","",IFERROR(INDEX(Units_Owners!$H$5:$H$504,MATCH($D315,Units_Owners!$A$5:$A$504,0)),Setup!$B$10))</f>
        <v/>
      </c>
      <c r="L315" s="13">
        <f>IF($D315="","",Setup!$B$11)</f>
        <v/>
      </c>
      <c r="M315" s="13">
        <f>IF($D315="","",IF(AND(TODAY()&gt;=Setup!$B$9,$P315&gt;0),Setup!$B$12,0))</f>
        <v/>
      </c>
      <c r="N315" s="13">
        <f>IF($D315="","",SUM($J315:$M315))</f>
        <v/>
      </c>
      <c r="O315" s="13">
        <f>IF($A315="","",SUMIFS(Payments!$F:$F,Payments!$D:$D,$A315))</f>
        <v/>
      </c>
      <c r="P315" s="13">
        <f>IF($D315="","",MAX(0,$N315-$O315))</f>
        <v/>
      </c>
      <c r="Q315" s="2">
        <f>IF($D315="","",IF(IFERROR(INDEX(Units_Owners!$I$5:$I$504,MATCH($D315,Units_Owners!$A$5:$A$504,0)),"No")&lt;&gt;"Yes","Skip - Inactive",IF($P315=0,"Paid",IF(TODAY()&gt;$I315,"Past Due","Open"))))</f>
        <v/>
      </c>
      <c r="R315" s="12" t="n"/>
      <c r="S315" s="2" t="n"/>
    </row>
    <row r="316">
      <c r="A316" s="2">
        <f>IF($D316="","","INV-"&amp;$B316&amp;"-"&amp;$C316&amp;"-"&amp;TEXT(ROW(A312),"0000"))</f>
        <v/>
      </c>
      <c r="B316" s="2">
        <f>Setup!$B$5</f>
        <v/>
      </c>
      <c r="C316" s="2">
        <f>Setup!$B$6</f>
        <v/>
      </c>
      <c r="D316" s="2">
        <f>IFERROR(INDEX(Units_Owners!$A$5:$A$504,ROWS($A$5:A316)),"")</f>
        <v/>
      </c>
      <c r="E316" s="2">
        <f>IF($D316="","",IFERROR(INDEX(Units_Owners!$B$5:$B$504,MATCH($D316,Units_Owners!$A$5:$A$504,0)),""))</f>
        <v/>
      </c>
      <c r="F316" s="2">
        <f>IF($D316="","",IFERROR(INDEX(Units_Owners!$C$5:$C$504,MATCH($D316,Units_Owners!$A$5:$A$504,0)),""))</f>
        <v/>
      </c>
      <c r="G316" s="2">
        <f>IF($D316="","",IFERROR(INDEX(Units_Owners!$D$5:$D$504,MATCH($D316,Units_Owners!$A$5:$A$504,0)),""))</f>
        <v/>
      </c>
      <c r="H316" s="12">
        <f>Setup!$B$7</f>
        <v/>
      </c>
      <c r="I316" s="12">
        <f>Setup!$B$8</f>
        <v/>
      </c>
      <c r="J316" s="13">
        <f>IF($D316="","",IFERROR(INDEX(Units_Owners!$J$5:$J$504,MATCH($D316,Units_Owners!$A$5:$A$504,0)),0)+SUMIFS(Ledger!$F:$F,Ledger!$B:$B,$D316,Ledger!$D:$D,"&lt;"&amp;$H316)-SUMIFS(Ledger!$G:$G,Ledger!$B:$B,$D316,Ledger!$D:$D,"&lt;"&amp;$H316))</f>
        <v/>
      </c>
      <c r="K316" s="13">
        <f>IF($D316="","",IFERROR(INDEX(Units_Owners!$H$5:$H$504,MATCH($D316,Units_Owners!$A$5:$A$504,0)),Setup!$B$10))</f>
        <v/>
      </c>
      <c r="L316" s="13">
        <f>IF($D316="","",Setup!$B$11)</f>
        <v/>
      </c>
      <c r="M316" s="13">
        <f>IF($D316="","",IF(AND(TODAY()&gt;=Setup!$B$9,$P316&gt;0),Setup!$B$12,0))</f>
        <v/>
      </c>
      <c r="N316" s="13">
        <f>IF($D316="","",SUM($J316:$M316))</f>
        <v/>
      </c>
      <c r="O316" s="13">
        <f>IF($A316="","",SUMIFS(Payments!$F:$F,Payments!$D:$D,$A316))</f>
        <v/>
      </c>
      <c r="P316" s="13">
        <f>IF($D316="","",MAX(0,$N316-$O316))</f>
        <v/>
      </c>
      <c r="Q316" s="2">
        <f>IF($D316="","",IF(IFERROR(INDEX(Units_Owners!$I$5:$I$504,MATCH($D316,Units_Owners!$A$5:$A$504,0)),"No")&lt;&gt;"Yes","Skip - Inactive",IF($P316=0,"Paid",IF(TODAY()&gt;$I316,"Past Due","Open"))))</f>
        <v/>
      </c>
      <c r="R316" s="14" t="n"/>
      <c r="S316" s="6" t="n"/>
    </row>
    <row r="317">
      <c r="A317" s="2">
        <f>IF($D317="","","INV-"&amp;$B317&amp;"-"&amp;$C317&amp;"-"&amp;TEXT(ROW(A313),"0000"))</f>
        <v/>
      </c>
      <c r="B317" s="2">
        <f>Setup!$B$5</f>
        <v/>
      </c>
      <c r="C317" s="2">
        <f>Setup!$B$6</f>
        <v/>
      </c>
      <c r="D317" s="2">
        <f>IFERROR(INDEX(Units_Owners!$A$5:$A$504,ROWS($A$5:A317)),"")</f>
        <v/>
      </c>
      <c r="E317" s="2">
        <f>IF($D317="","",IFERROR(INDEX(Units_Owners!$B$5:$B$504,MATCH($D317,Units_Owners!$A$5:$A$504,0)),""))</f>
        <v/>
      </c>
      <c r="F317" s="2">
        <f>IF($D317="","",IFERROR(INDEX(Units_Owners!$C$5:$C$504,MATCH($D317,Units_Owners!$A$5:$A$504,0)),""))</f>
        <v/>
      </c>
      <c r="G317" s="2">
        <f>IF($D317="","",IFERROR(INDEX(Units_Owners!$D$5:$D$504,MATCH($D317,Units_Owners!$A$5:$A$504,0)),""))</f>
        <v/>
      </c>
      <c r="H317" s="12">
        <f>Setup!$B$7</f>
        <v/>
      </c>
      <c r="I317" s="12">
        <f>Setup!$B$8</f>
        <v/>
      </c>
      <c r="J317" s="13">
        <f>IF($D317="","",IFERROR(INDEX(Units_Owners!$J$5:$J$504,MATCH($D317,Units_Owners!$A$5:$A$504,0)),0)+SUMIFS(Ledger!$F:$F,Ledger!$B:$B,$D317,Ledger!$D:$D,"&lt;"&amp;$H317)-SUMIFS(Ledger!$G:$G,Ledger!$B:$B,$D317,Ledger!$D:$D,"&lt;"&amp;$H317))</f>
        <v/>
      </c>
      <c r="K317" s="13">
        <f>IF($D317="","",IFERROR(INDEX(Units_Owners!$H$5:$H$504,MATCH($D317,Units_Owners!$A$5:$A$504,0)),Setup!$B$10))</f>
        <v/>
      </c>
      <c r="L317" s="13">
        <f>IF($D317="","",Setup!$B$11)</f>
        <v/>
      </c>
      <c r="M317" s="13">
        <f>IF($D317="","",IF(AND(TODAY()&gt;=Setup!$B$9,$P317&gt;0),Setup!$B$12,0))</f>
        <v/>
      </c>
      <c r="N317" s="13">
        <f>IF($D317="","",SUM($J317:$M317))</f>
        <v/>
      </c>
      <c r="O317" s="13">
        <f>IF($A317="","",SUMIFS(Payments!$F:$F,Payments!$D:$D,$A317))</f>
        <v/>
      </c>
      <c r="P317" s="13">
        <f>IF($D317="","",MAX(0,$N317-$O317))</f>
        <v/>
      </c>
      <c r="Q317" s="2">
        <f>IF($D317="","",IF(IFERROR(INDEX(Units_Owners!$I$5:$I$504,MATCH($D317,Units_Owners!$A$5:$A$504,0)),"No")&lt;&gt;"Yes","Skip - Inactive",IF($P317=0,"Paid",IF(TODAY()&gt;$I317,"Past Due","Open"))))</f>
        <v/>
      </c>
      <c r="R317" s="12" t="n"/>
      <c r="S317" s="2" t="n"/>
    </row>
    <row r="318">
      <c r="A318" s="2">
        <f>IF($D318="","","INV-"&amp;$B318&amp;"-"&amp;$C318&amp;"-"&amp;TEXT(ROW(A314),"0000"))</f>
        <v/>
      </c>
      <c r="B318" s="2">
        <f>Setup!$B$5</f>
        <v/>
      </c>
      <c r="C318" s="2">
        <f>Setup!$B$6</f>
        <v/>
      </c>
      <c r="D318" s="2">
        <f>IFERROR(INDEX(Units_Owners!$A$5:$A$504,ROWS($A$5:A318)),"")</f>
        <v/>
      </c>
      <c r="E318" s="2">
        <f>IF($D318="","",IFERROR(INDEX(Units_Owners!$B$5:$B$504,MATCH($D318,Units_Owners!$A$5:$A$504,0)),""))</f>
        <v/>
      </c>
      <c r="F318" s="2">
        <f>IF($D318="","",IFERROR(INDEX(Units_Owners!$C$5:$C$504,MATCH($D318,Units_Owners!$A$5:$A$504,0)),""))</f>
        <v/>
      </c>
      <c r="G318" s="2">
        <f>IF($D318="","",IFERROR(INDEX(Units_Owners!$D$5:$D$504,MATCH($D318,Units_Owners!$A$5:$A$504,0)),""))</f>
        <v/>
      </c>
      <c r="H318" s="12">
        <f>Setup!$B$7</f>
        <v/>
      </c>
      <c r="I318" s="12">
        <f>Setup!$B$8</f>
        <v/>
      </c>
      <c r="J318" s="13">
        <f>IF($D318="","",IFERROR(INDEX(Units_Owners!$J$5:$J$504,MATCH($D318,Units_Owners!$A$5:$A$504,0)),0)+SUMIFS(Ledger!$F:$F,Ledger!$B:$B,$D318,Ledger!$D:$D,"&lt;"&amp;$H318)-SUMIFS(Ledger!$G:$G,Ledger!$B:$B,$D318,Ledger!$D:$D,"&lt;"&amp;$H318))</f>
        <v/>
      </c>
      <c r="K318" s="13">
        <f>IF($D318="","",IFERROR(INDEX(Units_Owners!$H$5:$H$504,MATCH($D318,Units_Owners!$A$5:$A$504,0)),Setup!$B$10))</f>
        <v/>
      </c>
      <c r="L318" s="13">
        <f>IF($D318="","",Setup!$B$11)</f>
        <v/>
      </c>
      <c r="M318" s="13">
        <f>IF($D318="","",IF(AND(TODAY()&gt;=Setup!$B$9,$P318&gt;0),Setup!$B$12,0))</f>
        <v/>
      </c>
      <c r="N318" s="13">
        <f>IF($D318="","",SUM($J318:$M318))</f>
        <v/>
      </c>
      <c r="O318" s="13">
        <f>IF($A318="","",SUMIFS(Payments!$F:$F,Payments!$D:$D,$A318))</f>
        <v/>
      </c>
      <c r="P318" s="13">
        <f>IF($D318="","",MAX(0,$N318-$O318))</f>
        <v/>
      </c>
      <c r="Q318" s="2">
        <f>IF($D318="","",IF(IFERROR(INDEX(Units_Owners!$I$5:$I$504,MATCH($D318,Units_Owners!$A$5:$A$504,0)),"No")&lt;&gt;"Yes","Skip - Inactive",IF($P318=0,"Paid",IF(TODAY()&gt;$I318,"Past Due","Open"))))</f>
        <v/>
      </c>
      <c r="R318" s="14" t="n"/>
      <c r="S318" s="6" t="n"/>
    </row>
    <row r="319">
      <c r="A319" s="2">
        <f>IF($D319="","","INV-"&amp;$B319&amp;"-"&amp;$C319&amp;"-"&amp;TEXT(ROW(A315),"0000"))</f>
        <v/>
      </c>
      <c r="B319" s="2">
        <f>Setup!$B$5</f>
        <v/>
      </c>
      <c r="C319" s="2">
        <f>Setup!$B$6</f>
        <v/>
      </c>
      <c r="D319" s="2">
        <f>IFERROR(INDEX(Units_Owners!$A$5:$A$504,ROWS($A$5:A319)),"")</f>
        <v/>
      </c>
      <c r="E319" s="2">
        <f>IF($D319="","",IFERROR(INDEX(Units_Owners!$B$5:$B$504,MATCH($D319,Units_Owners!$A$5:$A$504,0)),""))</f>
        <v/>
      </c>
      <c r="F319" s="2">
        <f>IF($D319="","",IFERROR(INDEX(Units_Owners!$C$5:$C$504,MATCH($D319,Units_Owners!$A$5:$A$504,0)),""))</f>
        <v/>
      </c>
      <c r="G319" s="2">
        <f>IF($D319="","",IFERROR(INDEX(Units_Owners!$D$5:$D$504,MATCH($D319,Units_Owners!$A$5:$A$504,0)),""))</f>
        <v/>
      </c>
      <c r="H319" s="12">
        <f>Setup!$B$7</f>
        <v/>
      </c>
      <c r="I319" s="12">
        <f>Setup!$B$8</f>
        <v/>
      </c>
      <c r="J319" s="13">
        <f>IF($D319="","",IFERROR(INDEX(Units_Owners!$J$5:$J$504,MATCH($D319,Units_Owners!$A$5:$A$504,0)),0)+SUMIFS(Ledger!$F:$F,Ledger!$B:$B,$D319,Ledger!$D:$D,"&lt;"&amp;$H319)-SUMIFS(Ledger!$G:$G,Ledger!$B:$B,$D319,Ledger!$D:$D,"&lt;"&amp;$H319))</f>
        <v/>
      </c>
      <c r="K319" s="13">
        <f>IF($D319="","",IFERROR(INDEX(Units_Owners!$H$5:$H$504,MATCH($D319,Units_Owners!$A$5:$A$504,0)),Setup!$B$10))</f>
        <v/>
      </c>
      <c r="L319" s="13">
        <f>IF($D319="","",Setup!$B$11)</f>
        <v/>
      </c>
      <c r="M319" s="13">
        <f>IF($D319="","",IF(AND(TODAY()&gt;=Setup!$B$9,$P319&gt;0),Setup!$B$12,0))</f>
        <v/>
      </c>
      <c r="N319" s="13">
        <f>IF($D319="","",SUM($J319:$M319))</f>
        <v/>
      </c>
      <c r="O319" s="13">
        <f>IF($A319="","",SUMIFS(Payments!$F:$F,Payments!$D:$D,$A319))</f>
        <v/>
      </c>
      <c r="P319" s="13">
        <f>IF($D319="","",MAX(0,$N319-$O319))</f>
        <v/>
      </c>
      <c r="Q319" s="2">
        <f>IF($D319="","",IF(IFERROR(INDEX(Units_Owners!$I$5:$I$504,MATCH($D319,Units_Owners!$A$5:$A$504,0)),"No")&lt;&gt;"Yes","Skip - Inactive",IF($P319=0,"Paid",IF(TODAY()&gt;$I319,"Past Due","Open"))))</f>
        <v/>
      </c>
      <c r="R319" s="12" t="n"/>
      <c r="S319" s="2" t="n"/>
    </row>
    <row r="320">
      <c r="A320" s="2">
        <f>IF($D320="","","INV-"&amp;$B320&amp;"-"&amp;$C320&amp;"-"&amp;TEXT(ROW(A316),"0000"))</f>
        <v/>
      </c>
      <c r="B320" s="2">
        <f>Setup!$B$5</f>
        <v/>
      </c>
      <c r="C320" s="2">
        <f>Setup!$B$6</f>
        <v/>
      </c>
      <c r="D320" s="2">
        <f>IFERROR(INDEX(Units_Owners!$A$5:$A$504,ROWS($A$5:A320)),"")</f>
        <v/>
      </c>
      <c r="E320" s="2">
        <f>IF($D320="","",IFERROR(INDEX(Units_Owners!$B$5:$B$504,MATCH($D320,Units_Owners!$A$5:$A$504,0)),""))</f>
        <v/>
      </c>
      <c r="F320" s="2">
        <f>IF($D320="","",IFERROR(INDEX(Units_Owners!$C$5:$C$504,MATCH($D320,Units_Owners!$A$5:$A$504,0)),""))</f>
        <v/>
      </c>
      <c r="G320" s="2">
        <f>IF($D320="","",IFERROR(INDEX(Units_Owners!$D$5:$D$504,MATCH($D320,Units_Owners!$A$5:$A$504,0)),""))</f>
        <v/>
      </c>
      <c r="H320" s="12">
        <f>Setup!$B$7</f>
        <v/>
      </c>
      <c r="I320" s="12">
        <f>Setup!$B$8</f>
        <v/>
      </c>
      <c r="J320" s="13">
        <f>IF($D320="","",IFERROR(INDEX(Units_Owners!$J$5:$J$504,MATCH($D320,Units_Owners!$A$5:$A$504,0)),0)+SUMIFS(Ledger!$F:$F,Ledger!$B:$B,$D320,Ledger!$D:$D,"&lt;"&amp;$H320)-SUMIFS(Ledger!$G:$G,Ledger!$B:$B,$D320,Ledger!$D:$D,"&lt;"&amp;$H320))</f>
        <v/>
      </c>
      <c r="K320" s="13">
        <f>IF($D320="","",IFERROR(INDEX(Units_Owners!$H$5:$H$504,MATCH($D320,Units_Owners!$A$5:$A$504,0)),Setup!$B$10))</f>
        <v/>
      </c>
      <c r="L320" s="13">
        <f>IF($D320="","",Setup!$B$11)</f>
        <v/>
      </c>
      <c r="M320" s="13">
        <f>IF($D320="","",IF(AND(TODAY()&gt;=Setup!$B$9,$P320&gt;0),Setup!$B$12,0))</f>
        <v/>
      </c>
      <c r="N320" s="13">
        <f>IF($D320="","",SUM($J320:$M320))</f>
        <v/>
      </c>
      <c r="O320" s="13">
        <f>IF($A320="","",SUMIFS(Payments!$F:$F,Payments!$D:$D,$A320))</f>
        <v/>
      </c>
      <c r="P320" s="13">
        <f>IF($D320="","",MAX(0,$N320-$O320))</f>
        <v/>
      </c>
      <c r="Q320" s="2">
        <f>IF($D320="","",IF(IFERROR(INDEX(Units_Owners!$I$5:$I$504,MATCH($D320,Units_Owners!$A$5:$A$504,0)),"No")&lt;&gt;"Yes","Skip - Inactive",IF($P320=0,"Paid",IF(TODAY()&gt;$I320,"Past Due","Open"))))</f>
        <v/>
      </c>
      <c r="R320" s="14" t="n"/>
      <c r="S320" s="6" t="n"/>
    </row>
    <row r="321">
      <c r="A321" s="2">
        <f>IF($D321="","","INV-"&amp;$B321&amp;"-"&amp;$C321&amp;"-"&amp;TEXT(ROW(A317),"0000"))</f>
        <v/>
      </c>
      <c r="B321" s="2">
        <f>Setup!$B$5</f>
        <v/>
      </c>
      <c r="C321" s="2">
        <f>Setup!$B$6</f>
        <v/>
      </c>
      <c r="D321" s="2">
        <f>IFERROR(INDEX(Units_Owners!$A$5:$A$504,ROWS($A$5:A321)),"")</f>
        <v/>
      </c>
      <c r="E321" s="2">
        <f>IF($D321="","",IFERROR(INDEX(Units_Owners!$B$5:$B$504,MATCH($D321,Units_Owners!$A$5:$A$504,0)),""))</f>
        <v/>
      </c>
      <c r="F321" s="2">
        <f>IF($D321="","",IFERROR(INDEX(Units_Owners!$C$5:$C$504,MATCH($D321,Units_Owners!$A$5:$A$504,0)),""))</f>
        <v/>
      </c>
      <c r="G321" s="2">
        <f>IF($D321="","",IFERROR(INDEX(Units_Owners!$D$5:$D$504,MATCH($D321,Units_Owners!$A$5:$A$504,0)),""))</f>
        <v/>
      </c>
      <c r="H321" s="12">
        <f>Setup!$B$7</f>
        <v/>
      </c>
      <c r="I321" s="12">
        <f>Setup!$B$8</f>
        <v/>
      </c>
      <c r="J321" s="13">
        <f>IF($D321="","",IFERROR(INDEX(Units_Owners!$J$5:$J$504,MATCH($D321,Units_Owners!$A$5:$A$504,0)),0)+SUMIFS(Ledger!$F:$F,Ledger!$B:$B,$D321,Ledger!$D:$D,"&lt;"&amp;$H321)-SUMIFS(Ledger!$G:$G,Ledger!$B:$B,$D321,Ledger!$D:$D,"&lt;"&amp;$H321))</f>
        <v/>
      </c>
      <c r="K321" s="13">
        <f>IF($D321="","",IFERROR(INDEX(Units_Owners!$H$5:$H$504,MATCH($D321,Units_Owners!$A$5:$A$504,0)),Setup!$B$10))</f>
        <v/>
      </c>
      <c r="L321" s="13">
        <f>IF($D321="","",Setup!$B$11)</f>
        <v/>
      </c>
      <c r="M321" s="13">
        <f>IF($D321="","",IF(AND(TODAY()&gt;=Setup!$B$9,$P321&gt;0),Setup!$B$12,0))</f>
        <v/>
      </c>
      <c r="N321" s="13">
        <f>IF($D321="","",SUM($J321:$M321))</f>
        <v/>
      </c>
      <c r="O321" s="13">
        <f>IF($A321="","",SUMIFS(Payments!$F:$F,Payments!$D:$D,$A321))</f>
        <v/>
      </c>
      <c r="P321" s="13">
        <f>IF($D321="","",MAX(0,$N321-$O321))</f>
        <v/>
      </c>
      <c r="Q321" s="2">
        <f>IF($D321="","",IF(IFERROR(INDEX(Units_Owners!$I$5:$I$504,MATCH($D321,Units_Owners!$A$5:$A$504,0)),"No")&lt;&gt;"Yes","Skip - Inactive",IF($P321=0,"Paid",IF(TODAY()&gt;$I321,"Past Due","Open"))))</f>
        <v/>
      </c>
      <c r="R321" s="12" t="n"/>
      <c r="S321" s="2" t="n"/>
    </row>
    <row r="322">
      <c r="A322" s="2">
        <f>IF($D322="","","INV-"&amp;$B322&amp;"-"&amp;$C322&amp;"-"&amp;TEXT(ROW(A318),"0000"))</f>
        <v/>
      </c>
      <c r="B322" s="2">
        <f>Setup!$B$5</f>
        <v/>
      </c>
      <c r="C322" s="2">
        <f>Setup!$B$6</f>
        <v/>
      </c>
      <c r="D322" s="2">
        <f>IFERROR(INDEX(Units_Owners!$A$5:$A$504,ROWS($A$5:A322)),"")</f>
        <v/>
      </c>
      <c r="E322" s="2">
        <f>IF($D322="","",IFERROR(INDEX(Units_Owners!$B$5:$B$504,MATCH($D322,Units_Owners!$A$5:$A$504,0)),""))</f>
        <v/>
      </c>
      <c r="F322" s="2">
        <f>IF($D322="","",IFERROR(INDEX(Units_Owners!$C$5:$C$504,MATCH($D322,Units_Owners!$A$5:$A$504,0)),""))</f>
        <v/>
      </c>
      <c r="G322" s="2">
        <f>IF($D322="","",IFERROR(INDEX(Units_Owners!$D$5:$D$504,MATCH($D322,Units_Owners!$A$5:$A$504,0)),""))</f>
        <v/>
      </c>
      <c r="H322" s="12">
        <f>Setup!$B$7</f>
        <v/>
      </c>
      <c r="I322" s="12">
        <f>Setup!$B$8</f>
        <v/>
      </c>
      <c r="J322" s="13">
        <f>IF($D322="","",IFERROR(INDEX(Units_Owners!$J$5:$J$504,MATCH($D322,Units_Owners!$A$5:$A$504,0)),0)+SUMIFS(Ledger!$F:$F,Ledger!$B:$B,$D322,Ledger!$D:$D,"&lt;"&amp;$H322)-SUMIFS(Ledger!$G:$G,Ledger!$B:$B,$D322,Ledger!$D:$D,"&lt;"&amp;$H322))</f>
        <v/>
      </c>
      <c r="K322" s="13">
        <f>IF($D322="","",IFERROR(INDEX(Units_Owners!$H$5:$H$504,MATCH($D322,Units_Owners!$A$5:$A$504,0)),Setup!$B$10))</f>
        <v/>
      </c>
      <c r="L322" s="13">
        <f>IF($D322="","",Setup!$B$11)</f>
        <v/>
      </c>
      <c r="M322" s="13">
        <f>IF($D322="","",IF(AND(TODAY()&gt;=Setup!$B$9,$P322&gt;0),Setup!$B$12,0))</f>
        <v/>
      </c>
      <c r="N322" s="13">
        <f>IF($D322="","",SUM($J322:$M322))</f>
        <v/>
      </c>
      <c r="O322" s="13">
        <f>IF($A322="","",SUMIFS(Payments!$F:$F,Payments!$D:$D,$A322))</f>
        <v/>
      </c>
      <c r="P322" s="13">
        <f>IF($D322="","",MAX(0,$N322-$O322))</f>
        <v/>
      </c>
      <c r="Q322" s="2">
        <f>IF($D322="","",IF(IFERROR(INDEX(Units_Owners!$I$5:$I$504,MATCH($D322,Units_Owners!$A$5:$A$504,0)),"No")&lt;&gt;"Yes","Skip - Inactive",IF($P322=0,"Paid",IF(TODAY()&gt;$I322,"Past Due","Open"))))</f>
        <v/>
      </c>
      <c r="R322" s="14" t="n"/>
      <c r="S322" s="6" t="n"/>
    </row>
    <row r="323">
      <c r="A323" s="2">
        <f>IF($D323="","","INV-"&amp;$B323&amp;"-"&amp;$C323&amp;"-"&amp;TEXT(ROW(A319),"0000"))</f>
        <v/>
      </c>
      <c r="B323" s="2">
        <f>Setup!$B$5</f>
        <v/>
      </c>
      <c r="C323" s="2">
        <f>Setup!$B$6</f>
        <v/>
      </c>
      <c r="D323" s="2">
        <f>IFERROR(INDEX(Units_Owners!$A$5:$A$504,ROWS($A$5:A323)),"")</f>
        <v/>
      </c>
      <c r="E323" s="2">
        <f>IF($D323="","",IFERROR(INDEX(Units_Owners!$B$5:$B$504,MATCH($D323,Units_Owners!$A$5:$A$504,0)),""))</f>
        <v/>
      </c>
      <c r="F323" s="2">
        <f>IF($D323="","",IFERROR(INDEX(Units_Owners!$C$5:$C$504,MATCH($D323,Units_Owners!$A$5:$A$504,0)),""))</f>
        <v/>
      </c>
      <c r="G323" s="2">
        <f>IF($D323="","",IFERROR(INDEX(Units_Owners!$D$5:$D$504,MATCH($D323,Units_Owners!$A$5:$A$504,0)),""))</f>
        <v/>
      </c>
      <c r="H323" s="12">
        <f>Setup!$B$7</f>
        <v/>
      </c>
      <c r="I323" s="12">
        <f>Setup!$B$8</f>
        <v/>
      </c>
      <c r="J323" s="13">
        <f>IF($D323="","",IFERROR(INDEX(Units_Owners!$J$5:$J$504,MATCH($D323,Units_Owners!$A$5:$A$504,0)),0)+SUMIFS(Ledger!$F:$F,Ledger!$B:$B,$D323,Ledger!$D:$D,"&lt;"&amp;$H323)-SUMIFS(Ledger!$G:$G,Ledger!$B:$B,$D323,Ledger!$D:$D,"&lt;"&amp;$H323))</f>
        <v/>
      </c>
      <c r="K323" s="13">
        <f>IF($D323="","",IFERROR(INDEX(Units_Owners!$H$5:$H$504,MATCH($D323,Units_Owners!$A$5:$A$504,0)),Setup!$B$10))</f>
        <v/>
      </c>
      <c r="L323" s="13">
        <f>IF($D323="","",Setup!$B$11)</f>
        <v/>
      </c>
      <c r="M323" s="13">
        <f>IF($D323="","",IF(AND(TODAY()&gt;=Setup!$B$9,$P323&gt;0),Setup!$B$12,0))</f>
        <v/>
      </c>
      <c r="N323" s="13">
        <f>IF($D323="","",SUM($J323:$M323))</f>
        <v/>
      </c>
      <c r="O323" s="13">
        <f>IF($A323="","",SUMIFS(Payments!$F:$F,Payments!$D:$D,$A323))</f>
        <v/>
      </c>
      <c r="P323" s="13">
        <f>IF($D323="","",MAX(0,$N323-$O323))</f>
        <v/>
      </c>
      <c r="Q323" s="2">
        <f>IF($D323="","",IF(IFERROR(INDEX(Units_Owners!$I$5:$I$504,MATCH($D323,Units_Owners!$A$5:$A$504,0)),"No")&lt;&gt;"Yes","Skip - Inactive",IF($P323=0,"Paid",IF(TODAY()&gt;$I323,"Past Due","Open"))))</f>
        <v/>
      </c>
      <c r="R323" s="12" t="n"/>
      <c r="S323" s="2" t="n"/>
    </row>
    <row r="324">
      <c r="A324" s="2">
        <f>IF($D324="","","INV-"&amp;$B324&amp;"-"&amp;$C324&amp;"-"&amp;TEXT(ROW(A320),"0000"))</f>
        <v/>
      </c>
      <c r="B324" s="2">
        <f>Setup!$B$5</f>
        <v/>
      </c>
      <c r="C324" s="2">
        <f>Setup!$B$6</f>
        <v/>
      </c>
      <c r="D324" s="2">
        <f>IFERROR(INDEX(Units_Owners!$A$5:$A$504,ROWS($A$5:A324)),"")</f>
        <v/>
      </c>
      <c r="E324" s="2">
        <f>IF($D324="","",IFERROR(INDEX(Units_Owners!$B$5:$B$504,MATCH($D324,Units_Owners!$A$5:$A$504,0)),""))</f>
        <v/>
      </c>
      <c r="F324" s="2">
        <f>IF($D324="","",IFERROR(INDEX(Units_Owners!$C$5:$C$504,MATCH($D324,Units_Owners!$A$5:$A$504,0)),""))</f>
        <v/>
      </c>
      <c r="G324" s="2">
        <f>IF($D324="","",IFERROR(INDEX(Units_Owners!$D$5:$D$504,MATCH($D324,Units_Owners!$A$5:$A$504,0)),""))</f>
        <v/>
      </c>
      <c r="H324" s="12">
        <f>Setup!$B$7</f>
        <v/>
      </c>
      <c r="I324" s="12">
        <f>Setup!$B$8</f>
        <v/>
      </c>
      <c r="J324" s="13">
        <f>IF($D324="","",IFERROR(INDEX(Units_Owners!$J$5:$J$504,MATCH($D324,Units_Owners!$A$5:$A$504,0)),0)+SUMIFS(Ledger!$F:$F,Ledger!$B:$B,$D324,Ledger!$D:$D,"&lt;"&amp;$H324)-SUMIFS(Ledger!$G:$G,Ledger!$B:$B,$D324,Ledger!$D:$D,"&lt;"&amp;$H324))</f>
        <v/>
      </c>
      <c r="K324" s="13">
        <f>IF($D324="","",IFERROR(INDEX(Units_Owners!$H$5:$H$504,MATCH($D324,Units_Owners!$A$5:$A$504,0)),Setup!$B$10))</f>
        <v/>
      </c>
      <c r="L324" s="13">
        <f>IF($D324="","",Setup!$B$11)</f>
        <v/>
      </c>
      <c r="M324" s="13">
        <f>IF($D324="","",IF(AND(TODAY()&gt;=Setup!$B$9,$P324&gt;0),Setup!$B$12,0))</f>
        <v/>
      </c>
      <c r="N324" s="13">
        <f>IF($D324="","",SUM($J324:$M324))</f>
        <v/>
      </c>
      <c r="O324" s="13">
        <f>IF($A324="","",SUMIFS(Payments!$F:$F,Payments!$D:$D,$A324))</f>
        <v/>
      </c>
      <c r="P324" s="13">
        <f>IF($D324="","",MAX(0,$N324-$O324))</f>
        <v/>
      </c>
      <c r="Q324" s="2">
        <f>IF($D324="","",IF(IFERROR(INDEX(Units_Owners!$I$5:$I$504,MATCH($D324,Units_Owners!$A$5:$A$504,0)),"No")&lt;&gt;"Yes","Skip - Inactive",IF($P324=0,"Paid",IF(TODAY()&gt;$I324,"Past Due","Open"))))</f>
        <v/>
      </c>
      <c r="R324" s="14" t="n"/>
      <c r="S324" s="6" t="n"/>
    </row>
    <row r="325">
      <c r="A325" s="2">
        <f>IF($D325="","","INV-"&amp;$B325&amp;"-"&amp;$C325&amp;"-"&amp;TEXT(ROW(A321),"0000"))</f>
        <v/>
      </c>
      <c r="B325" s="2">
        <f>Setup!$B$5</f>
        <v/>
      </c>
      <c r="C325" s="2">
        <f>Setup!$B$6</f>
        <v/>
      </c>
      <c r="D325" s="2">
        <f>IFERROR(INDEX(Units_Owners!$A$5:$A$504,ROWS($A$5:A325)),"")</f>
        <v/>
      </c>
      <c r="E325" s="2">
        <f>IF($D325="","",IFERROR(INDEX(Units_Owners!$B$5:$B$504,MATCH($D325,Units_Owners!$A$5:$A$504,0)),""))</f>
        <v/>
      </c>
      <c r="F325" s="2">
        <f>IF($D325="","",IFERROR(INDEX(Units_Owners!$C$5:$C$504,MATCH($D325,Units_Owners!$A$5:$A$504,0)),""))</f>
        <v/>
      </c>
      <c r="G325" s="2">
        <f>IF($D325="","",IFERROR(INDEX(Units_Owners!$D$5:$D$504,MATCH($D325,Units_Owners!$A$5:$A$504,0)),""))</f>
        <v/>
      </c>
      <c r="H325" s="12">
        <f>Setup!$B$7</f>
        <v/>
      </c>
      <c r="I325" s="12">
        <f>Setup!$B$8</f>
        <v/>
      </c>
      <c r="J325" s="13">
        <f>IF($D325="","",IFERROR(INDEX(Units_Owners!$J$5:$J$504,MATCH($D325,Units_Owners!$A$5:$A$504,0)),0)+SUMIFS(Ledger!$F:$F,Ledger!$B:$B,$D325,Ledger!$D:$D,"&lt;"&amp;$H325)-SUMIFS(Ledger!$G:$G,Ledger!$B:$B,$D325,Ledger!$D:$D,"&lt;"&amp;$H325))</f>
        <v/>
      </c>
      <c r="K325" s="13">
        <f>IF($D325="","",IFERROR(INDEX(Units_Owners!$H$5:$H$504,MATCH($D325,Units_Owners!$A$5:$A$504,0)),Setup!$B$10))</f>
        <v/>
      </c>
      <c r="L325" s="13">
        <f>IF($D325="","",Setup!$B$11)</f>
        <v/>
      </c>
      <c r="M325" s="13">
        <f>IF($D325="","",IF(AND(TODAY()&gt;=Setup!$B$9,$P325&gt;0),Setup!$B$12,0))</f>
        <v/>
      </c>
      <c r="N325" s="13">
        <f>IF($D325="","",SUM($J325:$M325))</f>
        <v/>
      </c>
      <c r="O325" s="13">
        <f>IF($A325="","",SUMIFS(Payments!$F:$F,Payments!$D:$D,$A325))</f>
        <v/>
      </c>
      <c r="P325" s="13">
        <f>IF($D325="","",MAX(0,$N325-$O325))</f>
        <v/>
      </c>
      <c r="Q325" s="2">
        <f>IF($D325="","",IF(IFERROR(INDEX(Units_Owners!$I$5:$I$504,MATCH($D325,Units_Owners!$A$5:$A$504,0)),"No")&lt;&gt;"Yes","Skip - Inactive",IF($P325=0,"Paid",IF(TODAY()&gt;$I325,"Past Due","Open"))))</f>
        <v/>
      </c>
      <c r="R325" s="12" t="n"/>
      <c r="S325" s="2" t="n"/>
    </row>
    <row r="326">
      <c r="A326" s="2">
        <f>IF($D326="","","INV-"&amp;$B326&amp;"-"&amp;$C326&amp;"-"&amp;TEXT(ROW(A322),"0000"))</f>
        <v/>
      </c>
      <c r="B326" s="2">
        <f>Setup!$B$5</f>
        <v/>
      </c>
      <c r="C326" s="2">
        <f>Setup!$B$6</f>
        <v/>
      </c>
      <c r="D326" s="2">
        <f>IFERROR(INDEX(Units_Owners!$A$5:$A$504,ROWS($A$5:A326)),"")</f>
        <v/>
      </c>
      <c r="E326" s="2">
        <f>IF($D326="","",IFERROR(INDEX(Units_Owners!$B$5:$B$504,MATCH($D326,Units_Owners!$A$5:$A$504,0)),""))</f>
        <v/>
      </c>
      <c r="F326" s="2">
        <f>IF($D326="","",IFERROR(INDEX(Units_Owners!$C$5:$C$504,MATCH($D326,Units_Owners!$A$5:$A$504,0)),""))</f>
        <v/>
      </c>
      <c r="G326" s="2">
        <f>IF($D326="","",IFERROR(INDEX(Units_Owners!$D$5:$D$504,MATCH($D326,Units_Owners!$A$5:$A$504,0)),""))</f>
        <v/>
      </c>
      <c r="H326" s="12">
        <f>Setup!$B$7</f>
        <v/>
      </c>
      <c r="I326" s="12">
        <f>Setup!$B$8</f>
        <v/>
      </c>
      <c r="J326" s="13">
        <f>IF($D326="","",IFERROR(INDEX(Units_Owners!$J$5:$J$504,MATCH($D326,Units_Owners!$A$5:$A$504,0)),0)+SUMIFS(Ledger!$F:$F,Ledger!$B:$B,$D326,Ledger!$D:$D,"&lt;"&amp;$H326)-SUMIFS(Ledger!$G:$G,Ledger!$B:$B,$D326,Ledger!$D:$D,"&lt;"&amp;$H326))</f>
        <v/>
      </c>
      <c r="K326" s="13">
        <f>IF($D326="","",IFERROR(INDEX(Units_Owners!$H$5:$H$504,MATCH($D326,Units_Owners!$A$5:$A$504,0)),Setup!$B$10))</f>
        <v/>
      </c>
      <c r="L326" s="13">
        <f>IF($D326="","",Setup!$B$11)</f>
        <v/>
      </c>
      <c r="M326" s="13">
        <f>IF($D326="","",IF(AND(TODAY()&gt;=Setup!$B$9,$P326&gt;0),Setup!$B$12,0))</f>
        <v/>
      </c>
      <c r="N326" s="13">
        <f>IF($D326="","",SUM($J326:$M326))</f>
        <v/>
      </c>
      <c r="O326" s="13">
        <f>IF($A326="","",SUMIFS(Payments!$F:$F,Payments!$D:$D,$A326))</f>
        <v/>
      </c>
      <c r="P326" s="13">
        <f>IF($D326="","",MAX(0,$N326-$O326))</f>
        <v/>
      </c>
      <c r="Q326" s="2">
        <f>IF($D326="","",IF(IFERROR(INDEX(Units_Owners!$I$5:$I$504,MATCH($D326,Units_Owners!$A$5:$A$504,0)),"No")&lt;&gt;"Yes","Skip - Inactive",IF($P326=0,"Paid",IF(TODAY()&gt;$I326,"Past Due","Open"))))</f>
        <v/>
      </c>
      <c r="R326" s="14" t="n"/>
      <c r="S326" s="6" t="n"/>
    </row>
    <row r="327">
      <c r="A327" s="2">
        <f>IF($D327="","","INV-"&amp;$B327&amp;"-"&amp;$C327&amp;"-"&amp;TEXT(ROW(A323),"0000"))</f>
        <v/>
      </c>
      <c r="B327" s="2">
        <f>Setup!$B$5</f>
        <v/>
      </c>
      <c r="C327" s="2">
        <f>Setup!$B$6</f>
        <v/>
      </c>
      <c r="D327" s="2">
        <f>IFERROR(INDEX(Units_Owners!$A$5:$A$504,ROWS($A$5:A327)),"")</f>
        <v/>
      </c>
      <c r="E327" s="2">
        <f>IF($D327="","",IFERROR(INDEX(Units_Owners!$B$5:$B$504,MATCH($D327,Units_Owners!$A$5:$A$504,0)),""))</f>
        <v/>
      </c>
      <c r="F327" s="2">
        <f>IF($D327="","",IFERROR(INDEX(Units_Owners!$C$5:$C$504,MATCH($D327,Units_Owners!$A$5:$A$504,0)),""))</f>
        <v/>
      </c>
      <c r="G327" s="2">
        <f>IF($D327="","",IFERROR(INDEX(Units_Owners!$D$5:$D$504,MATCH($D327,Units_Owners!$A$5:$A$504,0)),""))</f>
        <v/>
      </c>
      <c r="H327" s="12">
        <f>Setup!$B$7</f>
        <v/>
      </c>
      <c r="I327" s="12">
        <f>Setup!$B$8</f>
        <v/>
      </c>
      <c r="J327" s="13">
        <f>IF($D327="","",IFERROR(INDEX(Units_Owners!$J$5:$J$504,MATCH($D327,Units_Owners!$A$5:$A$504,0)),0)+SUMIFS(Ledger!$F:$F,Ledger!$B:$B,$D327,Ledger!$D:$D,"&lt;"&amp;$H327)-SUMIFS(Ledger!$G:$G,Ledger!$B:$B,$D327,Ledger!$D:$D,"&lt;"&amp;$H327))</f>
        <v/>
      </c>
      <c r="K327" s="13">
        <f>IF($D327="","",IFERROR(INDEX(Units_Owners!$H$5:$H$504,MATCH($D327,Units_Owners!$A$5:$A$504,0)),Setup!$B$10))</f>
        <v/>
      </c>
      <c r="L327" s="13">
        <f>IF($D327="","",Setup!$B$11)</f>
        <v/>
      </c>
      <c r="M327" s="13">
        <f>IF($D327="","",IF(AND(TODAY()&gt;=Setup!$B$9,$P327&gt;0),Setup!$B$12,0))</f>
        <v/>
      </c>
      <c r="N327" s="13">
        <f>IF($D327="","",SUM($J327:$M327))</f>
        <v/>
      </c>
      <c r="O327" s="13">
        <f>IF($A327="","",SUMIFS(Payments!$F:$F,Payments!$D:$D,$A327))</f>
        <v/>
      </c>
      <c r="P327" s="13">
        <f>IF($D327="","",MAX(0,$N327-$O327))</f>
        <v/>
      </c>
      <c r="Q327" s="2">
        <f>IF($D327="","",IF(IFERROR(INDEX(Units_Owners!$I$5:$I$504,MATCH($D327,Units_Owners!$A$5:$A$504,0)),"No")&lt;&gt;"Yes","Skip - Inactive",IF($P327=0,"Paid",IF(TODAY()&gt;$I327,"Past Due","Open"))))</f>
        <v/>
      </c>
      <c r="R327" s="12" t="n"/>
      <c r="S327" s="2" t="n"/>
    </row>
    <row r="328">
      <c r="A328" s="2">
        <f>IF($D328="","","INV-"&amp;$B328&amp;"-"&amp;$C328&amp;"-"&amp;TEXT(ROW(A324),"0000"))</f>
        <v/>
      </c>
      <c r="B328" s="2">
        <f>Setup!$B$5</f>
        <v/>
      </c>
      <c r="C328" s="2">
        <f>Setup!$B$6</f>
        <v/>
      </c>
      <c r="D328" s="2">
        <f>IFERROR(INDEX(Units_Owners!$A$5:$A$504,ROWS($A$5:A328)),"")</f>
        <v/>
      </c>
      <c r="E328" s="2">
        <f>IF($D328="","",IFERROR(INDEX(Units_Owners!$B$5:$B$504,MATCH($D328,Units_Owners!$A$5:$A$504,0)),""))</f>
        <v/>
      </c>
      <c r="F328" s="2">
        <f>IF($D328="","",IFERROR(INDEX(Units_Owners!$C$5:$C$504,MATCH($D328,Units_Owners!$A$5:$A$504,0)),""))</f>
        <v/>
      </c>
      <c r="G328" s="2">
        <f>IF($D328="","",IFERROR(INDEX(Units_Owners!$D$5:$D$504,MATCH($D328,Units_Owners!$A$5:$A$504,0)),""))</f>
        <v/>
      </c>
      <c r="H328" s="12">
        <f>Setup!$B$7</f>
        <v/>
      </c>
      <c r="I328" s="12">
        <f>Setup!$B$8</f>
        <v/>
      </c>
      <c r="J328" s="13">
        <f>IF($D328="","",IFERROR(INDEX(Units_Owners!$J$5:$J$504,MATCH($D328,Units_Owners!$A$5:$A$504,0)),0)+SUMIFS(Ledger!$F:$F,Ledger!$B:$B,$D328,Ledger!$D:$D,"&lt;"&amp;$H328)-SUMIFS(Ledger!$G:$G,Ledger!$B:$B,$D328,Ledger!$D:$D,"&lt;"&amp;$H328))</f>
        <v/>
      </c>
      <c r="K328" s="13">
        <f>IF($D328="","",IFERROR(INDEX(Units_Owners!$H$5:$H$504,MATCH($D328,Units_Owners!$A$5:$A$504,0)),Setup!$B$10))</f>
        <v/>
      </c>
      <c r="L328" s="13">
        <f>IF($D328="","",Setup!$B$11)</f>
        <v/>
      </c>
      <c r="M328" s="13">
        <f>IF($D328="","",IF(AND(TODAY()&gt;=Setup!$B$9,$P328&gt;0),Setup!$B$12,0))</f>
        <v/>
      </c>
      <c r="N328" s="13">
        <f>IF($D328="","",SUM($J328:$M328))</f>
        <v/>
      </c>
      <c r="O328" s="13">
        <f>IF($A328="","",SUMIFS(Payments!$F:$F,Payments!$D:$D,$A328))</f>
        <v/>
      </c>
      <c r="P328" s="13">
        <f>IF($D328="","",MAX(0,$N328-$O328))</f>
        <v/>
      </c>
      <c r="Q328" s="2">
        <f>IF($D328="","",IF(IFERROR(INDEX(Units_Owners!$I$5:$I$504,MATCH($D328,Units_Owners!$A$5:$A$504,0)),"No")&lt;&gt;"Yes","Skip - Inactive",IF($P328=0,"Paid",IF(TODAY()&gt;$I328,"Past Due","Open"))))</f>
        <v/>
      </c>
      <c r="R328" s="14" t="n"/>
      <c r="S328" s="6" t="n"/>
    </row>
    <row r="329">
      <c r="A329" s="2">
        <f>IF($D329="","","INV-"&amp;$B329&amp;"-"&amp;$C329&amp;"-"&amp;TEXT(ROW(A325),"0000"))</f>
        <v/>
      </c>
      <c r="B329" s="2">
        <f>Setup!$B$5</f>
        <v/>
      </c>
      <c r="C329" s="2">
        <f>Setup!$B$6</f>
        <v/>
      </c>
      <c r="D329" s="2">
        <f>IFERROR(INDEX(Units_Owners!$A$5:$A$504,ROWS($A$5:A329)),"")</f>
        <v/>
      </c>
      <c r="E329" s="2">
        <f>IF($D329="","",IFERROR(INDEX(Units_Owners!$B$5:$B$504,MATCH($D329,Units_Owners!$A$5:$A$504,0)),""))</f>
        <v/>
      </c>
      <c r="F329" s="2">
        <f>IF($D329="","",IFERROR(INDEX(Units_Owners!$C$5:$C$504,MATCH($D329,Units_Owners!$A$5:$A$504,0)),""))</f>
        <v/>
      </c>
      <c r="G329" s="2">
        <f>IF($D329="","",IFERROR(INDEX(Units_Owners!$D$5:$D$504,MATCH($D329,Units_Owners!$A$5:$A$504,0)),""))</f>
        <v/>
      </c>
      <c r="H329" s="12">
        <f>Setup!$B$7</f>
        <v/>
      </c>
      <c r="I329" s="12">
        <f>Setup!$B$8</f>
        <v/>
      </c>
      <c r="J329" s="13">
        <f>IF($D329="","",IFERROR(INDEX(Units_Owners!$J$5:$J$504,MATCH($D329,Units_Owners!$A$5:$A$504,0)),0)+SUMIFS(Ledger!$F:$F,Ledger!$B:$B,$D329,Ledger!$D:$D,"&lt;"&amp;$H329)-SUMIFS(Ledger!$G:$G,Ledger!$B:$B,$D329,Ledger!$D:$D,"&lt;"&amp;$H329))</f>
        <v/>
      </c>
      <c r="K329" s="13">
        <f>IF($D329="","",IFERROR(INDEX(Units_Owners!$H$5:$H$504,MATCH($D329,Units_Owners!$A$5:$A$504,0)),Setup!$B$10))</f>
        <v/>
      </c>
      <c r="L329" s="13">
        <f>IF($D329="","",Setup!$B$11)</f>
        <v/>
      </c>
      <c r="M329" s="13">
        <f>IF($D329="","",IF(AND(TODAY()&gt;=Setup!$B$9,$P329&gt;0),Setup!$B$12,0))</f>
        <v/>
      </c>
      <c r="N329" s="13">
        <f>IF($D329="","",SUM($J329:$M329))</f>
        <v/>
      </c>
      <c r="O329" s="13">
        <f>IF($A329="","",SUMIFS(Payments!$F:$F,Payments!$D:$D,$A329))</f>
        <v/>
      </c>
      <c r="P329" s="13">
        <f>IF($D329="","",MAX(0,$N329-$O329))</f>
        <v/>
      </c>
      <c r="Q329" s="2">
        <f>IF($D329="","",IF(IFERROR(INDEX(Units_Owners!$I$5:$I$504,MATCH($D329,Units_Owners!$A$5:$A$504,0)),"No")&lt;&gt;"Yes","Skip - Inactive",IF($P329=0,"Paid",IF(TODAY()&gt;$I329,"Past Due","Open"))))</f>
        <v/>
      </c>
      <c r="R329" s="12" t="n"/>
      <c r="S329" s="2" t="n"/>
    </row>
    <row r="330">
      <c r="A330" s="2">
        <f>IF($D330="","","INV-"&amp;$B330&amp;"-"&amp;$C330&amp;"-"&amp;TEXT(ROW(A326),"0000"))</f>
        <v/>
      </c>
      <c r="B330" s="2">
        <f>Setup!$B$5</f>
        <v/>
      </c>
      <c r="C330" s="2">
        <f>Setup!$B$6</f>
        <v/>
      </c>
      <c r="D330" s="2">
        <f>IFERROR(INDEX(Units_Owners!$A$5:$A$504,ROWS($A$5:A330)),"")</f>
        <v/>
      </c>
      <c r="E330" s="2">
        <f>IF($D330="","",IFERROR(INDEX(Units_Owners!$B$5:$B$504,MATCH($D330,Units_Owners!$A$5:$A$504,0)),""))</f>
        <v/>
      </c>
      <c r="F330" s="2">
        <f>IF($D330="","",IFERROR(INDEX(Units_Owners!$C$5:$C$504,MATCH($D330,Units_Owners!$A$5:$A$504,0)),""))</f>
        <v/>
      </c>
      <c r="G330" s="2">
        <f>IF($D330="","",IFERROR(INDEX(Units_Owners!$D$5:$D$504,MATCH($D330,Units_Owners!$A$5:$A$504,0)),""))</f>
        <v/>
      </c>
      <c r="H330" s="12">
        <f>Setup!$B$7</f>
        <v/>
      </c>
      <c r="I330" s="12">
        <f>Setup!$B$8</f>
        <v/>
      </c>
      <c r="J330" s="13">
        <f>IF($D330="","",IFERROR(INDEX(Units_Owners!$J$5:$J$504,MATCH($D330,Units_Owners!$A$5:$A$504,0)),0)+SUMIFS(Ledger!$F:$F,Ledger!$B:$B,$D330,Ledger!$D:$D,"&lt;"&amp;$H330)-SUMIFS(Ledger!$G:$G,Ledger!$B:$B,$D330,Ledger!$D:$D,"&lt;"&amp;$H330))</f>
        <v/>
      </c>
      <c r="K330" s="13">
        <f>IF($D330="","",IFERROR(INDEX(Units_Owners!$H$5:$H$504,MATCH($D330,Units_Owners!$A$5:$A$504,0)),Setup!$B$10))</f>
        <v/>
      </c>
      <c r="L330" s="13">
        <f>IF($D330="","",Setup!$B$11)</f>
        <v/>
      </c>
      <c r="M330" s="13">
        <f>IF($D330="","",IF(AND(TODAY()&gt;=Setup!$B$9,$P330&gt;0),Setup!$B$12,0))</f>
        <v/>
      </c>
      <c r="N330" s="13">
        <f>IF($D330="","",SUM($J330:$M330))</f>
        <v/>
      </c>
      <c r="O330" s="13">
        <f>IF($A330="","",SUMIFS(Payments!$F:$F,Payments!$D:$D,$A330))</f>
        <v/>
      </c>
      <c r="P330" s="13">
        <f>IF($D330="","",MAX(0,$N330-$O330))</f>
        <v/>
      </c>
      <c r="Q330" s="2">
        <f>IF($D330="","",IF(IFERROR(INDEX(Units_Owners!$I$5:$I$504,MATCH($D330,Units_Owners!$A$5:$A$504,0)),"No")&lt;&gt;"Yes","Skip - Inactive",IF($P330=0,"Paid",IF(TODAY()&gt;$I330,"Past Due","Open"))))</f>
        <v/>
      </c>
      <c r="R330" s="14" t="n"/>
      <c r="S330" s="6" t="n"/>
    </row>
    <row r="331">
      <c r="A331" s="2">
        <f>IF($D331="","","INV-"&amp;$B331&amp;"-"&amp;$C331&amp;"-"&amp;TEXT(ROW(A327),"0000"))</f>
        <v/>
      </c>
      <c r="B331" s="2">
        <f>Setup!$B$5</f>
        <v/>
      </c>
      <c r="C331" s="2">
        <f>Setup!$B$6</f>
        <v/>
      </c>
      <c r="D331" s="2">
        <f>IFERROR(INDEX(Units_Owners!$A$5:$A$504,ROWS($A$5:A331)),"")</f>
        <v/>
      </c>
      <c r="E331" s="2">
        <f>IF($D331="","",IFERROR(INDEX(Units_Owners!$B$5:$B$504,MATCH($D331,Units_Owners!$A$5:$A$504,0)),""))</f>
        <v/>
      </c>
      <c r="F331" s="2">
        <f>IF($D331="","",IFERROR(INDEX(Units_Owners!$C$5:$C$504,MATCH($D331,Units_Owners!$A$5:$A$504,0)),""))</f>
        <v/>
      </c>
      <c r="G331" s="2">
        <f>IF($D331="","",IFERROR(INDEX(Units_Owners!$D$5:$D$504,MATCH($D331,Units_Owners!$A$5:$A$504,0)),""))</f>
        <v/>
      </c>
      <c r="H331" s="12">
        <f>Setup!$B$7</f>
        <v/>
      </c>
      <c r="I331" s="12">
        <f>Setup!$B$8</f>
        <v/>
      </c>
      <c r="J331" s="13">
        <f>IF($D331="","",IFERROR(INDEX(Units_Owners!$J$5:$J$504,MATCH($D331,Units_Owners!$A$5:$A$504,0)),0)+SUMIFS(Ledger!$F:$F,Ledger!$B:$B,$D331,Ledger!$D:$D,"&lt;"&amp;$H331)-SUMIFS(Ledger!$G:$G,Ledger!$B:$B,$D331,Ledger!$D:$D,"&lt;"&amp;$H331))</f>
        <v/>
      </c>
      <c r="K331" s="13">
        <f>IF($D331="","",IFERROR(INDEX(Units_Owners!$H$5:$H$504,MATCH($D331,Units_Owners!$A$5:$A$504,0)),Setup!$B$10))</f>
        <v/>
      </c>
      <c r="L331" s="13">
        <f>IF($D331="","",Setup!$B$11)</f>
        <v/>
      </c>
      <c r="M331" s="13">
        <f>IF($D331="","",IF(AND(TODAY()&gt;=Setup!$B$9,$P331&gt;0),Setup!$B$12,0))</f>
        <v/>
      </c>
      <c r="N331" s="13">
        <f>IF($D331="","",SUM($J331:$M331))</f>
        <v/>
      </c>
      <c r="O331" s="13">
        <f>IF($A331="","",SUMIFS(Payments!$F:$F,Payments!$D:$D,$A331))</f>
        <v/>
      </c>
      <c r="P331" s="13">
        <f>IF($D331="","",MAX(0,$N331-$O331))</f>
        <v/>
      </c>
      <c r="Q331" s="2">
        <f>IF($D331="","",IF(IFERROR(INDEX(Units_Owners!$I$5:$I$504,MATCH($D331,Units_Owners!$A$5:$A$504,0)),"No")&lt;&gt;"Yes","Skip - Inactive",IF($P331=0,"Paid",IF(TODAY()&gt;$I331,"Past Due","Open"))))</f>
        <v/>
      </c>
      <c r="R331" s="12" t="n"/>
      <c r="S331" s="2" t="n"/>
    </row>
    <row r="332">
      <c r="A332" s="2">
        <f>IF($D332="","","INV-"&amp;$B332&amp;"-"&amp;$C332&amp;"-"&amp;TEXT(ROW(A328),"0000"))</f>
        <v/>
      </c>
      <c r="B332" s="2">
        <f>Setup!$B$5</f>
        <v/>
      </c>
      <c r="C332" s="2">
        <f>Setup!$B$6</f>
        <v/>
      </c>
      <c r="D332" s="2">
        <f>IFERROR(INDEX(Units_Owners!$A$5:$A$504,ROWS($A$5:A332)),"")</f>
        <v/>
      </c>
      <c r="E332" s="2">
        <f>IF($D332="","",IFERROR(INDEX(Units_Owners!$B$5:$B$504,MATCH($D332,Units_Owners!$A$5:$A$504,0)),""))</f>
        <v/>
      </c>
      <c r="F332" s="2">
        <f>IF($D332="","",IFERROR(INDEX(Units_Owners!$C$5:$C$504,MATCH($D332,Units_Owners!$A$5:$A$504,0)),""))</f>
        <v/>
      </c>
      <c r="G332" s="2">
        <f>IF($D332="","",IFERROR(INDEX(Units_Owners!$D$5:$D$504,MATCH($D332,Units_Owners!$A$5:$A$504,0)),""))</f>
        <v/>
      </c>
      <c r="H332" s="12">
        <f>Setup!$B$7</f>
        <v/>
      </c>
      <c r="I332" s="12">
        <f>Setup!$B$8</f>
        <v/>
      </c>
      <c r="J332" s="13">
        <f>IF($D332="","",IFERROR(INDEX(Units_Owners!$J$5:$J$504,MATCH($D332,Units_Owners!$A$5:$A$504,0)),0)+SUMIFS(Ledger!$F:$F,Ledger!$B:$B,$D332,Ledger!$D:$D,"&lt;"&amp;$H332)-SUMIFS(Ledger!$G:$G,Ledger!$B:$B,$D332,Ledger!$D:$D,"&lt;"&amp;$H332))</f>
        <v/>
      </c>
      <c r="K332" s="13">
        <f>IF($D332="","",IFERROR(INDEX(Units_Owners!$H$5:$H$504,MATCH($D332,Units_Owners!$A$5:$A$504,0)),Setup!$B$10))</f>
        <v/>
      </c>
      <c r="L332" s="13">
        <f>IF($D332="","",Setup!$B$11)</f>
        <v/>
      </c>
      <c r="M332" s="13">
        <f>IF($D332="","",IF(AND(TODAY()&gt;=Setup!$B$9,$P332&gt;0),Setup!$B$12,0))</f>
        <v/>
      </c>
      <c r="N332" s="13">
        <f>IF($D332="","",SUM($J332:$M332))</f>
        <v/>
      </c>
      <c r="O332" s="13">
        <f>IF($A332="","",SUMIFS(Payments!$F:$F,Payments!$D:$D,$A332))</f>
        <v/>
      </c>
      <c r="P332" s="13">
        <f>IF($D332="","",MAX(0,$N332-$O332))</f>
        <v/>
      </c>
      <c r="Q332" s="2">
        <f>IF($D332="","",IF(IFERROR(INDEX(Units_Owners!$I$5:$I$504,MATCH($D332,Units_Owners!$A$5:$A$504,0)),"No")&lt;&gt;"Yes","Skip - Inactive",IF($P332=0,"Paid",IF(TODAY()&gt;$I332,"Past Due","Open"))))</f>
        <v/>
      </c>
      <c r="R332" s="14" t="n"/>
      <c r="S332" s="6" t="n"/>
    </row>
    <row r="333">
      <c r="A333" s="2">
        <f>IF($D333="","","INV-"&amp;$B333&amp;"-"&amp;$C333&amp;"-"&amp;TEXT(ROW(A329),"0000"))</f>
        <v/>
      </c>
      <c r="B333" s="2">
        <f>Setup!$B$5</f>
        <v/>
      </c>
      <c r="C333" s="2">
        <f>Setup!$B$6</f>
        <v/>
      </c>
      <c r="D333" s="2">
        <f>IFERROR(INDEX(Units_Owners!$A$5:$A$504,ROWS($A$5:A333)),"")</f>
        <v/>
      </c>
      <c r="E333" s="2">
        <f>IF($D333="","",IFERROR(INDEX(Units_Owners!$B$5:$B$504,MATCH($D333,Units_Owners!$A$5:$A$504,0)),""))</f>
        <v/>
      </c>
      <c r="F333" s="2">
        <f>IF($D333="","",IFERROR(INDEX(Units_Owners!$C$5:$C$504,MATCH($D333,Units_Owners!$A$5:$A$504,0)),""))</f>
        <v/>
      </c>
      <c r="G333" s="2">
        <f>IF($D333="","",IFERROR(INDEX(Units_Owners!$D$5:$D$504,MATCH($D333,Units_Owners!$A$5:$A$504,0)),""))</f>
        <v/>
      </c>
      <c r="H333" s="12">
        <f>Setup!$B$7</f>
        <v/>
      </c>
      <c r="I333" s="12">
        <f>Setup!$B$8</f>
        <v/>
      </c>
      <c r="J333" s="13">
        <f>IF($D333="","",IFERROR(INDEX(Units_Owners!$J$5:$J$504,MATCH($D333,Units_Owners!$A$5:$A$504,0)),0)+SUMIFS(Ledger!$F:$F,Ledger!$B:$B,$D333,Ledger!$D:$D,"&lt;"&amp;$H333)-SUMIFS(Ledger!$G:$G,Ledger!$B:$B,$D333,Ledger!$D:$D,"&lt;"&amp;$H333))</f>
        <v/>
      </c>
      <c r="K333" s="13">
        <f>IF($D333="","",IFERROR(INDEX(Units_Owners!$H$5:$H$504,MATCH($D333,Units_Owners!$A$5:$A$504,0)),Setup!$B$10))</f>
        <v/>
      </c>
      <c r="L333" s="13">
        <f>IF($D333="","",Setup!$B$11)</f>
        <v/>
      </c>
      <c r="M333" s="13">
        <f>IF($D333="","",IF(AND(TODAY()&gt;=Setup!$B$9,$P333&gt;0),Setup!$B$12,0))</f>
        <v/>
      </c>
      <c r="N333" s="13">
        <f>IF($D333="","",SUM($J333:$M333))</f>
        <v/>
      </c>
      <c r="O333" s="13">
        <f>IF($A333="","",SUMIFS(Payments!$F:$F,Payments!$D:$D,$A333))</f>
        <v/>
      </c>
      <c r="P333" s="13">
        <f>IF($D333="","",MAX(0,$N333-$O333))</f>
        <v/>
      </c>
      <c r="Q333" s="2">
        <f>IF($D333="","",IF(IFERROR(INDEX(Units_Owners!$I$5:$I$504,MATCH($D333,Units_Owners!$A$5:$A$504,0)),"No")&lt;&gt;"Yes","Skip - Inactive",IF($P333=0,"Paid",IF(TODAY()&gt;$I333,"Past Due","Open"))))</f>
        <v/>
      </c>
      <c r="R333" s="12" t="n"/>
      <c r="S333" s="2" t="n"/>
    </row>
    <row r="334">
      <c r="A334" s="2">
        <f>IF($D334="","","INV-"&amp;$B334&amp;"-"&amp;$C334&amp;"-"&amp;TEXT(ROW(A330),"0000"))</f>
        <v/>
      </c>
      <c r="B334" s="2">
        <f>Setup!$B$5</f>
        <v/>
      </c>
      <c r="C334" s="2">
        <f>Setup!$B$6</f>
        <v/>
      </c>
      <c r="D334" s="2">
        <f>IFERROR(INDEX(Units_Owners!$A$5:$A$504,ROWS($A$5:A334)),"")</f>
        <v/>
      </c>
      <c r="E334" s="2">
        <f>IF($D334="","",IFERROR(INDEX(Units_Owners!$B$5:$B$504,MATCH($D334,Units_Owners!$A$5:$A$504,0)),""))</f>
        <v/>
      </c>
      <c r="F334" s="2">
        <f>IF($D334="","",IFERROR(INDEX(Units_Owners!$C$5:$C$504,MATCH($D334,Units_Owners!$A$5:$A$504,0)),""))</f>
        <v/>
      </c>
      <c r="G334" s="2">
        <f>IF($D334="","",IFERROR(INDEX(Units_Owners!$D$5:$D$504,MATCH($D334,Units_Owners!$A$5:$A$504,0)),""))</f>
        <v/>
      </c>
      <c r="H334" s="12">
        <f>Setup!$B$7</f>
        <v/>
      </c>
      <c r="I334" s="12">
        <f>Setup!$B$8</f>
        <v/>
      </c>
      <c r="J334" s="13">
        <f>IF($D334="","",IFERROR(INDEX(Units_Owners!$J$5:$J$504,MATCH($D334,Units_Owners!$A$5:$A$504,0)),0)+SUMIFS(Ledger!$F:$F,Ledger!$B:$B,$D334,Ledger!$D:$D,"&lt;"&amp;$H334)-SUMIFS(Ledger!$G:$G,Ledger!$B:$B,$D334,Ledger!$D:$D,"&lt;"&amp;$H334))</f>
        <v/>
      </c>
      <c r="K334" s="13">
        <f>IF($D334="","",IFERROR(INDEX(Units_Owners!$H$5:$H$504,MATCH($D334,Units_Owners!$A$5:$A$504,0)),Setup!$B$10))</f>
        <v/>
      </c>
      <c r="L334" s="13">
        <f>IF($D334="","",Setup!$B$11)</f>
        <v/>
      </c>
      <c r="M334" s="13">
        <f>IF($D334="","",IF(AND(TODAY()&gt;=Setup!$B$9,$P334&gt;0),Setup!$B$12,0))</f>
        <v/>
      </c>
      <c r="N334" s="13">
        <f>IF($D334="","",SUM($J334:$M334))</f>
        <v/>
      </c>
      <c r="O334" s="13">
        <f>IF($A334="","",SUMIFS(Payments!$F:$F,Payments!$D:$D,$A334))</f>
        <v/>
      </c>
      <c r="P334" s="13">
        <f>IF($D334="","",MAX(0,$N334-$O334))</f>
        <v/>
      </c>
      <c r="Q334" s="2">
        <f>IF($D334="","",IF(IFERROR(INDEX(Units_Owners!$I$5:$I$504,MATCH($D334,Units_Owners!$A$5:$A$504,0)),"No")&lt;&gt;"Yes","Skip - Inactive",IF($P334=0,"Paid",IF(TODAY()&gt;$I334,"Past Due","Open"))))</f>
        <v/>
      </c>
      <c r="R334" s="14" t="n"/>
      <c r="S334" s="6" t="n"/>
    </row>
    <row r="335">
      <c r="A335" s="2">
        <f>IF($D335="","","INV-"&amp;$B335&amp;"-"&amp;$C335&amp;"-"&amp;TEXT(ROW(A331),"0000"))</f>
        <v/>
      </c>
      <c r="B335" s="2">
        <f>Setup!$B$5</f>
        <v/>
      </c>
      <c r="C335" s="2">
        <f>Setup!$B$6</f>
        <v/>
      </c>
      <c r="D335" s="2">
        <f>IFERROR(INDEX(Units_Owners!$A$5:$A$504,ROWS($A$5:A335)),"")</f>
        <v/>
      </c>
      <c r="E335" s="2">
        <f>IF($D335="","",IFERROR(INDEX(Units_Owners!$B$5:$B$504,MATCH($D335,Units_Owners!$A$5:$A$504,0)),""))</f>
        <v/>
      </c>
      <c r="F335" s="2">
        <f>IF($D335="","",IFERROR(INDEX(Units_Owners!$C$5:$C$504,MATCH($D335,Units_Owners!$A$5:$A$504,0)),""))</f>
        <v/>
      </c>
      <c r="G335" s="2">
        <f>IF($D335="","",IFERROR(INDEX(Units_Owners!$D$5:$D$504,MATCH($D335,Units_Owners!$A$5:$A$504,0)),""))</f>
        <v/>
      </c>
      <c r="H335" s="12">
        <f>Setup!$B$7</f>
        <v/>
      </c>
      <c r="I335" s="12">
        <f>Setup!$B$8</f>
        <v/>
      </c>
      <c r="J335" s="13">
        <f>IF($D335="","",IFERROR(INDEX(Units_Owners!$J$5:$J$504,MATCH($D335,Units_Owners!$A$5:$A$504,0)),0)+SUMIFS(Ledger!$F:$F,Ledger!$B:$B,$D335,Ledger!$D:$D,"&lt;"&amp;$H335)-SUMIFS(Ledger!$G:$G,Ledger!$B:$B,$D335,Ledger!$D:$D,"&lt;"&amp;$H335))</f>
        <v/>
      </c>
      <c r="K335" s="13">
        <f>IF($D335="","",IFERROR(INDEX(Units_Owners!$H$5:$H$504,MATCH($D335,Units_Owners!$A$5:$A$504,0)),Setup!$B$10))</f>
        <v/>
      </c>
      <c r="L335" s="13">
        <f>IF($D335="","",Setup!$B$11)</f>
        <v/>
      </c>
      <c r="M335" s="13">
        <f>IF($D335="","",IF(AND(TODAY()&gt;=Setup!$B$9,$P335&gt;0),Setup!$B$12,0))</f>
        <v/>
      </c>
      <c r="N335" s="13">
        <f>IF($D335="","",SUM($J335:$M335))</f>
        <v/>
      </c>
      <c r="O335" s="13">
        <f>IF($A335="","",SUMIFS(Payments!$F:$F,Payments!$D:$D,$A335))</f>
        <v/>
      </c>
      <c r="P335" s="13">
        <f>IF($D335="","",MAX(0,$N335-$O335))</f>
        <v/>
      </c>
      <c r="Q335" s="2">
        <f>IF($D335="","",IF(IFERROR(INDEX(Units_Owners!$I$5:$I$504,MATCH($D335,Units_Owners!$A$5:$A$504,0)),"No")&lt;&gt;"Yes","Skip - Inactive",IF($P335=0,"Paid",IF(TODAY()&gt;$I335,"Past Due","Open"))))</f>
        <v/>
      </c>
      <c r="R335" s="12" t="n"/>
      <c r="S335" s="2" t="n"/>
    </row>
    <row r="336">
      <c r="A336" s="2">
        <f>IF($D336="","","INV-"&amp;$B336&amp;"-"&amp;$C336&amp;"-"&amp;TEXT(ROW(A332),"0000"))</f>
        <v/>
      </c>
      <c r="B336" s="2">
        <f>Setup!$B$5</f>
        <v/>
      </c>
      <c r="C336" s="2">
        <f>Setup!$B$6</f>
        <v/>
      </c>
      <c r="D336" s="2">
        <f>IFERROR(INDEX(Units_Owners!$A$5:$A$504,ROWS($A$5:A336)),"")</f>
        <v/>
      </c>
      <c r="E336" s="2">
        <f>IF($D336="","",IFERROR(INDEX(Units_Owners!$B$5:$B$504,MATCH($D336,Units_Owners!$A$5:$A$504,0)),""))</f>
        <v/>
      </c>
      <c r="F336" s="2">
        <f>IF($D336="","",IFERROR(INDEX(Units_Owners!$C$5:$C$504,MATCH($D336,Units_Owners!$A$5:$A$504,0)),""))</f>
        <v/>
      </c>
      <c r="G336" s="2">
        <f>IF($D336="","",IFERROR(INDEX(Units_Owners!$D$5:$D$504,MATCH($D336,Units_Owners!$A$5:$A$504,0)),""))</f>
        <v/>
      </c>
      <c r="H336" s="12">
        <f>Setup!$B$7</f>
        <v/>
      </c>
      <c r="I336" s="12">
        <f>Setup!$B$8</f>
        <v/>
      </c>
      <c r="J336" s="13">
        <f>IF($D336="","",IFERROR(INDEX(Units_Owners!$J$5:$J$504,MATCH($D336,Units_Owners!$A$5:$A$504,0)),0)+SUMIFS(Ledger!$F:$F,Ledger!$B:$B,$D336,Ledger!$D:$D,"&lt;"&amp;$H336)-SUMIFS(Ledger!$G:$G,Ledger!$B:$B,$D336,Ledger!$D:$D,"&lt;"&amp;$H336))</f>
        <v/>
      </c>
      <c r="K336" s="13">
        <f>IF($D336="","",IFERROR(INDEX(Units_Owners!$H$5:$H$504,MATCH($D336,Units_Owners!$A$5:$A$504,0)),Setup!$B$10))</f>
        <v/>
      </c>
      <c r="L336" s="13">
        <f>IF($D336="","",Setup!$B$11)</f>
        <v/>
      </c>
      <c r="M336" s="13">
        <f>IF($D336="","",IF(AND(TODAY()&gt;=Setup!$B$9,$P336&gt;0),Setup!$B$12,0))</f>
        <v/>
      </c>
      <c r="N336" s="13">
        <f>IF($D336="","",SUM($J336:$M336))</f>
        <v/>
      </c>
      <c r="O336" s="13">
        <f>IF($A336="","",SUMIFS(Payments!$F:$F,Payments!$D:$D,$A336))</f>
        <v/>
      </c>
      <c r="P336" s="13">
        <f>IF($D336="","",MAX(0,$N336-$O336))</f>
        <v/>
      </c>
      <c r="Q336" s="2">
        <f>IF($D336="","",IF(IFERROR(INDEX(Units_Owners!$I$5:$I$504,MATCH($D336,Units_Owners!$A$5:$A$504,0)),"No")&lt;&gt;"Yes","Skip - Inactive",IF($P336=0,"Paid",IF(TODAY()&gt;$I336,"Past Due","Open"))))</f>
        <v/>
      </c>
      <c r="R336" s="14" t="n"/>
      <c r="S336" s="6" t="n"/>
    </row>
    <row r="337">
      <c r="A337" s="2">
        <f>IF($D337="","","INV-"&amp;$B337&amp;"-"&amp;$C337&amp;"-"&amp;TEXT(ROW(A333),"0000"))</f>
        <v/>
      </c>
      <c r="B337" s="2">
        <f>Setup!$B$5</f>
        <v/>
      </c>
      <c r="C337" s="2">
        <f>Setup!$B$6</f>
        <v/>
      </c>
      <c r="D337" s="2">
        <f>IFERROR(INDEX(Units_Owners!$A$5:$A$504,ROWS($A$5:A337)),"")</f>
        <v/>
      </c>
      <c r="E337" s="2">
        <f>IF($D337="","",IFERROR(INDEX(Units_Owners!$B$5:$B$504,MATCH($D337,Units_Owners!$A$5:$A$504,0)),""))</f>
        <v/>
      </c>
      <c r="F337" s="2">
        <f>IF($D337="","",IFERROR(INDEX(Units_Owners!$C$5:$C$504,MATCH($D337,Units_Owners!$A$5:$A$504,0)),""))</f>
        <v/>
      </c>
      <c r="G337" s="2">
        <f>IF($D337="","",IFERROR(INDEX(Units_Owners!$D$5:$D$504,MATCH($D337,Units_Owners!$A$5:$A$504,0)),""))</f>
        <v/>
      </c>
      <c r="H337" s="12">
        <f>Setup!$B$7</f>
        <v/>
      </c>
      <c r="I337" s="12">
        <f>Setup!$B$8</f>
        <v/>
      </c>
      <c r="J337" s="13">
        <f>IF($D337="","",IFERROR(INDEX(Units_Owners!$J$5:$J$504,MATCH($D337,Units_Owners!$A$5:$A$504,0)),0)+SUMIFS(Ledger!$F:$F,Ledger!$B:$B,$D337,Ledger!$D:$D,"&lt;"&amp;$H337)-SUMIFS(Ledger!$G:$G,Ledger!$B:$B,$D337,Ledger!$D:$D,"&lt;"&amp;$H337))</f>
        <v/>
      </c>
      <c r="K337" s="13">
        <f>IF($D337="","",IFERROR(INDEX(Units_Owners!$H$5:$H$504,MATCH($D337,Units_Owners!$A$5:$A$504,0)),Setup!$B$10))</f>
        <v/>
      </c>
      <c r="L337" s="13">
        <f>IF($D337="","",Setup!$B$11)</f>
        <v/>
      </c>
      <c r="M337" s="13">
        <f>IF($D337="","",IF(AND(TODAY()&gt;=Setup!$B$9,$P337&gt;0),Setup!$B$12,0))</f>
        <v/>
      </c>
      <c r="N337" s="13">
        <f>IF($D337="","",SUM($J337:$M337))</f>
        <v/>
      </c>
      <c r="O337" s="13">
        <f>IF($A337="","",SUMIFS(Payments!$F:$F,Payments!$D:$D,$A337))</f>
        <v/>
      </c>
      <c r="P337" s="13">
        <f>IF($D337="","",MAX(0,$N337-$O337))</f>
        <v/>
      </c>
      <c r="Q337" s="2">
        <f>IF($D337="","",IF(IFERROR(INDEX(Units_Owners!$I$5:$I$504,MATCH($D337,Units_Owners!$A$5:$A$504,0)),"No")&lt;&gt;"Yes","Skip - Inactive",IF($P337=0,"Paid",IF(TODAY()&gt;$I337,"Past Due","Open"))))</f>
        <v/>
      </c>
      <c r="R337" s="12" t="n"/>
      <c r="S337" s="2" t="n"/>
    </row>
    <row r="338">
      <c r="A338" s="2">
        <f>IF($D338="","","INV-"&amp;$B338&amp;"-"&amp;$C338&amp;"-"&amp;TEXT(ROW(A334),"0000"))</f>
        <v/>
      </c>
      <c r="B338" s="2">
        <f>Setup!$B$5</f>
        <v/>
      </c>
      <c r="C338" s="2">
        <f>Setup!$B$6</f>
        <v/>
      </c>
      <c r="D338" s="2">
        <f>IFERROR(INDEX(Units_Owners!$A$5:$A$504,ROWS($A$5:A338)),"")</f>
        <v/>
      </c>
      <c r="E338" s="2">
        <f>IF($D338="","",IFERROR(INDEX(Units_Owners!$B$5:$B$504,MATCH($D338,Units_Owners!$A$5:$A$504,0)),""))</f>
        <v/>
      </c>
      <c r="F338" s="2">
        <f>IF($D338="","",IFERROR(INDEX(Units_Owners!$C$5:$C$504,MATCH($D338,Units_Owners!$A$5:$A$504,0)),""))</f>
        <v/>
      </c>
      <c r="G338" s="2">
        <f>IF($D338="","",IFERROR(INDEX(Units_Owners!$D$5:$D$504,MATCH($D338,Units_Owners!$A$5:$A$504,0)),""))</f>
        <v/>
      </c>
      <c r="H338" s="12">
        <f>Setup!$B$7</f>
        <v/>
      </c>
      <c r="I338" s="12">
        <f>Setup!$B$8</f>
        <v/>
      </c>
      <c r="J338" s="13">
        <f>IF($D338="","",IFERROR(INDEX(Units_Owners!$J$5:$J$504,MATCH($D338,Units_Owners!$A$5:$A$504,0)),0)+SUMIFS(Ledger!$F:$F,Ledger!$B:$B,$D338,Ledger!$D:$D,"&lt;"&amp;$H338)-SUMIFS(Ledger!$G:$G,Ledger!$B:$B,$D338,Ledger!$D:$D,"&lt;"&amp;$H338))</f>
        <v/>
      </c>
      <c r="K338" s="13">
        <f>IF($D338="","",IFERROR(INDEX(Units_Owners!$H$5:$H$504,MATCH($D338,Units_Owners!$A$5:$A$504,0)),Setup!$B$10))</f>
        <v/>
      </c>
      <c r="L338" s="13">
        <f>IF($D338="","",Setup!$B$11)</f>
        <v/>
      </c>
      <c r="M338" s="13">
        <f>IF($D338="","",IF(AND(TODAY()&gt;=Setup!$B$9,$P338&gt;0),Setup!$B$12,0))</f>
        <v/>
      </c>
      <c r="N338" s="13">
        <f>IF($D338="","",SUM($J338:$M338))</f>
        <v/>
      </c>
      <c r="O338" s="13">
        <f>IF($A338="","",SUMIFS(Payments!$F:$F,Payments!$D:$D,$A338))</f>
        <v/>
      </c>
      <c r="P338" s="13">
        <f>IF($D338="","",MAX(0,$N338-$O338))</f>
        <v/>
      </c>
      <c r="Q338" s="2">
        <f>IF($D338="","",IF(IFERROR(INDEX(Units_Owners!$I$5:$I$504,MATCH($D338,Units_Owners!$A$5:$A$504,0)),"No")&lt;&gt;"Yes","Skip - Inactive",IF($P338=0,"Paid",IF(TODAY()&gt;$I338,"Past Due","Open"))))</f>
        <v/>
      </c>
      <c r="R338" s="14" t="n"/>
      <c r="S338" s="6" t="n"/>
    </row>
    <row r="339">
      <c r="A339" s="2">
        <f>IF($D339="","","INV-"&amp;$B339&amp;"-"&amp;$C339&amp;"-"&amp;TEXT(ROW(A335),"0000"))</f>
        <v/>
      </c>
      <c r="B339" s="2">
        <f>Setup!$B$5</f>
        <v/>
      </c>
      <c r="C339" s="2">
        <f>Setup!$B$6</f>
        <v/>
      </c>
      <c r="D339" s="2">
        <f>IFERROR(INDEX(Units_Owners!$A$5:$A$504,ROWS($A$5:A339)),"")</f>
        <v/>
      </c>
      <c r="E339" s="2">
        <f>IF($D339="","",IFERROR(INDEX(Units_Owners!$B$5:$B$504,MATCH($D339,Units_Owners!$A$5:$A$504,0)),""))</f>
        <v/>
      </c>
      <c r="F339" s="2">
        <f>IF($D339="","",IFERROR(INDEX(Units_Owners!$C$5:$C$504,MATCH($D339,Units_Owners!$A$5:$A$504,0)),""))</f>
        <v/>
      </c>
      <c r="G339" s="2">
        <f>IF($D339="","",IFERROR(INDEX(Units_Owners!$D$5:$D$504,MATCH($D339,Units_Owners!$A$5:$A$504,0)),""))</f>
        <v/>
      </c>
      <c r="H339" s="12">
        <f>Setup!$B$7</f>
        <v/>
      </c>
      <c r="I339" s="12">
        <f>Setup!$B$8</f>
        <v/>
      </c>
      <c r="J339" s="13">
        <f>IF($D339="","",IFERROR(INDEX(Units_Owners!$J$5:$J$504,MATCH($D339,Units_Owners!$A$5:$A$504,0)),0)+SUMIFS(Ledger!$F:$F,Ledger!$B:$B,$D339,Ledger!$D:$D,"&lt;"&amp;$H339)-SUMIFS(Ledger!$G:$G,Ledger!$B:$B,$D339,Ledger!$D:$D,"&lt;"&amp;$H339))</f>
        <v/>
      </c>
      <c r="K339" s="13">
        <f>IF($D339="","",IFERROR(INDEX(Units_Owners!$H$5:$H$504,MATCH($D339,Units_Owners!$A$5:$A$504,0)),Setup!$B$10))</f>
        <v/>
      </c>
      <c r="L339" s="13">
        <f>IF($D339="","",Setup!$B$11)</f>
        <v/>
      </c>
      <c r="M339" s="13">
        <f>IF($D339="","",IF(AND(TODAY()&gt;=Setup!$B$9,$P339&gt;0),Setup!$B$12,0))</f>
        <v/>
      </c>
      <c r="N339" s="13">
        <f>IF($D339="","",SUM($J339:$M339))</f>
        <v/>
      </c>
      <c r="O339" s="13">
        <f>IF($A339="","",SUMIFS(Payments!$F:$F,Payments!$D:$D,$A339))</f>
        <v/>
      </c>
      <c r="P339" s="13">
        <f>IF($D339="","",MAX(0,$N339-$O339))</f>
        <v/>
      </c>
      <c r="Q339" s="2">
        <f>IF($D339="","",IF(IFERROR(INDEX(Units_Owners!$I$5:$I$504,MATCH($D339,Units_Owners!$A$5:$A$504,0)),"No")&lt;&gt;"Yes","Skip - Inactive",IF($P339=0,"Paid",IF(TODAY()&gt;$I339,"Past Due","Open"))))</f>
        <v/>
      </c>
      <c r="R339" s="12" t="n"/>
      <c r="S339" s="2" t="n"/>
    </row>
    <row r="340">
      <c r="A340" s="2">
        <f>IF($D340="","","INV-"&amp;$B340&amp;"-"&amp;$C340&amp;"-"&amp;TEXT(ROW(A336),"0000"))</f>
        <v/>
      </c>
      <c r="B340" s="2">
        <f>Setup!$B$5</f>
        <v/>
      </c>
      <c r="C340" s="2">
        <f>Setup!$B$6</f>
        <v/>
      </c>
      <c r="D340" s="2">
        <f>IFERROR(INDEX(Units_Owners!$A$5:$A$504,ROWS($A$5:A340)),"")</f>
        <v/>
      </c>
      <c r="E340" s="2">
        <f>IF($D340="","",IFERROR(INDEX(Units_Owners!$B$5:$B$504,MATCH($D340,Units_Owners!$A$5:$A$504,0)),""))</f>
        <v/>
      </c>
      <c r="F340" s="2">
        <f>IF($D340="","",IFERROR(INDEX(Units_Owners!$C$5:$C$504,MATCH($D340,Units_Owners!$A$5:$A$504,0)),""))</f>
        <v/>
      </c>
      <c r="G340" s="2">
        <f>IF($D340="","",IFERROR(INDEX(Units_Owners!$D$5:$D$504,MATCH($D340,Units_Owners!$A$5:$A$504,0)),""))</f>
        <v/>
      </c>
      <c r="H340" s="12">
        <f>Setup!$B$7</f>
        <v/>
      </c>
      <c r="I340" s="12">
        <f>Setup!$B$8</f>
        <v/>
      </c>
      <c r="J340" s="13">
        <f>IF($D340="","",IFERROR(INDEX(Units_Owners!$J$5:$J$504,MATCH($D340,Units_Owners!$A$5:$A$504,0)),0)+SUMIFS(Ledger!$F:$F,Ledger!$B:$B,$D340,Ledger!$D:$D,"&lt;"&amp;$H340)-SUMIFS(Ledger!$G:$G,Ledger!$B:$B,$D340,Ledger!$D:$D,"&lt;"&amp;$H340))</f>
        <v/>
      </c>
      <c r="K340" s="13">
        <f>IF($D340="","",IFERROR(INDEX(Units_Owners!$H$5:$H$504,MATCH($D340,Units_Owners!$A$5:$A$504,0)),Setup!$B$10))</f>
        <v/>
      </c>
      <c r="L340" s="13">
        <f>IF($D340="","",Setup!$B$11)</f>
        <v/>
      </c>
      <c r="M340" s="13">
        <f>IF($D340="","",IF(AND(TODAY()&gt;=Setup!$B$9,$P340&gt;0),Setup!$B$12,0))</f>
        <v/>
      </c>
      <c r="N340" s="13">
        <f>IF($D340="","",SUM($J340:$M340))</f>
        <v/>
      </c>
      <c r="O340" s="13">
        <f>IF($A340="","",SUMIFS(Payments!$F:$F,Payments!$D:$D,$A340))</f>
        <v/>
      </c>
      <c r="P340" s="13">
        <f>IF($D340="","",MAX(0,$N340-$O340))</f>
        <v/>
      </c>
      <c r="Q340" s="2">
        <f>IF($D340="","",IF(IFERROR(INDEX(Units_Owners!$I$5:$I$504,MATCH($D340,Units_Owners!$A$5:$A$504,0)),"No")&lt;&gt;"Yes","Skip - Inactive",IF($P340=0,"Paid",IF(TODAY()&gt;$I340,"Past Due","Open"))))</f>
        <v/>
      </c>
      <c r="R340" s="14" t="n"/>
      <c r="S340" s="6" t="n"/>
    </row>
    <row r="341">
      <c r="A341" s="2">
        <f>IF($D341="","","INV-"&amp;$B341&amp;"-"&amp;$C341&amp;"-"&amp;TEXT(ROW(A337),"0000"))</f>
        <v/>
      </c>
      <c r="B341" s="2">
        <f>Setup!$B$5</f>
        <v/>
      </c>
      <c r="C341" s="2">
        <f>Setup!$B$6</f>
        <v/>
      </c>
      <c r="D341" s="2">
        <f>IFERROR(INDEX(Units_Owners!$A$5:$A$504,ROWS($A$5:A341)),"")</f>
        <v/>
      </c>
      <c r="E341" s="2">
        <f>IF($D341="","",IFERROR(INDEX(Units_Owners!$B$5:$B$504,MATCH($D341,Units_Owners!$A$5:$A$504,0)),""))</f>
        <v/>
      </c>
      <c r="F341" s="2">
        <f>IF($D341="","",IFERROR(INDEX(Units_Owners!$C$5:$C$504,MATCH($D341,Units_Owners!$A$5:$A$504,0)),""))</f>
        <v/>
      </c>
      <c r="G341" s="2">
        <f>IF($D341="","",IFERROR(INDEX(Units_Owners!$D$5:$D$504,MATCH($D341,Units_Owners!$A$5:$A$504,0)),""))</f>
        <v/>
      </c>
      <c r="H341" s="12">
        <f>Setup!$B$7</f>
        <v/>
      </c>
      <c r="I341" s="12">
        <f>Setup!$B$8</f>
        <v/>
      </c>
      <c r="J341" s="13">
        <f>IF($D341="","",IFERROR(INDEX(Units_Owners!$J$5:$J$504,MATCH($D341,Units_Owners!$A$5:$A$504,0)),0)+SUMIFS(Ledger!$F:$F,Ledger!$B:$B,$D341,Ledger!$D:$D,"&lt;"&amp;$H341)-SUMIFS(Ledger!$G:$G,Ledger!$B:$B,$D341,Ledger!$D:$D,"&lt;"&amp;$H341))</f>
        <v/>
      </c>
      <c r="K341" s="13">
        <f>IF($D341="","",IFERROR(INDEX(Units_Owners!$H$5:$H$504,MATCH($D341,Units_Owners!$A$5:$A$504,0)),Setup!$B$10))</f>
        <v/>
      </c>
      <c r="L341" s="13">
        <f>IF($D341="","",Setup!$B$11)</f>
        <v/>
      </c>
      <c r="M341" s="13">
        <f>IF($D341="","",IF(AND(TODAY()&gt;=Setup!$B$9,$P341&gt;0),Setup!$B$12,0))</f>
        <v/>
      </c>
      <c r="N341" s="13">
        <f>IF($D341="","",SUM($J341:$M341))</f>
        <v/>
      </c>
      <c r="O341" s="13">
        <f>IF($A341="","",SUMIFS(Payments!$F:$F,Payments!$D:$D,$A341))</f>
        <v/>
      </c>
      <c r="P341" s="13">
        <f>IF($D341="","",MAX(0,$N341-$O341))</f>
        <v/>
      </c>
      <c r="Q341" s="2">
        <f>IF($D341="","",IF(IFERROR(INDEX(Units_Owners!$I$5:$I$504,MATCH($D341,Units_Owners!$A$5:$A$504,0)),"No")&lt;&gt;"Yes","Skip - Inactive",IF($P341=0,"Paid",IF(TODAY()&gt;$I341,"Past Due","Open"))))</f>
        <v/>
      </c>
      <c r="R341" s="12" t="n"/>
      <c r="S341" s="2" t="n"/>
    </row>
    <row r="342">
      <c r="A342" s="2">
        <f>IF($D342="","","INV-"&amp;$B342&amp;"-"&amp;$C342&amp;"-"&amp;TEXT(ROW(A338),"0000"))</f>
        <v/>
      </c>
      <c r="B342" s="2">
        <f>Setup!$B$5</f>
        <v/>
      </c>
      <c r="C342" s="2">
        <f>Setup!$B$6</f>
        <v/>
      </c>
      <c r="D342" s="2">
        <f>IFERROR(INDEX(Units_Owners!$A$5:$A$504,ROWS($A$5:A342)),"")</f>
        <v/>
      </c>
      <c r="E342" s="2">
        <f>IF($D342="","",IFERROR(INDEX(Units_Owners!$B$5:$B$504,MATCH($D342,Units_Owners!$A$5:$A$504,0)),""))</f>
        <v/>
      </c>
      <c r="F342" s="2">
        <f>IF($D342="","",IFERROR(INDEX(Units_Owners!$C$5:$C$504,MATCH($D342,Units_Owners!$A$5:$A$504,0)),""))</f>
        <v/>
      </c>
      <c r="G342" s="2">
        <f>IF($D342="","",IFERROR(INDEX(Units_Owners!$D$5:$D$504,MATCH($D342,Units_Owners!$A$5:$A$504,0)),""))</f>
        <v/>
      </c>
      <c r="H342" s="12">
        <f>Setup!$B$7</f>
        <v/>
      </c>
      <c r="I342" s="12">
        <f>Setup!$B$8</f>
        <v/>
      </c>
      <c r="J342" s="13">
        <f>IF($D342="","",IFERROR(INDEX(Units_Owners!$J$5:$J$504,MATCH($D342,Units_Owners!$A$5:$A$504,0)),0)+SUMIFS(Ledger!$F:$F,Ledger!$B:$B,$D342,Ledger!$D:$D,"&lt;"&amp;$H342)-SUMIFS(Ledger!$G:$G,Ledger!$B:$B,$D342,Ledger!$D:$D,"&lt;"&amp;$H342))</f>
        <v/>
      </c>
      <c r="K342" s="13">
        <f>IF($D342="","",IFERROR(INDEX(Units_Owners!$H$5:$H$504,MATCH($D342,Units_Owners!$A$5:$A$504,0)),Setup!$B$10))</f>
        <v/>
      </c>
      <c r="L342" s="13">
        <f>IF($D342="","",Setup!$B$11)</f>
        <v/>
      </c>
      <c r="M342" s="13">
        <f>IF($D342="","",IF(AND(TODAY()&gt;=Setup!$B$9,$P342&gt;0),Setup!$B$12,0))</f>
        <v/>
      </c>
      <c r="N342" s="13">
        <f>IF($D342="","",SUM($J342:$M342))</f>
        <v/>
      </c>
      <c r="O342" s="13">
        <f>IF($A342="","",SUMIFS(Payments!$F:$F,Payments!$D:$D,$A342))</f>
        <v/>
      </c>
      <c r="P342" s="13">
        <f>IF($D342="","",MAX(0,$N342-$O342))</f>
        <v/>
      </c>
      <c r="Q342" s="2">
        <f>IF($D342="","",IF(IFERROR(INDEX(Units_Owners!$I$5:$I$504,MATCH($D342,Units_Owners!$A$5:$A$504,0)),"No")&lt;&gt;"Yes","Skip - Inactive",IF($P342=0,"Paid",IF(TODAY()&gt;$I342,"Past Due","Open"))))</f>
        <v/>
      </c>
      <c r="R342" s="14" t="n"/>
      <c r="S342" s="6" t="n"/>
    </row>
    <row r="343">
      <c r="A343" s="2">
        <f>IF($D343="","","INV-"&amp;$B343&amp;"-"&amp;$C343&amp;"-"&amp;TEXT(ROW(A339),"0000"))</f>
        <v/>
      </c>
      <c r="B343" s="2">
        <f>Setup!$B$5</f>
        <v/>
      </c>
      <c r="C343" s="2">
        <f>Setup!$B$6</f>
        <v/>
      </c>
      <c r="D343" s="2">
        <f>IFERROR(INDEX(Units_Owners!$A$5:$A$504,ROWS($A$5:A343)),"")</f>
        <v/>
      </c>
      <c r="E343" s="2">
        <f>IF($D343="","",IFERROR(INDEX(Units_Owners!$B$5:$B$504,MATCH($D343,Units_Owners!$A$5:$A$504,0)),""))</f>
        <v/>
      </c>
      <c r="F343" s="2">
        <f>IF($D343="","",IFERROR(INDEX(Units_Owners!$C$5:$C$504,MATCH($D343,Units_Owners!$A$5:$A$504,0)),""))</f>
        <v/>
      </c>
      <c r="G343" s="2">
        <f>IF($D343="","",IFERROR(INDEX(Units_Owners!$D$5:$D$504,MATCH($D343,Units_Owners!$A$5:$A$504,0)),""))</f>
        <v/>
      </c>
      <c r="H343" s="12">
        <f>Setup!$B$7</f>
        <v/>
      </c>
      <c r="I343" s="12">
        <f>Setup!$B$8</f>
        <v/>
      </c>
      <c r="J343" s="13">
        <f>IF($D343="","",IFERROR(INDEX(Units_Owners!$J$5:$J$504,MATCH($D343,Units_Owners!$A$5:$A$504,0)),0)+SUMIFS(Ledger!$F:$F,Ledger!$B:$B,$D343,Ledger!$D:$D,"&lt;"&amp;$H343)-SUMIFS(Ledger!$G:$G,Ledger!$B:$B,$D343,Ledger!$D:$D,"&lt;"&amp;$H343))</f>
        <v/>
      </c>
      <c r="K343" s="13">
        <f>IF($D343="","",IFERROR(INDEX(Units_Owners!$H$5:$H$504,MATCH($D343,Units_Owners!$A$5:$A$504,0)),Setup!$B$10))</f>
        <v/>
      </c>
      <c r="L343" s="13">
        <f>IF($D343="","",Setup!$B$11)</f>
        <v/>
      </c>
      <c r="M343" s="13">
        <f>IF($D343="","",IF(AND(TODAY()&gt;=Setup!$B$9,$P343&gt;0),Setup!$B$12,0))</f>
        <v/>
      </c>
      <c r="N343" s="13">
        <f>IF($D343="","",SUM($J343:$M343))</f>
        <v/>
      </c>
      <c r="O343" s="13">
        <f>IF($A343="","",SUMIFS(Payments!$F:$F,Payments!$D:$D,$A343))</f>
        <v/>
      </c>
      <c r="P343" s="13">
        <f>IF($D343="","",MAX(0,$N343-$O343))</f>
        <v/>
      </c>
      <c r="Q343" s="2">
        <f>IF($D343="","",IF(IFERROR(INDEX(Units_Owners!$I$5:$I$504,MATCH($D343,Units_Owners!$A$5:$A$504,0)),"No")&lt;&gt;"Yes","Skip - Inactive",IF($P343=0,"Paid",IF(TODAY()&gt;$I343,"Past Due","Open"))))</f>
        <v/>
      </c>
      <c r="R343" s="12" t="n"/>
      <c r="S343" s="2" t="n"/>
    </row>
    <row r="344">
      <c r="A344" s="2">
        <f>IF($D344="","","INV-"&amp;$B344&amp;"-"&amp;$C344&amp;"-"&amp;TEXT(ROW(A340),"0000"))</f>
        <v/>
      </c>
      <c r="B344" s="2">
        <f>Setup!$B$5</f>
        <v/>
      </c>
      <c r="C344" s="2">
        <f>Setup!$B$6</f>
        <v/>
      </c>
      <c r="D344" s="2">
        <f>IFERROR(INDEX(Units_Owners!$A$5:$A$504,ROWS($A$5:A344)),"")</f>
        <v/>
      </c>
      <c r="E344" s="2">
        <f>IF($D344="","",IFERROR(INDEX(Units_Owners!$B$5:$B$504,MATCH($D344,Units_Owners!$A$5:$A$504,0)),""))</f>
        <v/>
      </c>
      <c r="F344" s="2">
        <f>IF($D344="","",IFERROR(INDEX(Units_Owners!$C$5:$C$504,MATCH($D344,Units_Owners!$A$5:$A$504,0)),""))</f>
        <v/>
      </c>
      <c r="G344" s="2">
        <f>IF($D344="","",IFERROR(INDEX(Units_Owners!$D$5:$D$504,MATCH($D344,Units_Owners!$A$5:$A$504,0)),""))</f>
        <v/>
      </c>
      <c r="H344" s="12">
        <f>Setup!$B$7</f>
        <v/>
      </c>
      <c r="I344" s="12">
        <f>Setup!$B$8</f>
        <v/>
      </c>
      <c r="J344" s="13">
        <f>IF($D344="","",IFERROR(INDEX(Units_Owners!$J$5:$J$504,MATCH($D344,Units_Owners!$A$5:$A$504,0)),0)+SUMIFS(Ledger!$F:$F,Ledger!$B:$B,$D344,Ledger!$D:$D,"&lt;"&amp;$H344)-SUMIFS(Ledger!$G:$G,Ledger!$B:$B,$D344,Ledger!$D:$D,"&lt;"&amp;$H344))</f>
        <v/>
      </c>
      <c r="K344" s="13">
        <f>IF($D344="","",IFERROR(INDEX(Units_Owners!$H$5:$H$504,MATCH($D344,Units_Owners!$A$5:$A$504,0)),Setup!$B$10))</f>
        <v/>
      </c>
      <c r="L344" s="13">
        <f>IF($D344="","",Setup!$B$11)</f>
        <v/>
      </c>
      <c r="M344" s="13">
        <f>IF($D344="","",IF(AND(TODAY()&gt;=Setup!$B$9,$P344&gt;0),Setup!$B$12,0))</f>
        <v/>
      </c>
      <c r="N344" s="13">
        <f>IF($D344="","",SUM($J344:$M344))</f>
        <v/>
      </c>
      <c r="O344" s="13">
        <f>IF($A344="","",SUMIFS(Payments!$F:$F,Payments!$D:$D,$A344))</f>
        <v/>
      </c>
      <c r="P344" s="13">
        <f>IF($D344="","",MAX(0,$N344-$O344))</f>
        <v/>
      </c>
      <c r="Q344" s="2">
        <f>IF($D344="","",IF(IFERROR(INDEX(Units_Owners!$I$5:$I$504,MATCH($D344,Units_Owners!$A$5:$A$504,0)),"No")&lt;&gt;"Yes","Skip - Inactive",IF($P344=0,"Paid",IF(TODAY()&gt;$I344,"Past Due","Open"))))</f>
        <v/>
      </c>
      <c r="R344" s="14" t="n"/>
      <c r="S344" s="6" t="n"/>
    </row>
    <row r="345">
      <c r="A345" s="2">
        <f>IF($D345="","","INV-"&amp;$B345&amp;"-"&amp;$C345&amp;"-"&amp;TEXT(ROW(A341),"0000"))</f>
        <v/>
      </c>
      <c r="B345" s="2">
        <f>Setup!$B$5</f>
        <v/>
      </c>
      <c r="C345" s="2">
        <f>Setup!$B$6</f>
        <v/>
      </c>
      <c r="D345" s="2">
        <f>IFERROR(INDEX(Units_Owners!$A$5:$A$504,ROWS($A$5:A345)),"")</f>
        <v/>
      </c>
      <c r="E345" s="2">
        <f>IF($D345="","",IFERROR(INDEX(Units_Owners!$B$5:$B$504,MATCH($D345,Units_Owners!$A$5:$A$504,0)),""))</f>
        <v/>
      </c>
      <c r="F345" s="2">
        <f>IF($D345="","",IFERROR(INDEX(Units_Owners!$C$5:$C$504,MATCH($D345,Units_Owners!$A$5:$A$504,0)),""))</f>
        <v/>
      </c>
      <c r="G345" s="2">
        <f>IF($D345="","",IFERROR(INDEX(Units_Owners!$D$5:$D$504,MATCH($D345,Units_Owners!$A$5:$A$504,0)),""))</f>
        <v/>
      </c>
      <c r="H345" s="12">
        <f>Setup!$B$7</f>
        <v/>
      </c>
      <c r="I345" s="12">
        <f>Setup!$B$8</f>
        <v/>
      </c>
      <c r="J345" s="13">
        <f>IF($D345="","",IFERROR(INDEX(Units_Owners!$J$5:$J$504,MATCH($D345,Units_Owners!$A$5:$A$504,0)),0)+SUMIFS(Ledger!$F:$F,Ledger!$B:$B,$D345,Ledger!$D:$D,"&lt;"&amp;$H345)-SUMIFS(Ledger!$G:$G,Ledger!$B:$B,$D345,Ledger!$D:$D,"&lt;"&amp;$H345))</f>
        <v/>
      </c>
      <c r="K345" s="13">
        <f>IF($D345="","",IFERROR(INDEX(Units_Owners!$H$5:$H$504,MATCH($D345,Units_Owners!$A$5:$A$504,0)),Setup!$B$10))</f>
        <v/>
      </c>
      <c r="L345" s="13">
        <f>IF($D345="","",Setup!$B$11)</f>
        <v/>
      </c>
      <c r="M345" s="13">
        <f>IF($D345="","",IF(AND(TODAY()&gt;=Setup!$B$9,$P345&gt;0),Setup!$B$12,0))</f>
        <v/>
      </c>
      <c r="N345" s="13">
        <f>IF($D345="","",SUM($J345:$M345))</f>
        <v/>
      </c>
      <c r="O345" s="13">
        <f>IF($A345="","",SUMIFS(Payments!$F:$F,Payments!$D:$D,$A345))</f>
        <v/>
      </c>
      <c r="P345" s="13">
        <f>IF($D345="","",MAX(0,$N345-$O345))</f>
        <v/>
      </c>
      <c r="Q345" s="2">
        <f>IF($D345="","",IF(IFERROR(INDEX(Units_Owners!$I$5:$I$504,MATCH($D345,Units_Owners!$A$5:$A$504,0)),"No")&lt;&gt;"Yes","Skip - Inactive",IF($P345=0,"Paid",IF(TODAY()&gt;$I345,"Past Due","Open"))))</f>
        <v/>
      </c>
      <c r="R345" s="12" t="n"/>
      <c r="S345" s="2" t="n"/>
    </row>
    <row r="346">
      <c r="A346" s="2">
        <f>IF($D346="","","INV-"&amp;$B346&amp;"-"&amp;$C346&amp;"-"&amp;TEXT(ROW(A342),"0000"))</f>
        <v/>
      </c>
      <c r="B346" s="2">
        <f>Setup!$B$5</f>
        <v/>
      </c>
      <c r="C346" s="2">
        <f>Setup!$B$6</f>
        <v/>
      </c>
      <c r="D346" s="2">
        <f>IFERROR(INDEX(Units_Owners!$A$5:$A$504,ROWS($A$5:A346)),"")</f>
        <v/>
      </c>
      <c r="E346" s="2">
        <f>IF($D346="","",IFERROR(INDEX(Units_Owners!$B$5:$B$504,MATCH($D346,Units_Owners!$A$5:$A$504,0)),""))</f>
        <v/>
      </c>
      <c r="F346" s="2">
        <f>IF($D346="","",IFERROR(INDEX(Units_Owners!$C$5:$C$504,MATCH($D346,Units_Owners!$A$5:$A$504,0)),""))</f>
        <v/>
      </c>
      <c r="G346" s="2">
        <f>IF($D346="","",IFERROR(INDEX(Units_Owners!$D$5:$D$504,MATCH($D346,Units_Owners!$A$5:$A$504,0)),""))</f>
        <v/>
      </c>
      <c r="H346" s="12">
        <f>Setup!$B$7</f>
        <v/>
      </c>
      <c r="I346" s="12">
        <f>Setup!$B$8</f>
        <v/>
      </c>
      <c r="J346" s="13">
        <f>IF($D346="","",IFERROR(INDEX(Units_Owners!$J$5:$J$504,MATCH($D346,Units_Owners!$A$5:$A$504,0)),0)+SUMIFS(Ledger!$F:$F,Ledger!$B:$B,$D346,Ledger!$D:$D,"&lt;"&amp;$H346)-SUMIFS(Ledger!$G:$G,Ledger!$B:$B,$D346,Ledger!$D:$D,"&lt;"&amp;$H346))</f>
        <v/>
      </c>
      <c r="K346" s="13">
        <f>IF($D346="","",IFERROR(INDEX(Units_Owners!$H$5:$H$504,MATCH($D346,Units_Owners!$A$5:$A$504,0)),Setup!$B$10))</f>
        <v/>
      </c>
      <c r="L346" s="13">
        <f>IF($D346="","",Setup!$B$11)</f>
        <v/>
      </c>
      <c r="M346" s="13">
        <f>IF($D346="","",IF(AND(TODAY()&gt;=Setup!$B$9,$P346&gt;0),Setup!$B$12,0))</f>
        <v/>
      </c>
      <c r="N346" s="13">
        <f>IF($D346="","",SUM($J346:$M346))</f>
        <v/>
      </c>
      <c r="O346" s="13">
        <f>IF($A346="","",SUMIFS(Payments!$F:$F,Payments!$D:$D,$A346))</f>
        <v/>
      </c>
      <c r="P346" s="13">
        <f>IF($D346="","",MAX(0,$N346-$O346))</f>
        <v/>
      </c>
      <c r="Q346" s="2">
        <f>IF($D346="","",IF(IFERROR(INDEX(Units_Owners!$I$5:$I$504,MATCH($D346,Units_Owners!$A$5:$A$504,0)),"No")&lt;&gt;"Yes","Skip - Inactive",IF($P346=0,"Paid",IF(TODAY()&gt;$I346,"Past Due","Open"))))</f>
        <v/>
      </c>
      <c r="R346" s="14" t="n"/>
      <c r="S346" s="6" t="n"/>
    </row>
    <row r="347">
      <c r="A347" s="2">
        <f>IF($D347="","","INV-"&amp;$B347&amp;"-"&amp;$C347&amp;"-"&amp;TEXT(ROW(A343),"0000"))</f>
        <v/>
      </c>
      <c r="B347" s="2">
        <f>Setup!$B$5</f>
        <v/>
      </c>
      <c r="C347" s="2">
        <f>Setup!$B$6</f>
        <v/>
      </c>
      <c r="D347" s="2">
        <f>IFERROR(INDEX(Units_Owners!$A$5:$A$504,ROWS($A$5:A347)),"")</f>
        <v/>
      </c>
      <c r="E347" s="2">
        <f>IF($D347="","",IFERROR(INDEX(Units_Owners!$B$5:$B$504,MATCH($D347,Units_Owners!$A$5:$A$504,0)),""))</f>
        <v/>
      </c>
      <c r="F347" s="2">
        <f>IF($D347="","",IFERROR(INDEX(Units_Owners!$C$5:$C$504,MATCH($D347,Units_Owners!$A$5:$A$504,0)),""))</f>
        <v/>
      </c>
      <c r="G347" s="2">
        <f>IF($D347="","",IFERROR(INDEX(Units_Owners!$D$5:$D$504,MATCH($D347,Units_Owners!$A$5:$A$504,0)),""))</f>
        <v/>
      </c>
      <c r="H347" s="12">
        <f>Setup!$B$7</f>
        <v/>
      </c>
      <c r="I347" s="12">
        <f>Setup!$B$8</f>
        <v/>
      </c>
      <c r="J347" s="13">
        <f>IF($D347="","",IFERROR(INDEX(Units_Owners!$J$5:$J$504,MATCH($D347,Units_Owners!$A$5:$A$504,0)),0)+SUMIFS(Ledger!$F:$F,Ledger!$B:$B,$D347,Ledger!$D:$D,"&lt;"&amp;$H347)-SUMIFS(Ledger!$G:$G,Ledger!$B:$B,$D347,Ledger!$D:$D,"&lt;"&amp;$H347))</f>
        <v/>
      </c>
      <c r="K347" s="13">
        <f>IF($D347="","",IFERROR(INDEX(Units_Owners!$H$5:$H$504,MATCH($D347,Units_Owners!$A$5:$A$504,0)),Setup!$B$10))</f>
        <v/>
      </c>
      <c r="L347" s="13">
        <f>IF($D347="","",Setup!$B$11)</f>
        <v/>
      </c>
      <c r="M347" s="13">
        <f>IF($D347="","",IF(AND(TODAY()&gt;=Setup!$B$9,$P347&gt;0),Setup!$B$12,0))</f>
        <v/>
      </c>
      <c r="N347" s="13">
        <f>IF($D347="","",SUM($J347:$M347))</f>
        <v/>
      </c>
      <c r="O347" s="13">
        <f>IF($A347="","",SUMIFS(Payments!$F:$F,Payments!$D:$D,$A347))</f>
        <v/>
      </c>
      <c r="P347" s="13">
        <f>IF($D347="","",MAX(0,$N347-$O347))</f>
        <v/>
      </c>
      <c r="Q347" s="2">
        <f>IF($D347="","",IF(IFERROR(INDEX(Units_Owners!$I$5:$I$504,MATCH($D347,Units_Owners!$A$5:$A$504,0)),"No")&lt;&gt;"Yes","Skip - Inactive",IF($P347=0,"Paid",IF(TODAY()&gt;$I347,"Past Due","Open"))))</f>
        <v/>
      </c>
      <c r="R347" s="12" t="n"/>
      <c r="S347" s="2" t="n"/>
    </row>
    <row r="348">
      <c r="A348" s="2">
        <f>IF($D348="","","INV-"&amp;$B348&amp;"-"&amp;$C348&amp;"-"&amp;TEXT(ROW(A344),"0000"))</f>
        <v/>
      </c>
      <c r="B348" s="2">
        <f>Setup!$B$5</f>
        <v/>
      </c>
      <c r="C348" s="2">
        <f>Setup!$B$6</f>
        <v/>
      </c>
      <c r="D348" s="2">
        <f>IFERROR(INDEX(Units_Owners!$A$5:$A$504,ROWS($A$5:A348)),"")</f>
        <v/>
      </c>
      <c r="E348" s="2">
        <f>IF($D348="","",IFERROR(INDEX(Units_Owners!$B$5:$B$504,MATCH($D348,Units_Owners!$A$5:$A$504,0)),""))</f>
        <v/>
      </c>
      <c r="F348" s="2">
        <f>IF($D348="","",IFERROR(INDEX(Units_Owners!$C$5:$C$504,MATCH($D348,Units_Owners!$A$5:$A$504,0)),""))</f>
        <v/>
      </c>
      <c r="G348" s="2">
        <f>IF($D348="","",IFERROR(INDEX(Units_Owners!$D$5:$D$504,MATCH($D348,Units_Owners!$A$5:$A$504,0)),""))</f>
        <v/>
      </c>
      <c r="H348" s="12">
        <f>Setup!$B$7</f>
        <v/>
      </c>
      <c r="I348" s="12">
        <f>Setup!$B$8</f>
        <v/>
      </c>
      <c r="J348" s="13">
        <f>IF($D348="","",IFERROR(INDEX(Units_Owners!$J$5:$J$504,MATCH($D348,Units_Owners!$A$5:$A$504,0)),0)+SUMIFS(Ledger!$F:$F,Ledger!$B:$B,$D348,Ledger!$D:$D,"&lt;"&amp;$H348)-SUMIFS(Ledger!$G:$G,Ledger!$B:$B,$D348,Ledger!$D:$D,"&lt;"&amp;$H348))</f>
        <v/>
      </c>
      <c r="K348" s="13">
        <f>IF($D348="","",IFERROR(INDEX(Units_Owners!$H$5:$H$504,MATCH($D348,Units_Owners!$A$5:$A$504,0)),Setup!$B$10))</f>
        <v/>
      </c>
      <c r="L348" s="13">
        <f>IF($D348="","",Setup!$B$11)</f>
        <v/>
      </c>
      <c r="M348" s="13">
        <f>IF($D348="","",IF(AND(TODAY()&gt;=Setup!$B$9,$P348&gt;0),Setup!$B$12,0))</f>
        <v/>
      </c>
      <c r="N348" s="13">
        <f>IF($D348="","",SUM($J348:$M348))</f>
        <v/>
      </c>
      <c r="O348" s="13">
        <f>IF($A348="","",SUMIFS(Payments!$F:$F,Payments!$D:$D,$A348))</f>
        <v/>
      </c>
      <c r="P348" s="13">
        <f>IF($D348="","",MAX(0,$N348-$O348))</f>
        <v/>
      </c>
      <c r="Q348" s="2">
        <f>IF($D348="","",IF(IFERROR(INDEX(Units_Owners!$I$5:$I$504,MATCH($D348,Units_Owners!$A$5:$A$504,0)),"No")&lt;&gt;"Yes","Skip - Inactive",IF($P348=0,"Paid",IF(TODAY()&gt;$I348,"Past Due","Open"))))</f>
        <v/>
      </c>
      <c r="R348" s="14" t="n"/>
      <c r="S348" s="6" t="n"/>
    </row>
    <row r="349">
      <c r="A349" s="2">
        <f>IF($D349="","","INV-"&amp;$B349&amp;"-"&amp;$C349&amp;"-"&amp;TEXT(ROW(A345),"0000"))</f>
        <v/>
      </c>
      <c r="B349" s="2">
        <f>Setup!$B$5</f>
        <v/>
      </c>
      <c r="C349" s="2">
        <f>Setup!$B$6</f>
        <v/>
      </c>
      <c r="D349" s="2">
        <f>IFERROR(INDEX(Units_Owners!$A$5:$A$504,ROWS($A$5:A349)),"")</f>
        <v/>
      </c>
      <c r="E349" s="2">
        <f>IF($D349="","",IFERROR(INDEX(Units_Owners!$B$5:$B$504,MATCH($D349,Units_Owners!$A$5:$A$504,0)),""))</f>
        <v/>
      </c>
      <c r="F349" s="2">
        <f>IF($D349="","",IFERROR(INDEX(Units_Owners!$C$5:$C$504,MATCH($D349,Units_Owners!$A$5:$A$504,0)),""))</f>
        <v/>
      </c>
      <c r="G349" s="2">
        <f>IF($D349="","",IFERROR(INDEX(Units_Owners!$D$5:$D$504,MATCH($D349,Units_Owners!$A$5:$A$504,0)),""))</f>
        <v/>
      </c>
      <c r="H349" s="12">
        <f>Setup!$B$7</f>
        <v/>
      </c>
      <c r="I349" s="12">
        <f>Setup!$B$8</f>
        <v/>
      </c>
      <c r="J349" s="13">
        <f>IF($D349="","",IFERROR(INDEX(Units_Owners!$J$5:$J$504,MATCH($D349,Units_Owners!$A$5:$A$504,0)),0)+SUMIFS(Ledger!$F:$F,Ledger!$B:$B,$D349,Ledger!$D:$D,"&lt;"&amp;$H349)-SUMIFS(Ledger!$G:$G,Ledger!$B:$B,$D349,Ledger!$D:$D,"&lt;"&amp;$H349))</f>
        <v/>
      </c>
      <c r="K349" s="13">
        <f>IF($D349="","",IFERROR(INDEX(Units_Owners!$H$5:$H$504,MATCH($D349,Units_Owners!$A$5:$A$504,0)),Setup!$B$10))</f>
        <v/>
      </c>
      <c r="L349" s="13">
        <f>IF($D349="","",Setup!$B$11)</f>
        <v/>
      </c>
      <c r="M349" s="13">
        <f>IF($D349="","",IF(AND(TODAY()&gt;=Setup!$B$9,$P349&gt;0),Setup!$B$12,0))</f>
        <v/>
      </c>
      <c r="N349" s="13">
        <f>IF($D349="","",SUM($J349:$M349))</f>
        <v/>
      </c>
      <c r="O349" s="13">
        <f>IF($A349="","",SUMIFS(Payments!$F:$F,Payments!$D:$D,$A349))</f>
        <v/>
      </c>
      <c r="P349" s="13">
        <f>IF($D349="","",MAX(0,$N349-$O349))</f>
        <v/>
      </c>
      <c r="Q349" s="2">
        <f>IF($D349="","",IF(IFERROR(INDEX(Units_Owners!$I$5:$I$504,MATCH($D349,Units_Owners!$A$5:$A$504,0)),"No")&lt;&gt;"Yes","Skip - Inactive",IF($P349=0,"Paid",IF(TODAY()&gt;$I349,"Past Due","Open"))))</f>
        <v/>
      </c>
      <c r="R349" s="12" t="n"/>
      <c r="S349" s="2" t="n"/>
    </row>
    <row r="350">
      <c r="A350" s="2">
        <f>IF($D350="","","INV-"&amp;$B350&amp;"-"&amp;$C350&amp;"-"&amp;TEXT(ROW(A346),"0000"))</f>
        <v/>
      </c>
      <c r="B350" s="2">
        <f>Setup!$B$5</f>
        <v/>
      </c>
      <c r="C350" s="2">
        <f>Setup!$B$6</f>
        <v/>
      </c>
      <c r="D350" s="2">
        <f>IFERROR(INDEX(Units_Owners!$A$5:$A$504,ROWS($A$5:A350)),"")</f>
        <v/>
      </c>
      <c r="E350" s="2">
        <f>IF($D350="","",IFERROR(INDEX(Units_Owners!$B$5:$B$504,MATCH($D350,Units_Owners!$A$5:$A$504,0)),""))</f>
        <v/>
      </c>
      <c r="F350" s="2">
        <f>IF($D350="","",IFERROR(INDEX(Units_Owners!$C$5:$C$504,MATCH($D350,Units_Owners!$A$5:$A$504,0)),""))</f>
        <v/>
      </c>
      <c r="G350" s="2">
        <f>IF($D350="","",IFERROR(INDEX(Units_Owners!$D$5:$D$504,MATCH($D350,Units_Owners!$A$5:$A$504,0)),""))</f>
        <v/>
      </c>
      <c r="H350" s="12">
        <f>Setup!$B$7</f>
        <v/>
      </c>
      <c r="I350" s="12">
        <f>Setup!$B$8</f>
        <v/>
      </c>
      <c r="J350" s="13">
        <f>IF($D350="","",IFERROR(INDEX(Units_Owners!$J$5:$J$504,MATCH($D350,Units_Owners!$A$5:$A$504,0)),0)+SUMIFS(Ledger!$F:$F,Ledger!$B:$B,$D350,Ledger!$D:$D,"&lt;"&amp;$H350)-SUMIFS(Ledger!$G:$G,Ledger!$B:$B,$D350,Ledger!$D:$D,"&lt;"&amp;$H350))</f>
        <v/>
      </c>
      <c r="K350" s="13">
        <f>IF($D350="","",IFERROR(INDEX(Units_Owners!$H$5:$H$504,MATCH($D350,Units_Owners!$A$5:$A$504,0)),Setup!$B$10))</f>
        <v/>
      </c>
      <c r="L350" s="13">
        <f>IF($D350="","",Setup!$B$11)</f>
        <v/>
      </c>
      <c r="M350" s="13">
        <f>IF($D350="","",IF(AND(TODAY()&gt;=Setup!$B$9,$P350&gt;0),Setup!$B$12,0))</f>
        <v/>
      </c>
      <c r="N350" s="13">
        <f>IF($D350="","",SUM($J350:$M350))</f>
        <v/>
      </c>
      <c r="O350" s="13">
        <f>IF($A350="","",SUMIFS(Payments!$F:$F,Payments!$D:$D,$A350))</f>
        <v/>
      </c>
      <c r="P350" s="13">
        <f>IF($D350="","",MAX(0,$N350-$O350))</f>
        <v/>
      </c>
      <c r="Q350" s="2">
        <f>IF($D350="","",IF(IFERROR(INDEX(Units_Owners!$I$5:$I$504,MATCH($D350,Units_Owners!$A$5:$A$504,0)),"No")&lt;&gt;"Yes","Skip - Inactive",IF($P350=0,"Paid",IF(TODAY()&gt;$I350,"Past Due","Open"))))</f>
        <v/>
      </c>
      <c r="R350" s="14" t="n"/>
      <c r="S350" s="6" t="n"/>
    </row>
    <row r="351">
      <c r="A351" s="2">
        <f>IF($D351="","","INV-"&amp;$B351&amp;"-"&amp;$C351&amp;"-"&amp;TEXT(ROW(A347),"0000"))</f>
        <v/>
      </c>
      <c r="B351" s="2">
        <f>Setup!$B$5</f>
        <v/>
      </c>
      <c r="C351" s="2">
        <f>Setup!$B$6</f>
        <v/>
      </c>
      <c r="D351" s="2">
        <f>IFERROR(INDEX(Units_Owners!$A$5:$A$504,ROWS($A$5:A351)),"")</f>
        <v/>
      </c>
      <c r="E351" s="2">
        <f>IF($D351="","",IFERROR(INDEX(Units_Owners!$B$5:$B$504,MATCH($D351,Units_Owners!$A$5:$A$504,0)),""))</f>
        <v/>
      </c>
      <c r="F351" s="2">
        <f>IF($D351="","",IFERROR(INDEX(Units_Owners!$C$5:$C$504,MATCH($D351,Units_Owners!$A$5:$A$504,0)),""))</f>
        <v/>
      </c>
      <c r="G351" s="2">
        <f>IF($D351="","",IFERROR(INDEX(Units_Owners!$D$5:$D$504,MATCH($D351,Units_Owners!$A$5:$A$504,0)),""))</f>
        <v/>
      </c>
      <c r="H351" s="12">
        <f>Setup!$B$7</f>
        <v/>
      </c>
      <c r="I351" s="12">
        <f>Setup!$B$8</f>
        <v/>
      </c>
      <c r="J351" s="13">
        <f>IF($D351="","",IFERROR(INDEX(Units_Owners!$J$5:$J$504,MATCH($D351,Units_Owners!$A$5:$A$504,0)),0)+SUMIFS(Ledger!$F:$F,Ledger!$B:$B,$D351,Ledger!$D:$D,"&lt;"&amp;$H351)-SUMIFS(Ledger!$G:$G,Ledger!$B:$B,$D351,Ledger!$D:$D,"&lt;"&amp;$H351))</f>
        <v/>
      </c>
      <c r="K351" s="13">
        <f>IF($D351="","",IFERROR(INDEX(Units_Owners!$H$5:$H$504,MATCH($D351,Units_Owners!$A$5:$A$504,0)),Setup!$B$10))</f>
        <v/>
      </c>
      <c r="L351" s="13">
        <f>IF($D351="","",Setup!$B$11)</f>
        <v/>
      </c>
      <c r="M351" s="13">
        <f>IF($D351="","",IF(AND(TODAY()&gt;=Setup!$B$9,$P351&gt;0),Setup!$B$12,0))</f>
        <v/>
      </c>
      <c r="N351" s="13">
        <f>IF($D351="","",SUM($J351:$M351))</f>
        <v/>
      </c>
      <c r="O351" s="13">
        <f>IF($A351="","",SUMIFS(Payments!$F:$F,Payments!$D:$D,$A351))</f>
        <v/>
      </c>
      <c r="P351" s="13">
        <f>IF($D351="","",MAX(0,$N351-$O351))</f>
        <v/>
      </c>
      <c r="Q351" s="2">
        <f>IF($D351="","",IF(IFERROR(INDEX(Units_Owners!$I$5:$I$504,MATCH($D351,Units_Owners!$A$5:$A$504,0)),"No")&lt;&gt;"Yes","Skip - Inactive",IF($P351=0,"Paid",IF(TODAY()&gt;$I351,"Past Due","Open"))))</f>
        <v/>
      </c>
      <c r="R351" s="12" t="n"/>
      <c r="S351" s="2" t="n"/>
    </row>
    <row r="352">
      <c r="A352" s="2">
        <f>IF($D352="","","INV-"&amp;$B352&amp;"-"&amp;$C352&amp;"-"&amp;TEXT(ROW(A348),"0000"))</f>
        <v/>
      </c>
      <c r="B352" s="2">
        <f>Setup!$B$5</f>
        <v/>
      </c>
      <c r="C352" s="2">
        <f>Setup!$B$6</f>
        <v/>
      </c>
      <c r="D352" s="2">
        <f>IFERROR(INDEX(Units_Owners!$A$5:$A$504,ROWS($A$5:A352)),"")</f>
        <v/>
      </c>
      <c r="E352" s="2">
        <f>IF($D352="","",IFERROR(INDEX(Units_Owners!$B$5:$B$504,MATCH($D352,Units_Owners!$A$5:$A$504,0)),""))</f>
        <v/>
      </c>
      <c r="F352" s="2">
        <f>IF($D352="","",IFERROR(INDEX(Units_Owners!$C$5:$C$504,MATCH($D352,Units_Owners!$A$5:$A$504,0)),""))</f>
        <v/>
      </c>
      <c r="G352" s="2">
        <f>IF($D352="","",IFERROR(INDEX(Units_Owners!$D$5:$D$504,MATCH($D352,Units_Owners!$A$5:$A$504,0)),""))</f>
        <v/>
      </c>
      <c r="H352" s="12">
        <f>Setup!$B$7</f>
        <v/>
      </c>
      <c r="I352" s="12">
        <f>Setup!$B$8</f>
        <v/>
      </c>
      <c r="J352" s="13">
        <f>IF($D352="","",IFERROR(INDEX(Units_Owners!$J$5:$J$504,MATCH($D352,Units_Owners!$A$5:$A$504,0)),0)+SUMIFS(Ledger!$F:$F,Ledger!$B:$B,$D352,Ledger!$D:$D,"&lt;"&amp;$H352)-SUMIFS(Ledger!$G:$G,Ledger!$B:$B,$D352,Ledger!$D:$D,"&lt;"&amp;$H352))</f>
        <v/>
      </c>
      <c r="K352" s="13">
        <f>IF($D352="","",IFERROR(INDEX(Units_Owners!$H$5:$H$504,MATCH($D352,Units_Owners!$A$5:$A$504,0)),Setup!$B$10))</f>
        <v/>
      </c>
      <c r="L352" s="13">
        <f>IF($D352="","",Setup!$B$11)</f>
        <v/>
      </c>
      <c r="M352" s="13">
        <f>IF($D352="","",IF(AND(TODAY()&gt;=Setup!$B$9,$P352&gt;0),Setup!$B$12,0))</f>
        <v/>
      </c>
      <c r="N352" s="13">
        <f>IF($D352="","",SUM($J352:$M352))</f>
        <v/>
      </c>
      <c r="O352" s="13">
        <f>IF($A352="","",SUMIFS(Payments!$F:$F,Payments!$D:$D,$A352))</f>
        <v/>
      </c>
      <c r="P352" s="13">
        <f>IF($D352="","",MAX(0,$N352-$O352))</f>
        <v/>
      </c>
      <c r="Q352" s="2">
        <f>IF($D352="","",IF(IFERROR(INDEX(Units_Owners!$I$5:$I$504,MATCH($D352,Units_Owners!$A$5:$A$504,0)),"No")&lt;&gt;"Yes","Skip - Inactive",IF($P352=0,"Paid",IF(TODAY()&gt;$I352,"Past Due","Open"))))</f>
        <v/>
      </c>
      <c r="R352" s="14" t="n"/>
      <c r="S352" s="6" t="n"/>
    </row>
    <row r="353">
      <c r="A353" s="2">
        <f>IF($D353="","","INV-"&amp;$B353&amp;"-"&amp;$C353&amp;"-"&amp;TEXT(ROW(A349),"0000"))</f>
        <v/>
      </c>
      <c r="B353" s="2">
        <f>Setup!$B$5</f>
        <v/>
      </c>
      <c r="C353" s="2">
        <f>Setup!$B$6</f>
        <v/>
      </c>
      <c r="D353" s="2">
        <f>IFERROR(INDEX(Units_Owners!$A$5:$A$504,ROWS($A$5:A353)),"")</f>
        <v/>
      </c>
      <c r="E353" s="2">
        <f>IF($D353="","",IFERROR(INDEX(Units_Owners!$B$5:$B$504,MATCH($D353,Units_Owners!$A$5:$A$504,0)),""))</f>
        <v/>
      </c>
      <c r="F353" s="2">
        <f>IF($D353="","",IFERROR(INDEX(Units_Owners!$C$5:$C$504,MATCH($D353,Units_Owners!$A$5:$A$504,0)),""))</f>
        <v/>
      </c>
      <c r="G353" s="2">
        <f>IF($D353="","",IFERROR(INDEX(Units_Owners!$D$5:$D$504,MATCH($D353,Units_Owners!$A$5:$A$504,0)),""))</f>
        <v/>
      </c>
      <c r="H353" s="12">
        <f>Setup!$B$7</f>
        <v/>
      </c>
      <c r="I353" s="12">
        <f>Setup!$B$8</f>
        <v/>
      </c>
      <c r="J353" s="13">
        <f>IF($D353="","",IFERROR(INDEX(Units_Owners!$J$5:$J$504,MATCH($D353,Units_Owners!$A$5:$A$504,0)),0)+SUMIFS(Ledger!$F:$F,Ledger!$B:$B,$D353,Ledger!$D:$D,"&lt;"&amp;$H353)-SUMIFS(Ledger!$G:$G,Ledger!$B:$B,$D353,Ledger!$D:$D,"&lt;"&amp;$H353))</f>
        <v/>
      </c>
      <c r="K353" s="13">
        <f>IF($D353="","",IFERROR(INDEX(Units_Owners!$H$5:$H$504,MATCH($D353,Units_Owners!$A$5:$A$504,0)),Setup!$B$10))</f>
        <v/>
      </c>
      <c r="L353" s="13">
        <f>IF($D353="","",Setup!$B$11)</f>
        <v/>
      </c>
      <c r="M353" s="13">
        <f>IF($D353="","",IF(AND(TODAY()&gt;=Setup!$B$9,$P353&gt;0),Setup!$B$12,0))</f>
        <v/>
      </c>
      <c r="N353" s="13">
        <f>IF($D353="","",SUM($J353:$M353))</f>
        <v/>
      </c>
      <c r="O353" s="13">
        <f>IF($A353="","",SUMIFS(Payments!$F:$F,Payments!$D:$D,$A353))</f>
        <v/>
      </c>
      <c r="P353" s="13">
        <f>IF($D353="","",MAX(0,$N353-$O353))</f>
        <v/>
      </c>
      <c r="Q353" s="2">
        <f>IF($D353="","",IF(IFERROR(INDEX(Units_Owners!$I$5:$I$504,MATCH($D353,Units_Owners!$A$5:$A$504,0)),"No")&lt;&gt;"Yes","Skip - Inactive",IF($P353=0,"Paid",IF(TODAY()&gt;$I353,"Past Due","Open"))))</f>
        <v/>
      </c>
      <c r="R353" s="12" t="n"/>
      <c r="S353" s="2" t="n"/>
    </row>
    <row r="354">
      <c r="A354" s="2">
        <f>IF($D354="","","INV-"&amp;$B354&amp;"-"&amp;$C354&amp;"-"&amp;TEXT(ROW(A350),"0000"))</f>
        <v/>
      </c>
      <c r="B354" s="2">
        <f>Setup!$B$5</f>
        <v/>
      </c>
      <c r="C354" s="2">
        <f>Setup!$B$6</f>
        <v/>
      </c>
      <c r="D354" s="2">
        <f>IFERROR(INDEX(Units_Owners!$A$5:$A$504,ROWS($A$5:A354)),"")</f>
        <v/>
      </c>
      <c r="E354" s="2">
        <f>IF($D354="","",IFERROR(INDEX(Units_Owners!$B$5:$B$504,MATCH($D354,Units_Owners!$A$5:$A$504,0)),""))</f>
        <v/>
      </c>
      <c r="F354" s="2">
        <f>IF($D354="","",IFERROR(INDEX(Units_Owners!$C$5:$C$504,MATCH($D354,Units_Owners!$A$5:$A$504,0)),""))</f>
        <v/>
      </c>
      <c r="G354" s="2">
        <f>IF($D354="","",IFERROR(INDEX(Units_Owners!$D$5:$D$504,MATCH($D354,Units_Owners!$A$5:$A$504,0)),""))</f>
        <v/>
      </c>
      <c r="H354" s="12">
        <f>Setup!$B$7</f>
        <v/>
      </c>
      <c r="I354" s="12">
        <f>Setup!$B$8</f>
        <v/>
      </c>
      <c r="J354" s="13">
        <f>IF($D354="","",IFERROR(INDEX(Units_Owners!$J$5:$J$504,MATCH($D354,Units_Owners!$A$5:$A$504,0)),0)+SUMIFS(Ledger!$F:$F,Ledger!$B:$B,$D354,Ledger!$D:$D,"&lt;"&amp;$H354)-SUMIFS(Ledger!$G:$G,Ledger!$B:$B,$D354,Ledger!$D:$D,"&lt;"&amp;$H354))</f>
        <v/>
      </c>
      <c r="K354" s="13">
        <f>IF($D354="","",IFERROR(INDEX(Units_Owners!$H$5:$H$504,MATCH($D354,Units_Owners!$A$5:$A$504,0)),Setup!$B$10))</f>
        <v/>
      </c>
      <c r="L354" s="13">
        <f>IF($D354="","",Setup!$B$11)</f>
        <v/>
      </c>
      <c r="M354" s="13">
        <f>IF($D354="","",IF(AND(TODAY()&gt;=Setup!$B$9,$P354&gt;0),Setup!$B$12,0))</f>
        <v/>
      </c>
      <c r="N354" s="13">
        <f>IF($D354="","",SUM($J354:$M354))</f>
        <v/>
      </c>
      <c r="O354" s="13">
        <f>IF($A354="","",SUMIFS(Payments!$F:$F,Payments!$D:$D,$A354))</f>
        <v/>
      </c>
      <c r="P354" s="13">
        <f>IF($D354="","",MAX(0,$N354-$O354))</f>
        <v/>
      </c>
      <c r="Q354" s="2">
        <f>IF($D354="","",IF(IFERROR(INDEX(Units_Owners!$I$5:$I$504,MATCH($D354,Units_Owners!$A$5:$A$504,0)),"No")&lt;&gt;"Yes","Skip - Inactive",IF($P354=0,"Paid",IF(TODAY()&gt;$I354,"Past Due","Open"))))</f>
        <v/>
      </c>
      <c r="R354" s="14" t="n"/>
      <c r="S354" s="6" t="n"/>
    </row>
    <row r="355">
      <c r="A355" s="2">
        <f>IF($D355="","","INV-"&amp;$B355&amp;"-"&amp;$C355&amp;"-"&amp;TEXT(ROW(A351),"0000"))</f>
        <v/>
      </c>
      <c r="B355" s="2">
        <f>Setup!$B$5</f>
        <v/>
      </c>
      <c r="C355" s="2">
        <f>Setup!$B$6</f>
        <v/>
      </c>
      <c r="D355" s="2">
        <f>IFERROR(INDEX(Units_Owners!$A$5:$A$504,ROWS($A$5:A355)),"")</f>
        <v/>
      </c>
      <c r="E355" s="2">
        <f>IF($D355="","",IFERROR(INDEX(Units_Owners!$B$5:$B$504,MATCH($D355,Units_Owners!$A$5:$A$504,0)),""))</f>
        <v/>
      </c>
      <c r="F355" s="2">
        <f>IF($D355="","",IFERROR(INDEX(Units_Owners!$C$5:$C$504,MATCH($D355,Units_Owners!$A$5:$A$504,0)),""))</f>
        <v/>
      </c>
      <c r="G355" s="2">
        <f>IF($D355="","",IFERROR(INDEX(Units_Owners!$D$5:$D$504,MATCH($D355,Units_Owners!$A$5:$A$504,0)),""))</f>
        <v/>
      </c>
      <c r="H355" s="12">
        <f>Setup!$B$7</f>
        <v/>
      </c>
      <c r="I355" s="12">
        <f>Setup!$B$8</f>
        <v/>
      </c>
      <c r="J355" s="13">
        <f>IF($D355="","",IFERROR(INDEX(Units_Owners!$J$5:$J$504,MATCH($D355,Units_Owners!$A$5:$A$504,0)),0)+SUMIFS(Ledger!$F:$F,Ledger!$B:$B,$D355,Ledger!$D:$D,"&lt;"&amp;$H355)-SUMIFS(Ledger!$G:$G,Ledger!$B:$B,$D355,Ledger!$D:$D,"&lt;"&amp;$H355))</f>
        <v/>
      </c>
      <c r="K355" s="13">
        <f>IF($D355="","",IFERROR(INDEX(Units_Owners!$H$5:$H$504,MATCH($D355,Units_Owners!$A$5:$A$504,0)),Setup!$B$10))</f>
        <v/>
      </c>
      <c r="L355" s="13">
        <f>IF($D355="","",Setup!$B$11)</f>
        <v/>
      </c>
      <c r="M355" s="13">
        <f>IF($D355="","",IF(AND(TODAY()&gt;=Setup!$B$9,$P355&gt;0),Setup!$B$12,0))</f>
        <v/>
      </c>
      <c r="N355" s="13">
        <f>IF($D355="","",SUM($J355:$M355))</f>
        <v/>
      </c>
      <c r="O355" s="13">
        <f>IF($A355="","",SUMIFS(Payments!$F:$F,Payments!$D:$D,$A355))</f>
        <v/>
      </c>
      <c r="P355" s="13">
        <f>IF($D355="","",MAX(0,$N355-$O355))</f>
        <v/>
      </c>
      <c r="Q355" s="2">
        <f>IF($D355="","",IF(IFERROR(INDEX(Units_Owners!$I$5:$I$504,MATCH($D355,Units_Owners!$A$5:$A$504,0)),"No")&lt;&gt;"Yes","Skip - Inactive",IF($P355=0,"Paid",IF(TODAY()&gt;$I355,"Past Due","Open"))))</f>
        <v/>
      </c>
      <c r="R355" s="12" t="n"/>
      <c r="S355" s="2" t="n"/>
    </row>
    <row r="356">
      <c r="A356" s="2">
        <f>IF($D356="","","INV-"&amp;$B356&amp;"-"&amp;$C356&amp;"-"&amp;TEXT(ROW(A352),"0000"))</f>
        <v/>
      </c>
      <c r="B356" s="2">
        <f>Setup!$B$5</f>
        <v/>
      </c>
      <c r="C356" s="2">
        <f>Setup!$B$6</f>
        <v/>
      </c>
      <c r="D356" s="2">
        <f>IFERROR(INDEX(Units_Owners!$A$5:$A$504,ROWS($A$5:A356)),"")</f>
        <v/>
      </c>
      <c r="E356" s="2">
        <f>IF($D356="","",IFERROR(INDEX(Units_Owners!$B$5:$B$504,MATCH($D356,Units_Owners!$A$5:$A$504,0)),""))</f>
        <v/>
      </c>
      <c r="F356" s="2">
        <f>IF($D356="","",IFERROR(INDEX(Units_Owners!$C$5:$C$504,MATCH($D356,Units_Owners!$A$5:$A$504,0)),""))</f>
        <v/>
      </c>
      <c r="G356" s="2">
        <f>IF($D356="","",IFERROR(INDEX(Units_Owners!$D$5:$D$504,MATCH($D356,Units_Owners!$A$5:$A$504,0)),""))</f>
        <v/>
      </c>
      <c r="H356" s="12">
        <f>Setup!$B$7</f>
        <v/>
      </c>
      <c r="I356" s="12">
        <f>Setup!$B$8</f>
        <v/>
      </c>
      <c r="J356" s="13">
        <f>IF($D356="","",IFERROR(INDEX(Units_Owners!$J$5:$J$504,MATCH($D356,Units_Owners!$A$5:$A$504,0)),0)+SUMIFS(Ledger!$F:$F,Ledger!$B:$B,$D356,Ledger!$D:$D,"&lt;"&amp;$H356)-SUMIFS(Ledger!$G:$G,Ledger!$B:$B,$D356,Ledger!$D:$D,"&lt;"&amp;$H356))</f>
        <v/>
      </c>
      <c r="K356" s="13">
        <f>IF($D356="","",IFERROR(INDEX(Units_Owners!$H$5:$H$504,MATCH($D356,Units_Owners!$A$5:$A$504,0)),Setup!$B$10))</f>
        <v/>
      </c>
      <c r="L356" s="13">
        <f>IF($D356="","",Setup!$B$11)</f>
        <v/>
      </c>
      <c r="M356" s="13">
        <f>IF($D356="","",IF(AND(TODAY()&gt;=Setup!$B$9,$P356&gt;0),Setup!$B$12,0))</f>
        <v/>
      </c>
      <c r="N356" s="13">
        <f>IF($D356="","",SUM($J356:$M356))</f>
        <v/>
      </c>
      <c r="O356" s="13">
        <f>IF($A356="","",SUMIFS(Payments!$F:$F,Payments!$D:$D,$A356))</f>
        <v/>
      </c>
      <c r="P356" s="13">
        <f>IF($D356="","",MAX(0,$N356-$O356))</f>
        <v/>
      </c>
      <c r="Q356" s="2">
        <f>IF($D356="","",IF(IFERROR(INDEX(Units_Owners!$I$5:$I$504,MATCH($D356,Units_Owners!$A$5:$A$504,0)),"No")&lt;&gt;"Yes","Skip - Inactive",IF($P356=0,"Paid",IF(TODAY()&gt;$I356,"Past Due","Open"))))</f>
        <v/>
      </c>
      <c r="R356" s="14" t="n"/>
      <c r="S356" s="6" t="n"/>
    </row>
    <row r="357">
      <c r="A357" s="2">
        <f>IF($D357="","","INV-"&amp;$B357&amp;"-"&amp;$C357&amp;"-"&amp;TEXT(ROW(A353),"0000"))</f>
        <v/>
      </c>
      <c r="B357" s="2">
        <f>Setup!$B$5</f>
        <v/>
      </c>
      <c r="C357" s="2">
        <f>Setup!$B$6</f>
        <v/>
      </c>
      <c r="D357" s="2">
        <f>IFERROR(INDEX(Units_Owners!$A$5:$A$504,ROWS($A$5:A357)),"")</f>
        <v/>
      </c>
      <c r="E357" s="2">
        <f>IF($D357="","",IFERROR(INDEX(Units_Owners!$B$5:$B$504,MATCH($D357,Units_Owners!$A$5:$A$504,0)),""))</f>
        <v/>
      </c>
      <c r="F357" s="2">
        <f>IF($D357="","",IFERROR(INDEX(Units_Owners!$C$5:$C$504,MATCH($D357,Units_Owners!$A$5:$A$504,0)),""))</f>
        <v/>
      </c>
      <c r="G357" s="2">
        <f>IF($D357="","",IFERROR(INDEX(Units_Owners!$D$5:$D$504,MATCH($D357,Units_Owners!$A$5:$A$504,0)),""))</f>
        <v/>
      </c>
      <c r="H357" s="12">
        <f>Setup!$B$7</f>
        <v/>
      </c>
      <c r="I357" s="12">
        <f>Setup!$B$8</f>
        <v/>
      </c>
      <c r="J357" s="13">
        <f>IF($D357="","",IFERROR(INDEX(Units_Owners!$J$5:$J$504,MATCH($D357,Units_Owners!$A$5:$A$504,0)),0)+SUMIFS(Ledger!$F:$F,Ledger!$B:$B,$D357,Ledger!$D:$D,"&lt;"&amp;$H357)-SUMIFS(Ledger!$G:$G,Ledger!$B:$B,$D357,Ledger!$D:$D,"&lt;"&amp;$H357))</f>
        <v/>
      </c>
      <c r="K357" s="13">
        <f>IF($D357="","",IFERROR(INDEX(Units_Owners!$H$5:$H$504,MATCH($D357,Units_Owners!$A$5:$A$504,0)),Setup!$B$10))</f>
        <v/>
      </c>
      <c r="L357" s="13">
        <f>IF($D357="","",Setup!$B$11)</f>
        <v/>
      </c>
      <c r="M357" s="13">
        <f>IF($D357="","",IF(AND(TODAY()&gt;=Setup!$B$9,$P357&gt;0),Setup!$B$12,0))</f>
        <v/>
      </c>
      <c r="N357" s="13">
        <f>IF($D357="","",SUM($J357:$M357))</f>
        <v/>
      </c>
      <c r="O357" s="13">
        <f>IF($A357="","",SUMIFS(Payments!$F:$F,Payments!$D:$D,$A357))</f>
        <v/>
      </c>
      <c r="P357" s="13">
        <f>IF($D357="","",MAX(0,$N357-$O357))</f>
        <v/>
      </c>
      <c r="Q357" s="2">
        <f>IF($D357="","",IF(IFERROR(INDEX(Units_Owners!$I$5:$I$504,MATCH($D357,Units_Owners!$A$5:$A$504,0)),"No")&lt;&gt;"Yes","Skip - Inactive",IF($P357=0,"Paid",IF(TODAY()&gt;$I357,"Past Due","Open"))))</f>
        <v/>
      </c>
      <c r="R357" s="12" t="n"/>
      <c r="S357" s="2" t="n"/>
    </row>
    <row r="358">
      <c r="A358" s="2">
        <f>IF($D358="","","INV-"&amp;$B358&amp;"-"&amp;$C358&amp;"-"&amp;TEXT(ROW(A354),"0000"))</f>
        <v/>
      </c>
      <c r="B358" s="2">
        <f>Setup!$B$5</f>
        <v/>
      </c>
      <c r="C358" s="2">
        <f>Setup!$B$6</f>
        <v/>
      </c>
      <c r="D358" s="2">
        <f>IFERROR(INDEX(Units_Owners!$A$5:$A$504,ROWS($A$5:A358)),"")</f>
        <v/>
      </c>
      <c r="E358" s="2">
        <f>IF($D358="","",IFERROR(INDEX(Units_Owners!$B$5:$B$504,MATCH($D358,Units_Owners!$A$5:$A$504,0)),""))</f>
        <v/>
      </c>
      <c r="F358" s="2">
        <f>IF($D358="","",IFERROR(INDEX(Units_Owners!$C$5:$C$504,MATCH($D358,Units_Owners!$A$5:$A$504,0)),""))</f>
        <v/>
      </c>
      <c r="G358" s="2">
        <f>IF($D358="","",IFERROR(INDEX(Units_Owners!$D$5:$D$504,MATCH($D358,Units_Owners!$A$5:$A$504,0)),""))</f>
        <v/>
      </c>
      <c r="H358" s="12">
        <f>Setup!$B$7</f>
        <v/>
      </c>
      <c r="I358" s="12">
        <f>Setup!$B$8</f>
        <v/>
      </c>
      <c r="J358" s="13">
        <f>IF($D358="","",IFERROR(INDEX(Units_Owners!$J$5:$J$504,MATCH($D358,Units_Owners!$A$5:$A$504,0)),0)+SUMIFS(Ledger!$F:$F,Ledger!$B:$B,$D358,Ledger!$D:$D,"&lt;"&amp;$H358)-SUMIFS(Ledger!$G:$G,Ledger!$B:$B,$D358,Ledger!$D:$D,"&lt;"&amp;$H358))</f>
        <v/>
      </c>
      <c r="K358" s="13">
        <f>IF($D358="","",IFERROR(INDEX(Units_Owners!$H$5:$H$504,MATCH($D358,Units_Owners!$A$5:$A$504,0)),Setup!$B$10))</f>
        <v/>
      </c>
      <c r="L358" s="13">
        <f>IF($D358="","",Setup!$B$11)</f>
        <v/>
      </c>
      <c r="M358" s="13">
        <f>IF($D358="","",IF(AND(TODAY()&gt;=Setup!$B$9,$P358&gt;0),Setup!$B$12,0))</f>
        <v/>
      </c>
      <c r="N358" s="13">
        <f>IF($D358="","",SUM($J358:$M358))</f>
        <v/>
      </c>
      <c r="O358" s="13">
        <f>IF($A358="","",SUMIFS(Payments!$F:$F,Payments!$D:$D,$A358))</f>
        <v/>
      </c>
      <c r="P358" s="13">
        <f>IF($D358="","",MAX(0,$N358-$O358))</f>
        <v/>
      </c>
      <c r="Q358" s="2">
        <f>IF($D358="","",IF(IFERROR(INDEX(Units_Owners!$I$5:$I$504,MATCH($D358,Units_Owners!$A$5:$A$504,0)),"No")&lt;&gt;"Yes","Skip - Inactive",IF($P358=0,"Paid",IF(TODAY()&gt;$I358,"Past Due","Open"))))</f>
        <v/>
      </c>
      <c r="R358" s="14" t="n"/>
      <c r="S358" s="6" t="n"/>
    </row>
    <row r="359">
      <c r="A359" s="2">
        <f>IF($D359="","","INV-"&amp;$B359&amp;"-"&amp;$C359&amp;"-"&amp;TEXT(ROW(A355),"0000"))</f>
        <v/>
      </c>
      <c r="B359" s="2">
        <f>Setup!$B$5</f>
        <v/>
      </c>
      <c r="C359" s="2">
        <f>Setup!$B$6</f>
        <v/>
      </c>
      <c r="D359" s="2">
        <f>IFERROR(INDEX(Units_Owners!$A$5:$A$504,ROWS($A$5:A359)),"")</f>
        <v/>
      </c>
      <c r="E359" s="2">
        <f>IF($D359="","",IFERROR(INDEX(Units_Owners!$B$5:$B$504,MATCH($D359,Units_Owners!$A$5:$A$504,0)),""))</f>
        <v/>
      </c>
      <c r="F359" s="2">
        <f>IF($D359="","",IFERROR(INDEX(Units_Owners!$C$5:$C$504,MATCH($D359,Units_Owners!$A$5:$A$504,0)),""))</f>
        <v/>
      </c>
      <c r="G359" s="2">
        <f>IF($D359="","",IFERROR(INDEX(Units_Owners!$D$5:$D$504,MATCH($D359,Units_Owners!$A$5:$A$504,0)),""))</f>
        <v/>
      </c>
      <c r="H359" s="12">
        <f>Setup!$B$7</f>
        <v/>
      </c>
      <c r="I359" s="12">
        <f>Setup!$B$8</f>
        <v/>
      </c>
      <c r="J359" s="13">
        <f>IF($D359="","",IFERROR(INDEX(Units_Owners!$J$5:$J$504,MATCH($D359,Units_Owners!$A$5:$A$504,0)),0)+SUMIFS(Ledger!$F:$F,Ledger!$B:$B,$D359,Ledger!$D:$D,"&lt;"&amp;$H359)-SUMIFS(Ledger!$G:$G,Ledger!$B:$B,$D359,Ledger!$D:$D,"&lt;"&amp;$H359))</f>
        <v/>
      </c>
      <c r="K359" s="13">
        <f>IF($D359="","",IFERROR(INDEX(Units_Owners!$H$5:$H$504,MATCH($D359,Units_Owners!$A$5:$A$504,0)),Setup!$B$10))</f>
        <v/>
      </c>
      <c r="L359" s="13">
        <f>IF($D359="","",Setup!$B$11)</f>
        <v/>
      </c>
      <c r="M359" s="13">
        <f>IF($D359="","",IF(AND(TODAY()&gt;=Setup!$B$9,$P359&gt;0),Setup!$B$12,0))</f>
        <v/>
      </c>
      <c r="N359" s="13">
        <f>IF($D359="","",SUM($J359:$M359))</f>
        <v/>
      </c>
      <c r="O359" s="13">
        <f>IF($A359="","",SUMIFS(Payments!$F:$F,Payments!$D:$D,$A359))</f>
        <v/>
      </c>
      <c r="P359" s="13">
        <f>IF($D359="","",MAX(0,$N359-$O359))</f>
        <v/>
      </c>
      <c r="Q359" s="2">
        <f>IF($D359="","",IF(IFERROR(INDEX(Units_Owners!$I$5:$I$504,MATCH($D359,Units_Owners!$A$5:$A$504,0)),"No")&lt;&gt;"Yes","Skip - Inactive",IF($P359=0,"Paid",IF(TODAY()&gt;$I359,"Past Due","Open"))))</f>
        <v/>
      </c>
      <c r="R359" s="12" t="n"/>
      <c r="S359" s="2" t="n"/>
    </row>
    <row r="360">
      <c r="A360" s="2">
        <f>IF($D360="","","INV-"&amp;$B360&amp;"-"&amp;$C360&amp;"-"&amp;TEXT(ROW(A356),"0000"))</f>
        <v/>
      </c>
      <c r="B360" s="2">
        <f>Setup!$B$5</f>
        <v/>
      </c>
      <c r="C360" s="2">
        <f>Setup!$B$6</f>
        <v/>
      </c>
      <c r="D360" s="2">
        <f>IFERROR(INDEX(Units_Owners!$A$5:$A$504,ROWS($A$5:A360)),"")</f>
        <v/>
      </c>
      <c r="E360" s="2">
        <f>IF($D360="","",IFERROR(INDEX(Units_Owners!$B$5:$B$504,MATCH($D360,Units_Owners!$A$5:$A$504,0)),""))</f>
        <v/>
      </c>
      <c r="F360" s="2">
        <f>IF($D360="","",IFERROR(INDEX(Units_Owners!$C$5:$C$504,MATCH($D360,Units_Owners!$A$5:$A$504,0)),""))</f>
        <v/>
      </c>
      <c r="G360" s="2">
        <f>IF($D360="","",IFERROR(INDEX(Units_Owners!$D$5:$D$504,MATCH($D360,Units_Owners!$A$5:$A$504,0)),""))</f>
        <v/>
      </c>
      <c r="H360" s="12">
        <f>Setup!$B$7</f>
        <v/>
      </c>
      <c r="I360" s="12">
        <f>Setup!$B$8</f>
        <v/>
      </c>
      <c r="J360" s="13">
        <f>IF($D360="","",IFERROR(INDEX(Units_Owners!$J$5:$J$504,MATCH($D360,Units_Owners!$A$5:$A$504,0)),0)+SUMIFS(Ledger!$F:$F,Ledger!$B:$B,$D360,Ledger!$D:$D,"&lt;"&amp;$H360)-SUMIFS(Ledger!$G:$G,Ledger!$B:$B,$D360,Ledger!$D:$D,"&lt;"&amp;$H360))</f>
        <v/>
      </c>
      <c r="K360" s="13">
        <f>IF($D360="","",IFERROR(INDEX(Units_Owners!$H$5:$H$504,MATCH($D360,Units_Owners!$A$5:$A$504,0)),Setup!$B$10))</f>
        <v/>
      </c>
      <c r="L360" s="13">
        <f>IF($D360="","",Setup!$B$11)</f>
        <v/>
      </c>
      <c r="M360" s="13">
        <f>IF($D360="","",IF(AND(TODAY()&gt;=Setup!$B$9,$P360&gt;0),Setup!$B$12,0))</f>
        <v/>
      </c>
      <c r="N360" s="13">
        <f>IF($D360="","",SUM($J360:$M360))</f>
        <v/>
      </c>
      <c r="O360" s="13">
        <f>IF($A360="","",SUMIFS(Payments!$F:$F,Payments!$D:$D,$A360))</f>
        <v/>
      </c>
      <c r="P360" s="13">
        <f>IF($D360="","",MAX(0,$N360-$O360))</f>
        <v/>
      </c>
      <c r="Q360" s="2">
        <f>IF($D360="","",IF(IFERROR(INDEX(Units_Owners!$I$5:$I$504,MATCH($D360,Units_Owners!$A$5:$A$504,0)),"No")&lt;&gt;"Yes","Skip - Inactive",IF($P360=0,"Paid",IF(TODAY()&gt;$I360,"Past Due","Open"))))</f>
        <v/>
      </c>
      <c r="R360" s="14" t="n"/>
      <c r="S360" s="6" t="n"/>
    </row>
    <row r="361">
      <c r="A361" s="2">
        <f>IF($D361="","","INV-"&amp;$B361&amp;"-"&amp;$C361&amp;"-"&amp;TEXT(ROW(A357),"0000"))</f>
        <v/>
      </c>
      <c r="B361" s="2">
        <f>Setup!$B$5</f>
        <v/>
      </c>
      <c r="C361" s="2">
        <f>Setup!$B$6</f>
        <v/>
      </c>
      <c r="D361" s="2">
        <f>IFERROR(INDEX(Units_Owners!$A$5:$A$504,ROWS($A$5:A361)),"")</f>
        <v/>
      </c>
      <c r="E361" s="2">
        <f>IF($D361="","",IFERROR(INDEX(Units_Owners!$B$5:$B$504,MATCH($D361,Units_Owners!$A$5:$A$504,0)),""))</f>
        <v/>
      </c>
      <c r="F361" s="2">
        <f>IF($D361="","",IFERROR(INDEX(Units_Owners!$C$5:$C$504,MATCH($D361,Units_Owners!$A$5:$A$504,0)),""))</f>
        <v/>
      </c>
      <c r="G361" s="2">
        <f>IF($D361="","",IFERROR(INDEX(Units_Owners!$D$5:$D$504,MATCH($D361,Units_Owners!$A$5:$A$504,0)),""))</f>
        <v/>
      </c>
      <c r="H361" s="12">
        <f>Setup!$B$7</f>
        <v/>
      </c>
      <c r="I361" s="12">
        <f>Setup!$B$8</f>
        <v/>
      </c>
      <c r="J361" s="13">
        <f>IF($D361="","",IFERROR(INDEX(Units_Owners!$J$5:$J$504,MATCH($D361,Units_Owners!$A$5:$A$504,0)),0)+SUMIFS(Ledger!$F:$F,Ledger!$B:$B,$D361,Ledger!$D:$D,"&lt;"&amp;$H361)-SUMIFS(Ledger!$G:$G,Ledger!$B:$B,$D361,Ledger!$D:$D,"&lt;"&amp;$H361))</f>
        <v/>
      </c>
      <c r="K361" s="13">
        <f>IF($D361="","",IFERROR(INDEX(Units_Owners!$H$5:$H$504,MATCH($D361,Units_Owners!$A$5:$A$504,0)),Setup!$B$10))</f>
        <v/>
      </c>
      <c r="L361" s="13">
        <f>IF($D361="","",Setup!$B$11)</f>
        <v/>
      </c>
      <c r="M361" s="13">
        <f>IF($D361="","",IF(AND(TODAY()&gt;=Setup!$B$9,$P361&gt;0),Setup!$B$12,0))</f>
        <v/>
      </c>
      <c r="N361" s="13">
        <f>IF($D361="","",SUM($J361:$M361))</f>
        <v/>
      </c>
      <c r="O361" s="13">
        <f>IF($A361="","",SUMIFS(Payments!$F:$F,Payments!$D:$D,$A361))</f>
        <v/>
      </c>
      <c r="P361" s="13">
        <f>IF($D361="","",MAX(0,$N361-$O361))</f>
        <v/>
      </c>
      <c r="Q361" s="2">
        <f>IF($D361="","",IF(IFERROR(INDEX(Units_Owners!$I$5:$I$504,MATCH($D361,Units_Owners!$A$5:$A$504,0)),"No")&lt;&gt;"Yes","Skip - Inactive",IF($P361=0,"Paid",IF(TODAY()&gt;$I361,"Past Due","Open"))))</f>
        <v/>
      </c>
      <c r="R361" s="12" t="n"/>
      <c r="S361" s="2" t="n"/>
    </row>
    <row r="362">
      <c r="A362" s="2">
        <f>IF($D362="","","INV-"&amp;$B362&amp;"-"&amp;$C362&amp;"-"&amp;TEXT(ROW(A358),"0000"))</f>
        <v/>
      </c>
      <c r="B362" s="2">
        <f>Setup!$B$5</f>
        <v/>
      </c>
      <c r="C362" s="2">
        <f>Setup!$B$6</f>
        <v/>
      </c>
      <c r="D362" s="2">
        <f>IFERROR(INDEX(Units_Owners!$A$5:$A$504,ROWS($A$5:A362)),"")</f>
        <v/>
      </c>
      <c r="E362" s="2">
        <f>IF($D362="","",IFERROR(INDEX(Units_Owners!$B$5:$B$504,MATCH($D362,Units_Owners!$A$5:$A$504,0)),""))</f>
        <v/>
      </c>
      <c r="F362" s="2">
        <f>IF($D362="","",IFERROR(INDEX(Units_Owners!$C$5:$C$504,MATCH($D362,Units_Owners!$A$5:$A$504,0)),""))</f>
        <v/>
      </c>
      <c r="G362" s="2">
        <f>IF($D362="","",IFERROR(INDEX(Units_Owners!$D$5:$D$504,MATCH($D362,Units_Owners!$A$5:$A$504,0)),""))</f>
        <v/>
      </c>
      <c r="H362" s="12">
        <f>Setup!$B$7</f>
        <v/>
      </c>
      <c r="I362" s="12">
        <f>Setup!$B$8</f>
        <v/>
      </c>
      <c r="J362" s="13">
        <f>IF($D362="","",IFERROR(INDEX(Units_Owners!$J$5:$J$504,MATCH($D362,Units_Owners!$A$5:$A$504,0)),0)+SUMIFS(Ledger!$F:$F,Ledger!$B:$B,$D362,Ledger!$D:$D,"&lt;"&amp;$H362)-SUMIFS(Ledger!$G:$G,Ledger!$B:$B,$D362,Ledger!$D:$D,"&lt;"&amp;$H362))</f>
        <v/>
      </c>
      <c r="K362" s="13">
        <f>IF($D362="","",IFERROR(INDEX(Units_Owners!$H$5:$H$504,MATCH($D362,Units_Owners!$A$5:$A$504,0)),Setup!$B$10))</f>
        <v/>
      </c>
      <c r="L362" s="13">
        <f>IF($D362="","",Setup!$B$11)</f>
        <v/>
      </c>
      <c r="M362" s="13">
        <f>IF($D362="","",IF(AND(TODAY()&gt;=Setup!$B$9,$P362&gt;0),Setup!$B$12,0))</f>
        <v/>
      </c>
      <c r="N362" s="13">
        <f>IF($D362="","",SUM($J362:$M362))</f>
        <v/>
      </c>
      <c r="O362" s="13">
        <f>IF($A362="","",SUMIFS(Payments!$F:$F,Payments!$D:$D,$A362))</f>
        <v/>
      </c>
      <c r="P362" s="13">
        <f>IF($D362="","",MAX(0,$N362-$O362))</f>
        <v/>
      </c>
      <c r="Q362" s="2">
        <f>IF($D362="","",IF(IFERROR(INDEX(Units_Owners!$I$5:$I$504,MATCH($D362,Units_Owners!$A$5:$A$504,0)),"No")&lt;&gt;"Yes","Skip - Inactive",IF($P362=0,"Paid",IF(TODAY()&gt;$I362,"Past Due","Open"))))</f>
        <v/>
      </c>
      <c r="R362" s="14" t="n"/>
      <c r="S362" s="6" t="n"/>
    </row>
    <row r="363">
      <c r="A363" s="2">
        <f>IF($D363="","","INV-"&amp;$B363&amp;"-"&amp;$C363&amp;"-"&amp;TEXT(ROW(A359),"0000"))</f>
        <v/>
      </c>
      <c r="B363" s="2">
        <f>Setup!$B$5</f>
        <v/>
      </c>
      <c r="C363" s="2">
        <f>Setup!$B$6</f>
        <v/>
      </c>
      <c r="D363" s="2">
        <f>IFERROR(INDEX(Units_Owners!$A$5:$A$504,ROWS($A$5:A363)),"")</f>
        <v/>
      </c>
      <c r="E363" s="2">
        <f>IF($D363="","",IFERROR(INDEX(Units_Owners!$B$5:$B$504,MATCH($D363,Units_Owners!$A$5:$A$504,0)),""))</f>
        <v/>
      </c>
      <c r="F363" s="2">
        <f>IF($D363="","",IFERROR(INDEX(Units_Owners!$C$5:$C$504,MATCH($D363,Units_Owners!$A$5:$A$504,0)),""))</f>
        <v/>
      </c>
      <c r="G363" s="2">
        <f>IF($D363="","",IFERROR(INDEX(Units_Owners!$D$5:$D$504,MATCH($D363,Units_Owners!$A$5:$A$504,0)),""))</f>
        <v/>
      </c>
      <c r="H363" s="12">
        <f>Setup!$B$7</f>
        <v/>
      </c>
      <c r="I363" s="12">
        <f>Setup!$B$8</f>
        <v/>
      </c>
      <c r="J363" s="13">
        <f>IF($D363="","",IFERROR(INDEX(Units_Owners!$J$5:$J$504,MATCH($D363,Units_Owners!$A$5:$A$504,0)),0)+SUMIFS(Ledger!$F:$F,Ledger!$B:$B,$D363,Ledger!$D:$D,"&lt;"&amp;$H363)-SUMIFS(Ledger!$G:$G,Ledger!$B:$B,$D363,Ledger!$D:$D,"&lt;"&amp;$H363))</f>
        <v/>
      </c>
      <c r="K363" s="13">
        <f>IF($D363="","",IFERROR(INDEX(Units_Owners!$H$5:$H$504,MATCH($D363,Units_Owners!$A$5:$A$504,0)),Setup!$B$10))</f>
        <v/>
      </c>
      <c r="L363" s="13">
        <f>IF($D363="","",Setup!$B$11)</f>
        <v/>
      </c>
      <c r="M363" s="13">
        <f>IF($D363="","",IF(AND(TODAY()&gt;=Setup!$B$9,$P363&gt;0),Setup!$B$12,0))</f>
        <v/>
      </c>
      <c r="N363" s="13">
        <f>IF($D363="","",SUM($J363:$M363))</f>
        <v/>
      </c>
      <c r="O363" s="13">
        <f>IF($A363="","",SUMIFS(Payments!$F:$F,Payments!$D:$D,$A363))</f>
        <v/>
      </c>
      <c r="P363" s="13">
        <f>IF($D363="","",MAX(0,$N363-$O363))</f>
        <v/>
      </c>
      <c r="Q363" s="2">
        <f>IF($D363="","",IF(IFERROR(INDEX(Units_Owners!$I$5:$I$504,MATCH($D363,Units_Owners!$A$5:$A$504,0)),"No")&lt;&gt;"Yes","Skip - Inactive",IF($P363=0,"Paid",IF(TODAY()&gt;$I363,"Past Due","Open"))))</f>
        <v/>
      </c>
      <c r="R363" s="12" t="n"/>
      <c r="S363" s="2" t="n"/>
    </row>
    <row r="364">
      <c r="A364" s="2">
        <f>IF($D364="","","INV-"&amp;$B364&amp;"-"&amp;$C364&amp;"-"&amp;TEXT(ROW(A360),"0000"))</f>
        <v/>
      </c>
      <c r="B364" s="2">
        <f>Setup!$B$5</f>
        <v/>
      </c>
      <c r="C364" s="2">
        <f>Setup!$B$6</f>
        <v/>
      </c>
      <c r="D364" s="2">
        <f>IFERROR(INDEX(Units_Owners!$A$5:$A$504,ROWS($A$5:A364)),"")</f>
        <v/>
      </c>
      <c r="E364" s="2">
        <f>IF($D364="","",IFERROR(INDEX(Units_Owners!$B$5:$B$504,MATCH($D364,Units_Owners!$A$5:$A$504,0)),""))</f>
        <v/>
      </c>
      <c r="F364" s="2">
        <f>IF($D364="","",IFERROR(INDEX(Units_Owners!$C$5:$C$504,MATCH($D364,Units_Owners!$A$5:$A$504,0)),""))</f>
        <v/>
      </c>
      <c r="G364" s="2">
        <f>IF($D364="","",IFERROR(INDEX(Units_Owners!$D$5:$D$504,MATCH($D364,Units_Owners!$A$5:$A$504,0)),""))</f>
        <v/>
      </c>
      <c r="H364" s="12">
        <f>Setup!$B$7</f>
        <v/>
      </c>
      <c r="I364" s="12">
        <f>Setup!$B$8</f>
        <v/>
      </c>
      <c r="J364" s="13">
        <f>IF($D364="","",IFERROR(INDEX(Units_Owners!$J$5:$J$504,MATCH($D364,Units_Owners!$A$5:$A$504,0)),0)+SUMIFS(Ledger!$F:$F,Ledger!$B:$B,$D364,Ledger!$D:$D,"&lt;"&amp;$H364)-SUMIFS(Ledger!$G:$G,Ledger!$B:$B,$D364,Ledger!$D:$D,"&lt;"&amp;$H364))</f>
        <v/>
      </c>
      <c r="K364" s="13">
        <f>IF($D364="","",IFERROR(INDEX(Units_Owners!$H$5:$H$504,MATCH($D364,Units_Owners!$A$5:$A$504,0)),Setup!$B$10))</f>
        <v/>
      </c>
      <c r="L364" s="13">
        <f>IF($D364="","",Setup!$B$11)</f>
        <v/>
      </c>
      <c r="M364" s="13">
        <f>IF($D364="","",IF(AND(TODAY()&gt;=Setup!$B$9,$P364&gt;0),Setup!$B$12,0))</f>
        <v/>
      </c>
      <c r="N364" s="13">
        <f>IF($D364="","",SUM($J364:$M364))</f>
        <v/>
      </c>
      <c r="O364" s="13">
        <f>IF($A364="","",SUMIFS(Payments!$F:$F,Payments!$D:$D,$A364))</f>
        <v/>
      </c>
      <c r="P364" s="13">
        <f>IF($D364="","",MAX(0,$N364-$O364))</f>
        <v/>
      </c>
      <c r="Q364" s="2">
        <f>IF($D364="","",IF(IFERROR(INDEX(Units_Owners!$I$5:$I$504,MATCH($D364,Units_Owners!$A$5:$A$504,0)),"No")&lt;&gt;"Yes","Skip - Inactive",IF($P364=0,"Paid",IF(TODAY()&gt;$I364,"Past Due","Open"))))</f>
        <v/>
      </c>
      <c r="R364" s="14" t="n"/>
      <c r="S364" s="6" t="n"/>
    </row>
    <row r="365">
      <c r="A365" s="2">
        <f>IF($D365="","","INV-"&amp;$B365&amp;"-"&amp;$C365&amp;"-"&amp;TEXT(ROW(A361),"0000"))</f>
        <v/>
      </c>
      <c r="B365" s="2">
        <f>Setup!$B$5</f>
        <v/>
      </c>
      <c r="C365" s="2">
        <f>Setup!$B$6</f>
        <v/>
      </c>
      <c r="D365" s="2">
        <f>IFERROR(INDEX(Units_Owners!$A$5:$A$504,ROWS($A$5:A365)),"")</f>
        <v/>
      </c>
      <c r="E365" s="2">
        <f>IF($D365="","",IFERROR(INDEX(Units_Owners!$B$5:$B$504,MATCH($D365,Units_Owners!$A$5:$A$504,0)),""))</f>
        <v/>
      </c>
      <c r="F365" s="2">
        <f>IF($D365="","",IFERROR(INDEX(Units_Owners!$C$5:$C$504,MATCH($D365,Units_Owners!$A$5:$A$504,0)),""))</f>
        <v/>
      </c>
      <c r="G365" s="2">
        <f>IF($D365="","",IFERROR(INDEX(Units_Owners!$D$5:$D$504,MATCH($D365,Units_Owners!$A$5:$A$504,0)),""))</f>
        <v/>
      </c>
      <c r="H365" s="12">
        <f>Setup!$B$7</f>
        <v/>
      </c>
      <c r="I365" s="12">
        <f>Setup!$B$8</f>
        <v/>
      </c>
      <c r="J365" s="13">
        <f>IF($D365="","",IFERROR(INDEX(Units_Owners!$J$5:$J$504,MATCH($D365,Units_Owners!$A$5:$A$504,0)),0)+SUMIFS(Ledger!$F:$F,Ledger!$B:$B,$D365,Ledger!$D:$D,"&lt;"&amp;$H365)-SUMIFS(Ledger!$G:$G,Ledger!$B:$B,$D365,Ledger!$D:$D,"&lt;"&amp;$H365))</f>
        <v/>
      </c>
      <c r="K365" s="13">
        <f>IF($D365="","",IFERROR(INDEX(Units_Owners!$H$5:$H$504,MATCH($D365,Units_Owners!$A$5:$A$504,0)),Setup!$B$10))</f>
        <v/>
      </c>
      <c r="L365" s="13">
        <f>IF($D365="","",Setup!$B$11)</f>
        <v/>
      </c>
      <c r="M365" s="13">
        <f>IF($D365="","",IF(AND(TODAY()&gt;=Setup!$B$9,$P365&gt;0),Setup!$B$12,0))</f>
        <v/>
      </c>
      <c r="N365" s="13">
        <f>IF($D365="","",SUM($J365:$M365))</f>
        <v/>
      </c>
      <c r="O365" s="13">
        <f>IF($A365="","",SUMIFS(Payments!$F:$F,Payments!$D:$D,$A365))</f>
        <v/>
      </c>
      <c r="P365" s="13">
        <f>IF($D365="","",MAX(0,$N365-$O365))</f>
        <v/>
      </c>
      <c r="Q365" s="2">
        <f>IF($D365="","",IF(IFERROR(INDEX(Units_Owners!$I$5:$I$504,MATCH($D365,Units_Owners!$A$5:$A$504,0)),"No")&lt;&gt;"Yes","Skip - Inactive",IF($P365=0,"Paid",IF(TODAY()&gt;$I365,"Past Due","Open"))))</f>
        <v/>
      </c>
      <c r="R365" s="12" t="n"/>
      <c r="S365" s="2" t="n"/>
    </row>
    <row r="366">
      <c r="A366" s="2">
        <f>IF($D366="","","INV-"&amp;$B366&amp;"-"&amp;$C366&amp;"-"&amp;TEXT(ROW(A362),"0000"))</f>
        <v/>
      </c>
      <c r="B366" s="2">
        <f>Setup!$B$5</f>
        <v/>
      </c>
      <c r="C366" s="2">
        <f>Setup!$B$6</f>
        <v/>
      </c>
      <c r="D366" s="2">
        <f>IFERROR(INDEX(Units_Owners!$A$5:$A$504,ROWS($A$5:A366)),"")</f>
        <v/>
      </c>
      <c r="E366" s="2">
        <f>IF($D366="","",IFERROR(INDEX(Units_Owners!$B$5:$B$504,MATCH($D366,Units_Owners!$A$5:$A$504,0)),""))</f>
        <v/>
      </c>
      <c r="F366" s="2">
        <f>IF($D366="","",IFERROR(INDEX(Units_Owners!$C$5:$C$504,MATCH($D366,Units_Owners!$A$5:$A$504,0)),""))</f>
        <v/>
      </c>
      <c r="G366" s="2">
        <f>IF($D366="","",IFERROR(INDEX(Units_Owners!$D$5:$D$504,MATCH($D366,Units_Owners!$A$5:$A$504,0)),""))</f>
        <v/>
      </c>
      <c r="H366" s="12">
        <f>Setup!$B$7</f>
        <v/>
      </c>
      <c r="I366" s="12">
        <f>Setup!$B$8</f>
        <v/>
      </c>
      <c r="J366" s="13">
        <f>IF($D366="","",IFERROR(INDEX(Units_Owners!$J$5:$J$504,MATCH($D366,Units_Owners!$A$5:$A$504,0)),0)+SUMIFS(Ledger!$F:$F,Ledger!$B:$B,$D366,Ledger!$D:$D,"&lt;"&amp;$H366)-SUMIFS(Ledger!$G:$G,Ledger!$B:$B,$D366,Ledger!$D:$D,"&lt;"&amp;$H366))</f>
        <v/>
      </c>
      <c r="K366" s="13">
        <f>IF($D366="","",IFERROR(INDEX(Units_Owners!$H$5:$H$504,MATCH($D366,Units_Owners!$A$5:$A$504,0)),Setup!$B$10))</f>
        <v/>
      </c>
      <c r="L366" s="13">
        <f>IF($D366="","",Setup!$B$11)</f>
        <v/>
      </c>
      <c r="M366" s="13">
        <f>IF($D366="","",IF(AND(TODAY()&gt;=Setup!$B$9,$P366&gt;0),Setup!$B$12,0))</f>
        <v/>
      </c>
      <c r="N366" s="13">
        <f>IF($D366="","",SUM($J366:$M366))</f>
        <v/>
      </c>
      <c r="O366" s="13">
        <f>IF($A366="","",SUMIFS(Payments!$F:$F,Payments!$D:$D,$A366))</f>
        <v/>
      </c>
      <c r="P366" s="13">
        <f>IF($D366="","",MAX(0,$N366-$O366))</f>
        <v/>
      </c>
      <c r="Q366" s="2">
        <f>IF($D366="","",IF(IFERROR(INDEX(Units_Owners!$I$5:$I$504,MATCH($D366,Units_Owners!$A$5:$A$504,0)),"No")&lt;&gt;"Yes","Skip - Inactive",IF($P366=0,"Paid",IF(TODAY()&gt;$I366,"Past Due","Open"))))</f>
        <v/>
      </c>
      <c r="R366" s="14" t="n"/>
      <c r="S366" s="6" t="n"/>
    </row>
    <row r="367">
      <c r="A367" s="2">
        <f>IF($D367="","","INV-"&amp;$B367&amp;"-"&amp;$C367&amp;"-"&amp;TEXT(ROW(A363),"0000"))</f>
        <v/>
      </c>
      <c r="B367" s="2">
        <f>Setup!$B$5</f>
        <v/>
      </c>
      <c r="C367" s="2">
        <f>Setup!$B$6</f>
        <v/>
      </c>
      <c r="D367" s="2">
        <f>IFERROR(INDEX(Units_Owners!$A$5:$A$504,ROWS($A$5:A367)),"")</f>
        <v/>
      </c>
      <c r="E367" s="2">
        <f>IF($D367="","",IFERROR(INDEX(Units_Owners!$B$5:$B$504,MATCH($D367,Units_Owners!$A$5:$A$504,0)),""))</f>
        <v/>
      </c>
      <c r="F367" s="2">
        <f>IF($D367="","",IFERROR(INDEX(Units_Owners!$C$5:$C$504,MATCH($D367,Units_Owners!$A$5:$A$504,0)),""))</f>
        <v/>
      </c>
      <c r="G367" s="2">
        <f>IF($D367="","",IFERROR(INDEX(Units_Owners!$D$5:$D$504,MATCH($D367,Units_Owners!$A$5:$A$504,0)),""))</f>
        <v/>
      </c>
      <c r="H367" s="12">
        <f>Setup!$B$7</f>
        <v/>
      </c>
      <c r="I367" s="12">
        <f>Setup!$B$8</f>
        <v/>
      </c>
      <c r="J367" s="13">
        <f>IF($D367="","",IFERROR(INDEX(Units_Owners!$J$5:$J$504,MATCH($D367,Units_Owners!$A$5:$A$504,0)),0)+SUMIFS(Ledger!$F:$F,Ledger!$B:$B,$D367,Ledger!$D:$D,"&lt;"&amp;$H367)-SUMIFS(Ledger!$G:$G,Ledger!$B:$B,$D367,Ledger!$D:$D,"&lt;"&amp;$H367))</f>
        <v/>
      </c>
      <c r="K367" s="13">
        <f>IF($D367="","",IFERROR(INDEX(Units_Owners!$H$5:$H$504,MATCH($D367,Units_Owners!$A$5:$A$504,0)),Setup!$B$10))</f>
        <v/>
      </c>
      <c r="L367" s="13">
        <f>IF($D367="","",Setup!$B$11)</f>
        <v/>
      </c>
      <c r="M367" s="13">
        <f>IF($D367="","",IF(AND(TODAY()&gt;=Setup!$B$9,$P367&gt;0),Setup!$B$12,0))</f>
        <v/>
      </c>
      <c r="N367" s="13">
        <f>IF($D367="","",SUM($J367:$M367))</f>
        <v/>
      </c>
      <c r="O367" s="13">
        <f>IF($A367="","",SUMIFS(Payments!$F:$F,Payments!$D:$D,$A367))</f>
        <v/>
      </c>
      <c r="P367" s="13">
        <f>IF($D367="","",MAX(0,$N367-$O367))</f>
        <v/>
      </c>
      <c r="Q367" s="2">
        <f>IF($D367="","",IF(IFERROR(INDEX(Units_Owners!$I$5:$I$504,MATCH($D367,Units_Owners!$A$5:$A$504,0)),"No")&lt;&gt;"Yes","Skip - Inactive",IF($P367=0,"Paid",IF(TODAY()&gt;$I367,"Past Due","Open"))))</f>
        <v/>
      </c>
      <c r="R367" s="12" t="n"/>
      <c r="S367" s="2" t="n"/>
    </row>
    <row r="368">
      <c r="A368" s="2">
        <f>IF($D368="","","INV-"&amp;$B368&amp;"-"&amp;$C368&amp;"-"&amp;TEXT(ROW(A364),"0000"))</f>
        <v/>
      </c>
      <c r="B368" s="2">
        <f>Setup!$B$5</f>
        <v/>
      </c>
      <c r="C368" s="2">
        <f>Setup!$B$6</f>
        <v/>
      </c>
      <c r="D368" s="2">
        <f>IFERROR(INDEX(Units_Owners!$A$5:$A$504,ROWS($A$5:A368)),"")</f>
        <v/>
      </c>
      <c r="E368" s="2">
        <f>IF($D368="","",IFERROR(INDEX(Units_Owners!$B$5:$B$504,MATCH($D368,Units_Owners!$A$5:$A$504,0)),""))</f>
        <v/>
      </c>
      <c r="F368" s="2">
        <f>IF($D368="","",IFERROR(INDEX(Units_Owners!$C$5:$C$504,MATCH($D368,Units_Owners!$A$5:$A$504,0)),""))</f>
        <v/>
      </c>
      <c r="G368" s="2">
        <f>IF($D368="","",IFERROR(INDEX(Units_Owners!$D$5:$D$504,MATCH($D368,Units_Owners!$A$5:$A$504,0)),""))</f>
        <v/>
      </c>
      <c r="H368" s="12">
        <f>Setup!$B$7</f>
        <v/>
      </c>
      <c r="I368" s="12">
        <f>Setup!$B$8</f>
        <v/>
      </c>
      <c r="J368" s="13">
        <f>IF($D368="","",IFERROR(INDEX(Units_Owners!$J$5:$J$504,MATCH($D368,Units_Owners!$A$5:$A$504,0)),0)+SUMIFS(Ledger!$F:$F,Ledger!$B:$B,$D368,Ledger!$D:$D,"&lt;"&amp;$H368)-SUMIFS(Ledger!$G:$G,Ledger!$B:$B,$D368,Ledger!$D:$D,"&lt;"&amp;$H368))</f>
        <v/>
      </c>
      <c r="K368" s="13">
        <f>IF($D368="","",IFERROR(INDEX(Units_Owners!$H$5:$H$504,MATCH($D368,Units_Owners!$A$5:$A$504,0)),Setup!$B$10))</f>
        <v/>
      </c>
      <c r="L368" s="13">
        <f>IF($D368="","",Setup!$B$11)</f>
        <v/>
      </c>
      <c r="M368" s="13">
        <f>IF($D368="","",IF(AND(TODAY()&gt;=Setup!$B$9,$P368&gt;0),Setup!$B$12,0))</f>
        <v/>
      </c>
      <c r="N368" s="13">
        <f>IF($D368="","",SUM($J368:$M368))</f>
        <v/>
      </c>
      <c r="O368" s="13">
        <f>IF($A368="","",SUMIFS(Payments!$F:$F,Payments!$D:$D,$A368))</f>
        <v/>
      </c>
      <c r="P368" s="13">
        <f>IF($D368="","",MAX(0,$N368-$O368))</f>
        <v/>
      </c>
      <c r="Q368" s="2">
        <f>IF($D368="","",IF(IFERROR(INDEX(Units_Owners!$I$5:$I$504,MATCH($D368,Units_Owners!$A$5:$A$504,0)),"No")&lt;&gt;"Yes","Skip - Inactive",IF($P368=0,"Paid",IF(TODAY()&gt;$I368,"Past Due","Open"))))</f>
        <v/>
      </c>
      <c r="R368" s="14" t="n"/>
      <c r="S368" s="6" t="n"/>
    </row>
    <row r="369">
      <c r="A369" s="2">
        <f>IF($D369="","","INV-"&amp;$B369&amp;"-"&amp;$C369&amp;"-"&amp;TEXT(ROW(A365),"0000"))</f>
        <v/>
      </c>
      <c r="B369" s="2">
        <f>Setup!$B$5</f>
        <v/>
      </c>
      <c r="C369" s="2">
        <f>Setup!$B$6</f>
        <v/>
      </c>
      <c r="D369" s="2">
        <f>IFERROR(INDEX(Units_Owners!$A$5:$A$504,ROWS($A$5:A369)),"")</f>
        <v/>
      </c>
      <c r="E369" s="2">
        <f>IF($D369="","",IFERROR(INDEX(Units_Owners!$B$5:$B$504,MATCH($D369,Units_Owners!$A$5:$A$504,0)),""))</f>
        <v/>
      </c>
      <c r="F369" s="2">
        <f>IF($D369="","",IFERROR(INDEX(Units_Owners!$C$5:$C$504,MATCH($D369,Units_Owners!$A$5:$A$504,0)),""))</f>
        <v/>
      </c>
      <c r="G369" s="2">
        <f>IF($D369="","",IFERROR(INDEX(Units_Owners!$D$5:$D$504,MATCH($D369,Units_Owners!$A$5:$A$504,0)),""))</f>
        <v/>
      </c>
      <c r="H369" s="12">
        <f>Setup!$B$7</f>
        <v/>
      </c>
      <c r="I369" s="12">
        <f>Setup!$B$8</f>
        <v/>
      </c>
      <c r="J369" s="13">
        <f>IF($D369="","",IFERROR(INDEX(Units_Owners!$J$5:$J$504,MATCH($D369,Units_Owners!$A$5:$A$504,0)),0)+SUMIFS(Ledger!$F:$F,Ledger!$B:$B,$D369,Ledger!$D:$D,"&lt;"&amp;$H369)-SUMIFS(Ledger!$G:$G,Ledger!$B:$B,$D369,Ledger!$D:$D,"&lt;"&amp;$H369))</f>
        <v/>
      </c>
      <c r="K369" s="13">
        <f>IF($D369="","",IFERROR(INDEX(Units_Owners!$H$5:$H$504,MATCH($D369,Units_Owners!$A$5:$A$504,0)),Setup!$B$10))</f>
        <v/>
      </c>
      <c r="L369" s="13">
        <f>IF($D369="","",Setup!$B$11)</f>
        <v/>
      </c>
      <c r="M369" s="13">
        <f>IF($D369="","",IF(AND(TODAY()&gt;=Setup!$B$9,$P369&gt;0),Setup!$B$12,0))</f>
        <v/>
      </c>
      <c r="N369" s="13">
        <f>IF($D369="","",SUM($J369:$M369))</f>
        <v/>
      </c>
      <c r="O369" s="13">
        <f>IF($A369="","",SUMIFS(Payments!$F:$F,Payments!$D:$D,$A369))</f>
        <v/>
      </c>
      <c r="P369" s="13">
        <f>IF($D369="","",MAX(0,$N369-$O369))</f>
        <v/>
      </c>
      <c r="Q369" s="2">
        <f>IF($D369="","",IF(IFERROR(INDEX(Units_Owners!$I$5:$I$504,MATCH($D369,Units_Owners!$A$5:$A$504,0)),"No")&lt;&gt;"Yes","Skip - Inactive",IF($P369=0,"Paid",IF(TODAY()&gt;$I369,"Past Due","Open"))))</f>
        <v/>
      </c>
      <c r="R369" s="12" t="n"/>
      <c r="S369" s="2" t="n"/>
    </row>
    <row r="370">
      <c r="A370" s="2">
        <f>IF($D370="","","INV-"&amp;$B370&amp;"-"&amp;$C370&amp;"-"&amp;TEXT(ROW(A366),"0000"))</f>
        <v/>
      </c>
      <c r="B370" s="2">
        <f>Setup!$B$5</f>
        <v/>
      </c>
      <c r="C370" s="2">
        <f>Setup!$B$6</f>
        <v/>
      </c>
      <c r="D370" s="2">
        <f>IFERROR(INDEX(Units_Owners!$A$5:$A$504,ROWS($A$5:A370)),"")</f>
        <v/>
      </c>
      <c r="E370" s="2">
        <f>IF($D370="","",IFERROR(INDEX(Units_Owners!$B$5:$B$504,MATCH($D370,Units_Owners!$A$5:$A$504,0)),""))</f>
        <v/>
      </c>
      <c r="F370" s="2">
        <f>IF($D370="","",IFERROR(INDEX(Units_Owners!$C$5:$C$504,MATCH($D370,Units_Owners!$A$5:$A$504,0)),""))</f>
        <v/>
      </c>
      <c r="G370" s="2">
        <f>IF($D370="","",IFERROR(INDEX(Units_Owners!$D$5:$D$504,MATCH($D370,Units_Owners!$A$5:$A$504,0)),""))</f>
        <v/>
      </c>
      <c r="H370" s="12">
        <f>Setup!$B$7</f>
        <v/>
      </c>
      <c r="I370" s="12">
        <f>Setup!$B$8</f>
        <v/>
      </c>
      <c r="J370" s="13">
        <f>IF($D370="","",IFERROR(INDEX(Units_Owners!$J$5:$J$504,MATCH($D370,Units_Owners!$A$5:$A$504,0)),0)+SUMIFS(Ledger!$F:$F,Ledger!$B:$B,$D370,Ledger!$D:$D,"&lt;"&amp;$H370)-SUMIFS(Ledger!$G:$G,Ledger!$B:$B,$D370,Ledger!$D:$D,"&lt;"&amp;$H370))</f>
        <v/>
      </c>
      <c r="K370" s="13">
        <f>IF($D370="","",IFERROR(INDEX(Units_Owners!$H$5:$H$504,MATCH($D370,Units_Owners!$A$5:$A$504,0)),Setup!$B$10))</f>
        <v/>
      </c>
      <c r="L370" s="13">
        <f>IF($D370="","",Setup!$B$11)</f>
        <v/>
      </c>
      <c r="M370" s="13">
        <f>IF($D370="","",IF(AND(TODAY()&gt;=Setup!$B$9,$P370&gt;0),Setup!$B$12,0))</f>
        <v/>
      </c>
      <c r="N370" s="13">
        <f>IF($D370="","",SUM($J370:$M370))</f>
        <v/>
      </c>
      <c r="O370" s="13">
        <f>IF($A370="","",SUMIFS(Payments!$F:$F,Payments!$D:$D,$A370))</f>
        <v/>
      </c>
      <c r="P370" s="13">
        <f>IF($D370="","",MAX(0,$N370-$O370))</f>
        <v/>
      </c>
      <c r="Q370" s="2">
        <f>IF($D370="","",IF(IFERROR(INDEX(Units_Owners!$I$5:$I$504,MATCH($D370,Units_Owners!$A$5:$A$504,0)),"No")&lt;&gt;"Yes","Skip - Inactive",IF($P370=0,"Paid",IF(TODAY()&gt;$I370,"Past Due","Open"))))</f>
        <v/>
      </c>
      <c r="R370" s="14" t="n"/>
      <c r="S370" s="6" t="n"/>
    </row>
    <row r="371">
      <c r="A371" s="2">
        <f>IF($D371="","","INV-"&amp;$B371&amp;"-"&amp;$C371&amp;"-"&amp;TEXT(ROW(A367),"0000"))</f>
        <v/>
      </c>
      <c r="B371" s="2">
        <f>Setup!$B$5</f>
        <v/>
      </c>
      <c r="C371" s="2">
        <f>Setup!$B$6</f>
        <v/>
      </c>
      <c r="D371" s="2">
        <f>IFERROR(INDEX(Units_Owners!$A$5:$A$504,ROWS($A$5:A371)),"")</f>
        <v/>
      </c>
      <c r="E371" s="2">
        <f>IF($D371="","",IFERROR(INDEX(Units_Owners!$B$5:$B$504,MATCH($D371,Units_Owners!$A$5:$A$504,0)),""))</f>
        <v/>
      </c>
      <c r="F371" s="2">
        <f>IF($D371="","",IFERROR(INDEX(Units_Owners!$C$5:$C$504,MATCH($D371,Units_Owners!$A$5:$A$504,0)),""))</f>
        <v/>
      </c>
      <c r="G371" s="2">
        <f>IF($D371="","",IFERROR(INDEX(Units_Owners!$D$5:$D$504,MATCH($D371,Units_Owners!$A$5:$A$504,0)),""))</f>
        <v/>
      </c>
      <c r="H371" s="12">
        <f>Setup!$B$7</f>
        <v/>
      </c>
      <c r="I371" s="12">
        <f>Setup!$B$8</f>
        <v/>
      </c>
      <c r="J371" s="13">
        <f>IF($D371="","",IFERROR(INDEX(Units_Owners!$J$5:$J$504,MATCH($D371,Units_Owners!$A$5:$A$504,0)),0)+SUMIFS(Ledger!$F:$F,Ledger!$B:$B,$D371,Ledger!$D:$D,"&lt;"&amp;$H371)-SUMIFS(Ledger!$G:$G,Ledger!$B:$B,$D371,Ledger!$D:$D,"&lt;"&amp;$H371))</f>
        <v/>
      </c>
      <c r="K371" s="13">
        <f>IF($D371="","",IFERROR(INDEX(Units_Owners!$H$5:$H$504,MATCH($D371,Units_Owners!$A$5:$A$504,0)),Setup!$B$10))</f>
        <v/>
      </c>
      <c r="L371" s="13">
        <f>IF($D371="","",Setup!$B$11)</f>
        <v/>
      </c>
      <c r="M371" s="13">
        <f>IF($D371="","",IF(AND(TODAY()&gt;=Setup!$B$9,$P371&gt;0),Setup!$B$12,0))</f>
        <v/>
      </c>
      <c r="N371" s="13">
        <f>IF($D371="","",SUM($J371:$M371))</f>
        <v/>
      </c>
      <c r="O371" s="13">
        <f>IF($A371="","",SUMIFS(Payments!$F:$F,Payments!$D:$D,$A371))</f>
        <v/>
      </c>
      <c r="P371" s="13">
        <f>IF($D371="","",MAX(0,$N371-$O371))</f>
        <v/>
      </c>
      <c r="Q371" s="2">
        <f>IF($D371="","",IF(IFERROR(INDEX(Units_Owners!$I$5:$I$504,MATCH($D371,Units_Owners!$A$5:$A$504,0)),"No")&lt;&gt;"Yes","Skip - Inactive",IF($P371=0,"Paid",IF(TODAY()&gt;$I371,"Past Due","Open"))))</f>
        <v/>
      </c>
      <c r="R371" s="12" t="n"/>
      <c r="S371" s="2" t="n"/>
    </row>
    <row r="372">
      <c r="A372" s="2">
        <f>IF($D372="","","INV-"&amp;$B372&amp;"-"&amp;$C372&amp;"-"&amp;TEXT(ROW(A368),"0000"))</f>
        <v/>
      </c>
      <c r="B372" s="2">
        <f>Setup!$B$5</f>
        <v/>
      </c>
      <c r="C372" s="2">
        <f>Setup!$B$6</f>
        <v/>
      </c>
      <c r="D372" s="2">
        <f>IFERROR(INDEX(Units_Owners!$A$5:$A$504,ROWS($A$5:A372)),"")</f>
        <v/>
      </c>
      <c r="E372" s="2">
        <f>IF($D372="","",IFERROR(INDEX(Units_Owners!$B$5:$B$504,MATCH($D372,Units_Owners!$A$5:$A$504,0)),""))</f>
        <v/>
      </c>
      <c r="F372" s="2">
        <f>IF($D372="","",IFERROR(INDEX(Units_Owners!$C$5:$C$504,MATCH($D372,Units_Owners!$A$5:$A$504,0)),""))</f>
        <v/>
      </c>
      <c r="G372" s="2">
        <f>IF($D372="","",IFERROR(INDEX(Units_Owners!$D$5:$D$504,MATCH($D372,Units_Owners!$A$5:$A$504,0)),""))</f>
        <v/>
      </c>
      <c r="H372" s="12">
        <f>Setup!$B$7</f>
        <v/>
      </c>
      <c r="I372" s="12">
        <f>Setup!$B$8</f>
        <v/>
      </c>
      <c r="J372" s="13">
        <f>IF($D372="","",IFERROR(INDEX(Units_Owners!$J$5:$J$504,MATCH($D372,Units_Owners!$A$5:$A$504,0)),0)+SUMIFS(Ledger!$F:$F,Ledger!$B:$B,$D372,Ledger!$D:$D,"&lt;"&amp;$H372)-SUMIFS(Ledger!$G:$G,Ledger!$B:$B,$D372,Ledger!$D:$D,"&lt;"&amp;$H372))</f>
        <v/>
      </c>
      <c r="K372" s="13">
        <f>IF($D372="","",IFERROR(INDEX(Units_Owners!$H$5:$H$504,MATCH($D372,Units_Owners!$A$5:$A$504,0)),Setup!$B$10))</f>
        <v/>
      </c>
      <c r="L372" s="13">
        <f>IF($D372="","",Setup!$B$11)</f>
        <v/>
      </c>
      <c r="M372" s="13">
        <f>IF($D372="","",IF(AND(TODAY()&gt;=Setup!$B$9,$P372&gt;0),Setup!$B$12,0))</f>
        <v/>
      </c>
      <c r="N372" s="13">
        <f>IF($D372="","",SUM($J372:$M372))</f>
        <v/>
      </c>
      <c r="O372" s="13">
        <f>IF($A372="","",SUMIFS(Payments!$F:$F,Payments!$D:$D,$A372))</f>
        <v/>
      </c>
      <c r="P372" s="13">
        <f>IF($D372="","",MAX(0,$N372-$O372))</f>
        <v/>
      </c>
      <c r="Q372" s="2">
        <f>IF($D372="","",IF(IFERROR(INDEX(Units_Owners!$I$5:$I$504,MATCH($D372,Units_Owners!$A$5:$A$504,0)),"No")&lt;&gt;"Yes","Skip - Inactive",IF($P372=0,"Paid",IF(TODAY()&gt;$I372,"Past Due","Open"))))</f>
        <v/>
      </c>
      <c r="R372" s="14" t="n"/>
      <c r="S372" s="6" t="n"/>
    </row>
    <row r="373">
      <c r="A373" s="2">
        <f>IF($D373="","","INV-"&amp;$B373&amp;"-"&amp;$C373&amp;"-"&amp;TEXT(ROW(A369),"0000"))</f>
        <v/>
      </c>
      <c r="B373" s="2">
        <f>Setup!$B$5</f>
        <v/>
      </c>
      <c r="C373" s="2">
        <f>Setup!$B$6</f>
        <v/>
      </c>
      <c r="D373" s="2">
        <f>IFERROR(INDEX(Units_Owners!$A$5:$A$504,ROWS($A$5:A373)),"")</f>
        <v/>
      </c>
      <c r="E373" s="2">
        <f>IF($D373="","",IFERROR(INDEX(Units_Owners!$B$5:$B$504,MATCH($D373,Units_Owners!$A$5:$A$504,0)),""))</f>
        <v/>
      </c>
      <c r="F373" s="2">
        <f>IF($D373="","",IFERROR(INDEX(Units_Owners!$C$5:$C$504,MATCH($D373,Units_Owners!$A$5:$A$504,0)),""))</f>
        <v/>
      </c>
      <c r="G373" s="2">
        <f>IF($D373="","",IFERROR(INDEX(Units_Owners!$D$5:$D$504,MATCH($D373,Units_Owners!$A$5:$A$504,0)),""))</f>
        <v/>
      </c>
      <c r="H373" s="12">
        <f>Setup!$B$7</f>
        <v/>
      </c>
      <c r="I373" s="12">
        <f>Setup!$B$8</f>
        <v/>
      </c>
      <c r="J373" s="13">
        <f>IF($D373="","",IFERROR(INDEX(Units_Owners!$J$5:$J$504,MATCH($D373,Units_Owners!$A$5:$A$504,0)),0)+SUMIFS(Ledger!$F:$F,Ledger!$B:$B,$D373,Ledger!$D:$D,"&lt;"&amp;$H373)-SUMIFS(Ledger!$G:$G,Ledger!$B:$B,$D373,Ledger!$D:$D,"&lt;"&amp;$H373))</f>
        <v/>
      </c>
      <c r="K373" s="13">
        <f>IF($D373="","",IFERROR(INDEX(Units_Owners!$H$5:$H$504,MATCH($D373,Units_Owners!$A$5:$A$504,0)),Setup!$B$10))</f>
        <v/>
      </c>
      <c r="L373" s="13">
        <f>IF($D373="","",Setup!$B$11)</f>
        <v/>
      </c>
      <c r="M373" s="13">
        <f>IF($D373="","",IF(AND(TODAY()&gt;=Setup!$B$9,$P373&gt;0),Setup!$B$12,0))</f>
        <v/>
      </c>
      <c r="N373" s="13">
        <f>IF($D373="","",SUM($J373:$M373))</f>
        <v/>
      </c>
      <c r="O373" s="13">
        <f>IF($A373="","",SUMIFS(Payments!$F:$F,Payments!$D:$D,$A373))</f>
        <v/>
      </c>
      <c r="P373" s="13">
        <f>IF($D373="","",MAX(0,$N373-$O373))</f>
        <v/>
      </c>
      <c r="Q373" s="2">
        <f>IF($D373="","",IF(IFERROR(INDEX(Units_Owners!$I$5:$I$504,MATCH($D373,Units_Owners!$A$5:$A$504,0)),"No")&lt;&gt;"Yes","Skip - Inactive",IF($P373=0,"Paid",IF(TODAY()&gt;$I373,"Past Due","Open"))))</f>
        <v/>
      </c>
      <c r="R373" s="12" t="n"/>
      <c r="S373" s="2" t="n"/>
    </row>
    <row r="374">
      <c r="A374" s="2">
        <f>IF($D374="","","INV-"&amp;$B374&amp;"-"&amp;$C374&amp;"-"&amp;TEXT(ROW(A370),"0000"))</f>
        <v/>
      </c>
      <c r="B374" s="2">
        <f>Setup!$B$5</f>
        <v/>
      </c>
      <c r="C374" s="2">
        <f>Setup!$B$6</f>
        <v/>
      </c>
      <c r="D374" s="2">
        <f>IFERROR(INDEX(Units_Owners!$A$5:$A$504,ROWS($A$5:A374)),"")</f>
        <v/>
      </c>
      <c r="E374" s="2">
        <f>IF($D374="","",IFERROR(INDEX(Units_Owners!$B$5:$B$504,MATCH($D374,Units_Owners!$A$5:$A$504,0)),""))</f>
        <v/>
      </c>
      <c r="F374" s="2">
        <f>IF($D374="","",IFERROR(INDEX(Units_Owners!$C$5:$C$504,MATCH($D374,Units_Owners!$A$5:$A$504,0)),""))</f>
        <v/>
      </c>
      <c r="G374" s="2">
        <f>IF($D374="","",IFERROR(INDEX(Units_Owners!$D$5:$D$504,MATCH($D374,Units_Owners!$A$5:$A$504,0)),""))</f>
        <v/>
      </c>
      <c r="H374" s="12">
        <f>Setup!$B$7</f>
        <v/>
      </c>
      <c r="I374" s="12">
        <f>Setup!$B$8</f>
        <v/>
      </c>
      <c r="J374" s="13">
        <f>IF($D374="","",IFERROR(INDEX(Units_Owners!$J$5:$J$504,MATCH($D374,Units_Owners!$A$5:$A$504,0)),0)+SUMIFS(Ledger!$F:$F,Ledger!$B:$B,$D374,Ledger!$D:$D,"&lt;"&amp;$H374)-SUMIFS(Ledger!$G:$G,Ledger!$B:$B,$D374,Ledger!$D:$D,"&lt;"&amp;$H374))</f>
        <v/>
      </c>
      <c r="K374" s="13">
        <f>IF($D374="","",IFERROR(INDEX(Units_Owners!$H$5:$H$504,MATCH($D374,Units_Owners!$A$5:$A$504,0)),Setup!$B$10))</f>
        <v/>
      </c>
      <c r="L374" s="13">
        <f>IF($D374="","",Setup!$B$11)</f>
        <v/>
      </c>
      <c r="M374" s="13">
        <f>IF($D374="","",IF(AND(TODAY()&gt;=Setup!$B$9,$P374&gt;0),Setup!$B$12,0))</f>
        <v/>
      </c>
      <c r="N374" s="13">
        <f>IF($D374="","",SUM($J374:$M374))</f>
        <v/>
      </c>
      <c r="O374" s="13">
        <f>IF($A374="","",SUMIFS(Payments!$F:$F,Payments!$D:$D,$A374))</f>
        <v/>
      </c>
      <c r="P374" s="13">
        <f>IF($D374="","",MAX(0,$N374-$O374))</f>
        <v/>
      </c>
      <c r="Q374" s="2">
        <f>IF($D374="","",IF(IFERROR(INDEX(Units_Owners!$I$5:$I$504,MATCH($D374,Units_Owners!$A$5:$A$504,0)),"No")&lt;&gt;"Yes","Skip - Inactive",IF($P374=0,"Paid",IF(TODAY()&gt;$I374,"Past Due","Open"))))</f>
        <v/>
      </c>
      <c r="R374" s="14" t="n"/>
      <c r="S374" s="6" t="n"/>
    </row>
    <row r="375">
      <c r="A375" s="2">
        <f>IF($D375="","","INV-"&amp;$B375&amp;"-"&amp;$C375&amp;"-"&amp;TEXT(ROW(A371),"0000"))</f>
        <v/>
      </c>
      <c r="B375" s="2">
        <f>Setup!$B$5</f>
        <v/>
      </c>
      <c r="C375" s="2">
        <f>Setup!$B$6</f>
        <v/>
      </c>
      <c r="D375" s="2">
        <f>IFERROR(INDEX(Units_Owners!$A$5:$A$504,ROWS($A$5:A375)),"")</f>
        <v/>
      </c>
      <c r="E375" s="2">
        <f>IF($D375="","",IFERROR(INDEX(Units_Owners!$B$5:$B$504,MATCH($D375,Units_Owners!$A$5:$A$504,0)),""))</f>
        <v/>
      </c>
      <c r="F375" s="2">
        <f>IF($D375="","",IFERROR(INDEX(Units_Owners!$C$5:$C$504,MATCH($D375,Units_Owners!$A$5:$A$504,0)),""))</f>
        <v/>
      </c>
      <c r="G375" s="2">
        <f>IF($D375="","",IFERROR(INDEX(Units_Owners!$D$5:$D$504,MATCH($D375,Units_Owners!$A$5:$A$504,0)),""))</f>
        <v/>
      </c>
      <c r="H375" s="12">
        <f>Setup!$B$7</f>
        <v/>
      </c>
      <c r="I375" s="12">
        <f>Setup!$B$8</f>
        <v/>
      </c>
      <c r="J375" s="13">
        <f>IF($D375="","",IFERROR(INDEX(Units_Owners!$J$5:$J$504,MATCH($D375,Units_Owners!$A$5:$A$504,0)),0)+SUMIFS(Ledger!$F:$F,Ledger!$B:$B,$D375,Ledger!$D:$D,"&lt;"&amp;$H375)-SUMIFS(Ledger!$G:$G,Ledger!$B:$B,$D375,Ledger!$D:$D,"&lt;"&amp;$H375))</f>
        <v/>
      </c>
      <c r="K375" s="13">
        <f>IF($D375="","",IFERROR(INDEX(Units_Owners!$H$5:$H$504,MATCH($D375,Units_Owners!$A$5:$A$504,0)),Setup!$B$10))</f>
        <v/>
      </c>
      <c r="L375" s="13">
        <f>IF($D375="","",Setup!$B$11)</f>
        <v/>
      </c>
      <c r="M375" s="13">
        <f>IF($D375="","",IF(AND(TODAY()&gt;=Setup!$B$9,$P375&gt;0),Setup!$B$12,0))</f>
        <v/>
      </c>
      <c r="N375" s="13">
        <f>IF($D375="","",SUM($J375:$M375))</f>
        <v/>
      </c>
      <c r="O375" s="13">
        <f>IF($A375="","",SUMIFS(Payments!$F:$F,Payments!$D:$D,$A375))</f>
        <v/>
      </c>
      <c r="P375" s="13">
        <f>IF($D375="","",MAX(0,$N375-$O375))</f>
        <v/>
      </c>
      <c r="Q375" s="2">
        <f>IF($D375="","",IF(IFERROR(INDEX(Units_Owners!$I$5:$I$504,MATCH($D375,Units_Owners!$A$5:$A$504,0)),"No")&lt;&gt;"Yes","Skip - Inactive",IF($P375=0,"Paid",IF(TODAY()&gt;$I375,"Past Due","Open"))))</f>
        <v/>
      </c>
      <c r="R375" s="12" t="n"/>
      <c r="S375" s="2" t="n"/>
    </row>
    <row r="376">
      <c r="A376" s="2">
        <f>IF($D376="","","INV-"&amp;$B376&amp;"-"&amp;$C376&amp;"-"&amp;TEXT(ROW(A372),"0000"))</f>
        <v/>
      </c>
      <c r="B376" s="2">
        <f>Setup!$B$5</f>
        <v/>
      </c>
      <c r="C376" s="2">
        <f>Setup!$B$6</f>
        <v/>
      </c>
      <c r="D376" s="2">
        <f>IFERROR(INDEX(Units_Owners!$A$5:$A$504,ROWS($A$5:A376)),"")</f>
        <v/>
      </c>
      <c r="E376" s="2">
        <f>IF($D376="","",IFERROR(INDEX(Units_Owners!$B$5:$B$504,MATCH($D376,Units_Owners!$A$5:$A$504,0)),""))</f>
        <v/>
      </c>
      <c r="F376" s="2">
        <f>IF($D376="","",IFERROR(INDEX(Units_Owners!$C$5:$C$504,MATCH($D376,Units_Owners!$A$5:$A$504,0)),""))</f>
        <v/>
      </c>
      <c r="G376" s="2">
        <f>IF($D376="","",IFERROR(INDEX(Units_Owners!$D$5:$D$504,MATCH($D376,Units_Owners!$A$5:$A$504,0)),""))</f>
        <v/>
      </c>
      <c r="H376" s="12">
        <f>Setup!$B$7</f>
        <v/>
      </c>
      <c r="I376" s="12">
        <f>Setup!$B$8</f>
        <v/>
      </c>
      <c r="J376" s="13">
        <f>IF($D376="","",IFERROR(INDEX(Units_Owners!$J$5:$J$504,MATCH($D376,Units_Owners!$A$5:$A$504,0)),0)+SUMIFS(Ledger!$F:$F,Ledger!$B:$B,$D376,Ledger!$D:$D,"&lt;"&amp;$H376)-SUMIFS(Ledger!$G:$G,Ledger!$B:$B,$D376,Ledger!$D:$D,"&lt;"&amp;$H376))</f>
        <v/>
      </c>
      <c r="K376" s="13">
        <f>IF($D376="","",IFERROR(INDEX(Units_Owners!$H$5:$H$504,MATCH($D376,Units_Owners!$A$5:$A$504,0)),Setup!$B$10))</f>
        <v/>
      </c>
      <c r="L376" s="13">
        <f>IF($D376="","",Setup!$B$11)</f>
        <v/>
      </c>
      <c r="M376" s="13">
        <f>IF($D376="","",IF(AND(TODAY()&gt;=Setup!$B$9,$P376&gt;0),Setup!$B$12,0))</f>
        <v/>
      </c>
      <c r="N376" s="13">
        <f>IF($D376="","",SUM($J376:$M376))</f>
        <v/>
      </c>
      <c r="O376" s="13">
        <f>IF($A376="","",SUMIFS(Payments!$F:$F,Payments!$D:$D,$A376))</f>
        <v/>
      </c>
      <c r="P376" s="13">
        <f>IF($D376="","",MAX(0,$N376-$O376))</f>
        <v/>
      </c>
      <c r="Q376" s="2">
        <f>IF($D376="","",IF(IFERROR(INDEX(Units_Owners!$I$5:$I$504,MATCH($D376,Units_Owners!$A$5:$A$504,0)),"No")&lt;&gt;"Yes","Skip - Inactive",IF($P376=0,"Paid",IF(TODAY()&gt;$I376,"Past Due","Open"))))</f>
        <v/>
      </c>
      <c r="R376" s="14" t="n"/>
      <c r="S376" s="6" t="n"/>
    </row>
    <row r="377">
      <c r="A377" s="2">
        <f>IF($D377="","","INV-"&amp;$B377&amp;"-"&amp;$C377&amp;"-"&amp;TEXT(ROW(A373),"0000"))</f>
        <v/>
      </c>
      <c r="B377" s="2">
        <f>Setup!$B$5</f>
        <v/>
      </c>
      <c r="C377" s="2">
        <f>Setup!$B$6</f>
        <v/>
      </c>
      <c r="D377" s="2">
        <f>IFERROR(INDEX(Units_Owners!$A$5:$A$504,ROWS($A$5:A377)),"")</f>
        <v/>
      </c>
      <c r="E377" s="2">
        <f>IF($D377="","",IFERROR(INDEX(Units_Owners!$B$5:$B$504,MATCH($D377,Units_Owners!$A$5:$A$504,0)),""))</f>
        <v/>
      </c>
      <c r="F377" s="2">
        <f>IF($D377="","",IFERROR(INDEX(Units_Owners!$C$5:$C$504,MATCH($D377,Units_Owners!$A$5:$A$504,0)),""))</f>
        <v/>
      </c>
      <c r="G377" s="2">
        <f>IF($D377="","",IFERROR(INDEX(Units_Owners!$D$5:$D$504,MATCH($D377,Units_Owners!$A$5:$A$504,0)),""))</f>
        <v/>
      </c>
      <c r="H377" s="12">
        <f>Setup!$B$7</f>
        <v/>
      </c>
      <c r="I377" s="12">
        <f>Setup!$B$8</f>
        <v/>
      </c>
      <c r="J377" s="13">
        <f>IF($D377="","",IFERROR(INDEX(Units_Owners!$J$5:$J$504,MATCH($D377,Units_Owners!$A$5:$A$504,0)),0)+SUMIFS(Ledger!$F:$F,Ledger!$B:$B,$D377,Ledger!$D:$D,"&lt;"&amp;$H377)-SUMIFS(Ledger!$G:$G,Ledger!$B:$B,$D377,Ledger!$D:$D,"&lt;"&amp;$H377))</f>
        <v/>
      </c>
      <c r="K377" s="13">
        <f>IF($D377="","",IFERROR(INDEX(Units_Owners!$H$5:$H$504,MATCH($D377,Units_Owners!$A$5:$A$504,0)),Setup!$B$10))</f>
        <v/>
      </c>
      <c r="L377" s="13">
        <f>IF($D377="","",Setup!$B$11)</f>
        <v/>
      </c>
      <c r="M377" s="13">
        <f>IF($D377="","",IF(AND(TODAY()&gt;=Setup!$B$9,$P377&gt;0),Setup!$B$12,0))</f>
        <v/>
      </c>
      <c r="N377" s="13">
        <f>IF($D377="","",SUM($J377:$M377))</f>
        <v/>
      </c>
      <c r="O377" s="13">
        <f>IF($A377="","",SUMIFS(Payments!$F:$F,Payments!$D:$D,$A377))</f>
        <v/>
      </c>
      <c r="P377" s="13">
        <f>IF($D377="","",MAX(0,$N377-$O377))</f>
        <v/>
      </c>
      <c r="Q377" s="2">
        <f>IF($D377="","",IF(IFERROR(INDEX(Units_Owners!$I$5:$I$504,MATCH($D377,Units_Owners!$A$5:$A$504,0)),"No")&lt;&gt;"Yes","Skip - Inactive",IF($P377=0,"Paid",IF(TODAY()&gt;$I377,"Past Due","Open"))))</f>
        <v/>
      </c>
      <c r="R377" s="12" t="n"/>
      <c r="S377" s="2" t="n"/>
    </row>
    <row r="378">
      <c r="A378" s="2">
        <f>IF($D378="","","INV-"&amp;$B378&amp;"-"&amp;$C378&amp;"-"&amp;TEXT(ROW(A374),"0000"))</f>
        <v/>
      </c>
      <c r="B378" s="2">
        <f>Setup!$B$5</f>
        <v/>
      </c>
      <c r="C378" s="2">
        <f>Setup!$B$6</f>
        <v/>
      </c>
      <c r="D378" s="2">
        <f>IFERROR(INDEX(Units_Owners!$A$5:$A$504,ROWS($A$5:A378)),"")</f>
        <v/>
      </c>
      <c r="E378" s="2">
        <f>IF($D378="","",IFERROR(INDEX(Units_Owners!$B$5:$B$504,MATCH($D378,Units_Owners!$A$5:$A$504,0)),""))</f>
        <v/>
      </c>
      <c r="F378" s="2">
        <f>IF($D378="","",IFERROR(INDEX(Units_Owners!$C$5:$C$504,MATCH($D378,Units_Owners!$A$5:$A$504,0)),""))</f>
        <v/>
      </c>
      <c r="G378" s="2">
        <f>IF($D378="","",IFERROR(INDEX(Units_Owners!$D$5:$D$504,MATCH($D378,Units_Owners!$A$5:$A$504,0)),""))</f>
        <v/>
      </c>
      <c r="H378" s="12">
        <f>Setup!$B$7</f>
        <v/>
      </c>
      <c r="I378" s="12">
        <f>Setup!$B$8</f>
        <v/>
      </c>
      <c r="J378" s="13">
        <f>IF($D378="","",IFERROR(INDEX(Units_Owners!$J$5:$J$504,MATCH($D378,Units_Owners!$A$5:$A$504,0)),0)+SUMIFS(Ledger!$F:$F,Ledger!$B:$B,$D378,Ledger!$D:$D,"&lt;"&amp;$H378)-SUMIFS(Ledger!$G:$G,Ledger!$B:$B,$D378,Ledger!$D:$D,"&lt;"&amp;$H378))</f>
        <v/>
      </c>
      <c r="K378" s="13">
        <f>IF($D378="","",IFERROR(INDEX(Units_Owners!$H$5:$H$504,MATCH($D378,Units_Owners!$A$5:$A$504,0)),Setup!$B$10))</f>
        <v/>
      </c>
      <c r="L378" s="13">
        <f>IF($D378="","",Setup!$B$11)</f>
        <v/>
      </c>
      <c r="M378" s="13">
        <f>IF($D378="","",IF(AND(TODAY()&gt;=Setup!$B$9,$P378&gt;0),Setup!$B$12,0))</f>
        <v/>
      </c>
      <c r="N378" s="13">
        <f>IF($D378="","",SUM($J378:$M378))</f>
        <v/>
      </c>
      <c r="O378" s="13">
        <f>IF($A378="","",SUMIFS(Payments!$F:$F,Payments!$D:$D,$A378))</f>
        <v/>
      </c>
      <c r="P378" s="13">
        <f>IF($D378="","",MAX(0,$N378-$O378))</f>
        <v/>
      </c>
      <c r="Q378" s="2">
        <f>IF($D378="","",IF(IFERROR(INDEX(Units_Owners!$I$5:$I$504,MATCH($D378,Units_Owners!$A$5:$A$504,0)),"No")&lt;&gt;"Yes","Skip - Inactive",IF($P378=0,"Paid",IF(TODAY()&gt;$I378,"Past Due","Open"))))</f>
        <v/>
      </c>
      <c r="R378" s="14" t="n"/>
      <c r="S378" s="6" t="n"/>
    </row>
    <row r="379">
      <c r="A379" s="2">
        <f>IF($D379="","","INV-"&amp;$B379&amp;"-"&amp;$C379&amp;"-"&amp;TEXT(ROW(A375),"0000"))</f>
        <v/>
      </c>
      <c r="B379" s="2">
        <f>Setup!$B$5</f>
        <v/>
      </c>
      <c r="C379" s="2">
        <f>Setup!$B$6</f>
        <v/>
      </c>
      <c r="D379" s="2">
        <f>IFERROR(INDEX(Units_Owners!$A$5:$A$504,ROWS($A$5:A379)),"")</f>
        <v/>
      </c>
      <c r="E379" s="2">
        <f>IF($D379="","",IFERROR(INDEX(Units_Owners!$B$5:$B$504,MATCH($D379,Units_Owners!$A$5:$A$504,0)),""))</f>
        <v/>
      </c>
      <c r="F379" s="2">
        <f>IF($D379="","",IFERROR(INDEX(Units_Owners!$C$5:$C$504,MATCH($D379,Units_Owners!$A$5:$A$504,0)),""))</f>
        <v/>
      </c>
      <c r="G379" s="2">
        <f>IF($D379="","",IFERROR(INDEX(Units_Owners!$D$5:$D$504,MATCH($D379,Units_Owners!$A$5:$A$504,0)),""))</f>
        <v/>
      </c>
      <c r="H379" s="12">
        <f>Setup!$B$7</f>
        <v/>
      </c>
      <c r="I379" s="12">
        <f>Setup!$B$8</f>
        <v/>
      </c>
      <c r="J379" s="13">
        <f>IF($D379="","",IFERROR(INDEX(Units_Owners!$J$5:$J$504,MATCH($D379,Units_Owners!$A$5:$A$504,0)),0)+SUMIFS(Ledger!$F:$F,Ledger!$B:$B,$D379,Ledger!$D:$D,"&lt;"&amp;$H379)-SUMIFS(Ledger!$G:$G,Ledger!$B:$B,$D379,Ledger!$D:$D,"&lt;"&amp;$H379))</f>
        <v/>
      </c>
      <c r="K379" s="13">
        <f>IF($D379="","",IFERROR(INDEX(Units_Owners!$H$5:$H$504,MATCH($D379,Units_Owners!$A$5:$A$504,0)),Setup!$B$10))</f>
        <v/>
      </c>
      <c r="L379" s="13">
        <f>IF($D379="","",Setup!$B$11)</f>
        <v/>
      </c>
      <c r="M379" s="13">
        <f>IF($D379="","",IF(AND(TODAY()&gt;=Setup!$B$9,$P379&gt;0),Setup!$B$12,0))</f>
        <v/>
      </c>
      <c r="N379" s="13">
        <f>IF($D379="","",SUM($J379:$M379))</f>
        <v/>
      </c>
      <c r="O379" s="13">
        <f>IF($A379="","",SUMIFS(Payments!$F:$F,Payments!$D:$D,$A379))</f>
        <v/>
      </c>
      <c r="P379" s="13">
        <f>IF($D379="","",MAX(0,$N379-$O379))</f>
        <v/>
      </c>
      <c r="Q379" s="2">
        <f>IF($D379="","",IF(IFERROR(INDEX(Units_Owners!$I$5:$I$504,MATCH($D379,Units_Owners!$A$5:$A$504,0)),"No")&lt;&gt;"Yes","Skip - Inactive",IF($P379=0,"Paid",IF(TODAY()&gt;$I379,"Past Due","Open"))))</f>
        <v/>
      </c>
      <c r="R379" s="12" t="n"/>
      <c r="S379" s="2" t="n"/>
    </row>
    <row r="380">
      <c r="A380" s="2">
        <f>IF($D380="","","INV-"&amp;$B380&amp;"-"&amp;$C380&amp;"-"&amp;TEXT(ROW(A376),"0000"))</f>
        <v/>
      </c>
      <c r="B380" s="2">
        <f>Setup!$B$5</f>
        <v/>
      </c>
      <c r="C380" s="2">
        <f>Setup!$B$6</f>
        <v/>
      </c>
      <c r="D380" s="2">
        <f>IFERROR(INDEX(Units_Owners!$A$5:$A$504,ROWS($A$5:A380)),"")</f>
        <v/>
      </c>
      <c r="E380" s="2">
        <f>IF($D380="","",IFERROR(INDEX(Units_Owners!$B$5:$B$504,MATCH($D380,Units_Owners!$A$5:$A$504,0)),""))</f>
        <v/>
      </c>
      <c r="F380" s="2">
        <f>IF($D380="","",IFERROR(INDEX(Units_Owners!$C$5:$C$504,MATCH($D380,Units_Owners!$A$5:$A$504,0)),""))</f>
        <v/>
      </c>
      <c r="G380" s="2">
        <f>IF($D380="","",IFERROR(INDEX(Units_Owners!$D$5:$D$504,MATCH($D380,Units_Owners!$A$5:$A$504,0)),""))</f>
        <v/>
      </c>
      <c r="H380" s="12">
        <f>Setup!$B$7</f>
        <v/>
      </c>
      <c r="I380" s="12">
        <f>Setup!$B$8</f>
        <v/>
      </c>
      <c r="J380" s="13">
        <f>IF($D380="","",IFERROR(INDEX(Units_Owners!$J$5:$J$504,MATCH($D380,Units_Owners!$A$5:$A$504,0)),0)+SUMIFS(Ledger!$F:$F,Ledger!$B:$B,$D380,Ledger!$D:$D,"&lt;"&amp;$H380)-SUMIFS(Ledger!$G:$G,Ledger!$B:$B,$D380,Ledger!$D:$D,"&lt;"&amp;$H380))</f>
        <v/>
      </c>
      <c r="K380" s="13">
        <f>IF($D380="","",IFERROR(INDEX(Units_Owners!$H$5:$H$504,MATCH($D380,Units_Owners!$A$5:$A$504,0)),Setup!$B$10))</f>
        <v/>
      </c>
      <c r="L380" s="13">
        <f>IF($D380="","",Setup!$B$11)</f>
        <v/>
      </c>
      <c r="M380" s="13">
        <f>IF($D380="","",IF(AND(TODAY()&gt;=Setup!$B$9,$P380&gt;0),Setup!$B$12,0))</f>
        <v/>
      </c>
      <c r="N380" s="13">
        <f>IF($D380="","",SUM($J380:$M380))</f>
        <v/>
      </c>
      <c r="O380" s="13">
        <f>IF($A380="","",SUMIFS(Payments!$F:$F,Payments!$D:$D,$A380))</f>
        <v/>
      </c>
      <c r="P380" s="13">
        <f>IF($D380="","",MAX(0,$N380-$O380))</f>
        <v/>
      </c>
      <c r="Q380" s="2">
        <f>IF($D380="","",IF(IFERROR(INDEX(Units_Owners!$I$5:$I$504,MATCH($D380,Units_Owners!$A$5:$A$504,0)),"No")&lt;&gt;"Yes","Skip - Inactive",IF($P380=0,"Paid",IF(TODAY()&gt;$I380,"Past Due","Open"))))</f>
        <v/>
      </c>
      <c r="R380" s="14" t="n"/>
      <c r="S380" s="6" t="n"/>
    </row>
    <row r="381">
      <c r="A381" s="2">
        <f>IF($D381="","","INV-"&amp;$B381&amp;"-"&amp;$C381&amp;"-"&amp;TEXT(ROW(A377),"0000"))</f>
        <v/>
      </c>
      <c r="B381" s="2">
        <f>Setup!$B$5</f>
        <v/>
      </c>
      <c r="C381" s="2">
        <f>Setup!$B$6</f>
        <v/>
      </c>
      <c r="D381" s="2">
        <f>IFERROR(INDEX(Units_Owners!$A$5:$A$504,ROWS($A$5:A381)),"")</f>
        <v/>
      </c>
      <c r="E381" s="2">
        <f>IF($D381="","",IFERROR(INDEX(Units_Owners!$B$5:$B$504,MATCH($D381,Units_Owners!$A$5:$A$504,0)),""))</f>
        <v/>
      </c>
      <c r="F381" s="2">
        <f>IF($D381="","",IFERROR(INDEX(Units_Owners!$C$5:$C$504,MATCH($D381,Units_Owners!$A$5:$A$504,0)),""))</f>
        <v/>
      </c>
      <c r="G381" s="2">
        <f>IF($D381="","",IFERROR(INDEX(Units_Owners!$D$5:$D$504,MATCH($D381,Units_Owners!$A$5:$A$504,0)),""))</f>
        <v/>
      </c>
      <c r="H381" s="12">
        <f>Setup!$B$7</f>
        <v/>
      </c>
      <c r="I381" s="12">
        <f>Setup!$B$8</f>
        <v/>
      </c>
      <c r="J381" s="13">
        <f>IF($D381="","",IFERROR(INDEX(Units_Owners!$J$5:$J$504,MATCH($D381,Units_Owners!$A$5:$A$504,0)),0)+SUMIFS(Ledger!$F:$F,Ledger!$B:$B,$D381,Ledger!$D:$D,"&lt;"&amp;$H381)-SUMIFS(Ledger!$G:$G,Ledger!$B:$B,$D381,Ledger!$D:$D,"&lt;"&amp;$H381))</f>
        <v/>
      </c>
      <c r="K381" s="13">
        <f>IF($D381="","",IFERROR(INDEX(Units_Owners!$H$5:$H$504,MATCH($D381,Units_Owners!$A$5:$A$504,0)),Setup!$B$10))</f>
        <v/>
      </c>
      <c r="L381" s="13">
        <f>IF($D381="","",Setup!$B$11)</f>
        <v/>
      </c>
      <c r="M381" s="13">
        <f>IF($D381="","",IF(AND(TODAY()&gt;=Setup!$B$9,$P381&gt;0),Setup!$B$12,0))</f>
        <v/>
      </c>
      <c r="N381" s="13">
        <f>IF($D381="","",SUM($J381:$M381))</f>
        <v/>
      </c>
      <c r="O381" s="13">
        <f>IF($A381="","",SUMIFS(Payments!$F:$F,Payments!$D:$D,$A381))</f>
        <v/>
      </c>
      <c r="P381" s="13">
        <f>IF($D381="","",MAX(0,$N381-$O381))</f>
        <v/>
      </c>
      <c r="Q381" s="2">
        <f>IF($D381="","",IF(IFERROR(INDEX(Units_Owners!$I$5:$I$504,MATCH($D381,Units_Owners!$A$5:$A$504,0)),"No")&lt;&gt;"Yes","Skip - Inactive",IF($P381=0,"Paid",IF(TODAY()&gt;$I381,"Past Due","Open"))))</f>
        <v/>
      </c>
      <c r="R381" s="12" t="n"/>
      <c r="S381" s="2" t="n"/>
    </row>
    <row r="382">
      <c r="A382" s="2">
        <f>IF($D382="","","INV-"&amp;$B382&amp;"-"&amp;$C382&amp;"-"&amp;TEXT(ROW(A378),"0000"))</f>
        <v/>
      </c>
      <c r="B382" s="2">
        <f>Setup!$B$5</f>
        <v/>
      </c>
      <c r="C382" s="2">
        <f>Setup!$B$6</f>
        <v/>
      </c>
      <c r="D382" s="2">
        <f>IFERROR(INDEX(Units_Owners!$A$5:$A$504,ROWS($A$5:A382)),"")</f>
        <v/>
      </c>
      <c r="E382" s="2">
        <f>IF($D382="","",IFERROR(INDEX(Units_Owners!$B$5:$B$504,MATCH($D382,Units_Owners!$A$5:$A$504,0)),""))</f>
        <v/>
      </c>
      <c r="F382" s="2">
        <f>IF($D382="","",IFERROR(INDEX(Units_Owners!$C$5:$C$504,MATCH($D382,Units_Owners!$A$5:$A$504,0)),""))</f>
        <v/>
      </c>
      <c r="G382" s="2">
        <f>IF($D382="","",IFERROR(INDEX(Units_Owners!$D$5:$D$504,MATCH($D382,Units_Owners!$A$5:$A$504,0)),""))</f>
        <v/>
      </c>
      <c r="H382" s="12">
        <f>Setup!$B$7</f>
        <v/>
      </c>
      <c r="I382" s="12">
        <f>Setup!$B$8</f>
        <v/>
      </c>
      <c r="J382" s="13">
        <f>IF($D382="","",IFERROR(INDEX(Units_Owners!$J$5:$J$504,MATCH($D382,Units_Owners!$A$5:$A$504,0)),0)+SUMIFS(Ledger!$F:$F,Ledger!$B:$B,$D382,Ledger!$D:$D,"&lt;"&amp;$H382)-SUMIFS(Ledger!$G:$G,Ledger!$B:$B,$D382,Ledger!$D:$D,"&lt;"&amp;$H382))</f>
        <v/>
      </c>
      <c r="K382" s="13">
        <f>IF($D382="","",IFERROR(INDEX(Units_Owners!$H$5:$H$504,MATCH($D382,Units_Owners!$A$5:$A$504,0)),Setup!$B$10))</f>
        <v/>
      </c>
      <c r="L382" s="13">
        <f>IF($D382="","",Setup!$B$11)</f>
        <v/>
      </c>
      <c r="M382" s="13">
        <f>IF($D382="","",IF(AND(TODAY()&gt;=Setup!$B$9,$P382&gt;0),Setup!$B$12,0))</f>
        <v/>
      </c>
      <c r="N382" s="13">
        <f>IF($D382="","",SUM($J382:$M382))</f>
        <v/>
      </c>
      <c r="O382" s="13">
        <f>IF($A382="","",SUMIFS(Payments!$F:$F,Payments!$D:$D,$A382))</f>
        <v/>
      </c>
      <c r="P382" s="13">
        <f>IF($D382="","",MAX(0,$N382-$O382))</f>
        <v/>
      </c>
      <c r="Q382" s="2">
        <f>IF($D382="","",IF(IFERROR(INDEX(Units_Owners!$I$5:$I$504,MATCH($D382,Units_Owners!$A$5:$A$504,0)),"No")&lt;&gt;"Yes","Skip - Inactive",IF($P382=0,"Paid",IF(TODAY()&gt;$I382,"Past Due","Open"))))</f>
        <v/>
      </c>
      <c r="R382" s="14" t="n"/>
      <c r="S382" s="6" t="n"/>
    </row>
    <row r="383">
      <c r="A383" s="2">
        <f>IF($D383="","","INV-"&amp;$B383&amp;"-"&amp;$C383&amp;"-"&amp;TEXT(ROW(A379),"0000"))</f>
        <v/>
      </c>
      <c r="B383" s="2">
        <f>Setup!$B$5</f>
        <v/>
      </c>
      <c r="C383" s="2">
        <f>Setup!$B$6</f>
        <v/>
      </c>
      <c r="D383" s="2">
        <f>IFERROR(INDEX(Units_Owners!$A$5:$A$504,ROWS($A$5:A383)),"")</f>
        <v/>
      </c>
      <c r="E383" s="2">
        <f>IF($D383="","",IFERROR(INDEX(Units_Owners!$B$5:$B$504,MATCH($D383,Units_Owners!$A$5:$A$504,0)),""))</f>
        <v/>
      </c>
      <c r="F383" s="2">
        <f>IF($D383="","",IFERROR(INDEX(Units_Owners!$C$5:$C$504,MATCH($D383,Units_Owners!$A$5:$A$504,0)),""))</f>
        <v/>
      </c>
      <c r="G383" s="2">
        <f>IF($D383="","",IFERROR(INDEX(Units_Owners!$D$5:$D$504,MATCH($D383,Units_Owners!$A$5:$A$504,0)),""))</f>
        <v/>
      </c>
      <c r="H383" s="12">
        <f>Setup!$B$7</f>
        <v/>
      </c>
      <c r="I383" s="12">
        <f>Setup!$B$8</f>
        <v/>
      </c>
      <c r="J383" s="13">
        <f>IF($D383="","",IFERROR(INDEX(Units_Owners!$J$5:$J$504,MATCH($D383,Units_Owners!$A$5:$A$504,0)),0)+SUMIFS(Ledger!$F:$F,Ledger!$B:$B,$D383,Ledger!$D:$D,"&lt;"&amp;$H383)-SUMIFS(Ledger!$G:$G,Ledger!$B:$B,$D383,Ledger!$D:$D,"&lt;"&amp;$H383))</f>
        <v/>
      </c>
      <c r="K383" s="13">
        <f>IF($D383="","",IFERROR(INDEX(Units_Owners!$H$5:$H$504,MATCH($D383,Units_Owners!$A$5:$A$504,0)),Setup!$B$10))</f>
        <v/>
      </c>
      <c r="L383" s="13">
        <f>IF($D383="","",Setup!$B$11)</f>
        <v/>
      </c>
      <c r="M383" s="13">
        <f>IF($D383="","",IF(AND(TODAY()&gt;=Setup!$B$9,$P383&gt;0),Setup!$B$12,0))</f>
        <v/>
      </c>
      <c r="N383" s="13">
        <f>IF($D383="","",SUM($J383:$M383))</f>
        <v/>
      </c>
      <c r="O383" s="13">
        <f>IF($A383="","",SUMIFS(Payments!$F:$F,Payments!$D:$D,$A383))</f>
        <v/>
      </c>
      <c r="P383" s="13">
        <f>IF($D383="","",MAX(0,$N383-$O383))</f>
        <v/>
      </c>
      <c r="Q383" s="2">
        <f>IF($D383="","",IF(IFERROR(INDEX(Units_Owners!$I$5:$I$504,MATCH($D383,Units_Owners!$A$5:$A$504,0)),"No")&lt;&gt;"Yes","Skip - Inactive",IF($P383=0,"Paid",IF(TODAY()&gt;$I383,"Past Due","Open"))))</f>
        <v/>
      </c>
      <c r="R383" s="12" t="n"/>
      <c r="S383" s="2" t="n"/>
    </row>
    <row r="384">
      <c r="A384" s="2">
        <f>IF($D384="","","INV-"&amp;$B384&amp;"-"&amp;$C384&amp;"-"&amp;TEXT(ROW(A380),"0000"))</f>
        <v/>
      </c>
      <c r="B384" s="2">
        <f>Setup!$B$5</f>
        <v/>
      </c>
      <c r="C384" s="2">
        <f>Setup!$B$6</f>
        <v/>
      </c>
      <c r="D384" s="2">
        <f>IFERROR(INDEX(Units_Owners!$A$5:$A$504,ROWS($A$5:A384)),"")</f>
        <v/>
      </c>
      <c r="E384" s="2">
        <f>IF($D384="","",IFERROR(INDEX(Units_Owners!$B$5:$B$504,MATCH($D384,Units_Owners!$A$5:$A$504,0)),""))</f>
        <v/>
      </c>
      <c r="F384" s="2">
        <f>IF($D384="","",IFERROR(INDEX(Units_Owners!$C$5:$C$504,MATCH($D384,Units_Owners!$A$5:$A$504,0)),""))</f>
        <v/>
      </c>
      <c r="G384" s="2">
        <f>IF($D384="","",IFERROR(INDEX(Units_Owners!$D$5:$D$504,MATCH($D384,Units_Owners!$A$5:$A$504,0)),""))</f>
        <v/>
      </c>
      <c r="H384" s="12">
        <f>Setup!$B$7</f>
        <v/>
      </c>
      <c r="I384" s="12">
        <f>Setup!$B$8</f>
        <v/>
      </c>
      <c r="J384" s="13">
        <f>IF($D384="","",IFERROR(INDEX(Units_Owners!$J$5:$J$504,MATCH($D384,Units_Owners!$A$5:$A$504,0)),0)+SUMIFS(Ledger!$F:$F,Ledger!$B:$B,$D384,Ledger!$D:$D,"&lt;"&amp;$H384)-SUMIFS(Ledger!$G:$G,Ledger!$B:$B,$D384,Ledger!$D:$D,"&lt;"&amp;$H384))</f>
        <v/>
      </c>
      <c r="K384" s="13">
        <f>IF($D384="","",IFERROR(INDEX(Units_Owners!$H$5:$H$504,MATCH($D384,Units_Owners!$A$5:$A$504,0)),Setup!$B$10))</f>
        <v/>
      </c>
      <c r="L384" s="13">
        <f>IF($D384="","",Setup!$B$11)</f>
        <v/>
      </c>
      <c r="M384" s="13">
        <f>IF($D384="","",IF(AND(TODAY()&gt;=Setup!$B$9,$P384&gt;0),Setup!$B$12,0))</f>
        <v/>
      </c>
      <c r="N384" s="13">
        <f>IF($D384="","",SUM($J384:$M384))</f>
        <v/>
      </c>
      <c r="O384" s="13">
        <f>IF($A384="","",SUMIFS(Payments!$F:$F,Payments!$D:$D,$A384))</f>
        <v/>
      </c>
      <c r="P384" s="13">
        <f>IF($D384="","",MAX(0,$N384-$O384))</f>
        <v/>
      </c>
      <c r="Q384" s="2">
        <f>IF($D384="","",IF(IFERROR(INDEX(Units_Owners!$I$5:$I$504,MATCH($D384,Units_Owners!$A$5:$A$504,0)),"No")&lt;&gt;"Yes","Skip - Inactive",IF($P384=0,"Paid",IF(TODAY()&gt;$I384,"Past Due","Open"))))</f>
        <v/>
      </c>
      <c r="R384" s="14" t="n"/>
      <c r="S384" s="6" t="n"/>
    </row>
    <row r="385">
      <c r="A385" s="2">
        <f>IF($D385="","","INV-"&amp;$B385&amp;"-"&amp;$C385&amp;"-"&amp;TEXT(ROW(A381),"0000"))</f>
        <v/>
      </c>
      <c r="B385" s="2">
        <f>Setup!$B$5</f>
        <v/>
      </c>
      <c r="C385" s="2">
        <f>Setup!$B$6</f>
        <v/>
      </c>
      <c r="D385" s="2">
        <f>IFERROR(INDEX(Units_Owners!$A$5:$A$504,ROWS($A$5:A385)),"")</f>
        <v/>
      </c>
      <c r="E385" s="2">
        <f>IF($D385="","",IFERROR(INDEX(Units_Owners!$B$5:$B$504,MATCH($D385,Units_Owners!$A$5:$A$504,0)),""))</f>
        <v/>
      </c>
      <c r="F385" s="2">
        <f>IF($D385="","",IFERROR(INDEX(Units_Owners!$C$5:$C$504,MATCH($D385,Units_Owners!$A$5:$A$504,0)),""))</f>
        <v/>
      </c>
      <c r="G385" s="2">
        <f>IF($D385="","",IFERROR(INDEX(Units_Owners!$D$5:$D$504,MATCH($D385,Units_Owners!$A$5:$A$504,0)),""))</f>
        <v/>
      </c>
      <c r="H385" s="12">
        <f>Setup!$B$7</f>
        <v/>
      </c>
      <c r="I385" s="12">
        <f>Setup!$B$8</f>
        <v/>
      </c>
      <c r="J385" s="13">
        <f>IF($D385="","",IFERROR(INDEX(Units_Owners!$J$5:$J$504,MATCH($D385,Units_Owners!$A$5:$A$504,0)),0)+SUMIFS(Ledger!$F:$F,Ledger!$B:$B,$D385,Ledger!$D:$D,"&lt;"&amp;$H385)-SUMIFS(Ledger!$G:$G,Ledger!$B:$B,$D385,Ledger!$D:$D,"&lt;"&amp;$H385))</f>
        <v/>
      </c>
      <c r="K385" s="13">
        <f>IF($D385="","",IFERROR(INDEX(Units_Owners!$H$5:$H$504,MATCH($D385,Units_Owners!$A$5:$A$504,0)),Setup!$B$10))</f>
        <v/>
      </c>
      <c r="L385" s="13">
        <f>IF($D385="","",Setup!$B$11)</f>
        <v/>
      </c>
      <c r="M385" s="13">
        <f>IF($D385="","",IF(AND(TODAY()&gt;=Setup!$B$9,$P385&gt;0),Setup!$B$12,0))</f>
        <v/>
      </c>
      <c r="N385" s="13">
        <f>IF($D385="","",SUM($J385:$M385))</f>
        <v/>
      </c>
      <c r="O385" s="13">
        <f>IF($A385="","",SUMIFS(Payments!$F:$F,Payments!$D:$D,$A385))</f>
        <v/>
      </c>
      <c r="P385" s="13">
        <f>IF($D385="","",MAX(0,$N385-$O385))</f>
        <v/>
      </c>
      <c r="Q385" s="2">
        <f>IF($D385="","",IF(IFERROR(INDEX(Units_Owners!$I$5:$I$504,MATCH($D385,Units_Owners!$A$5:$A$504,0)),"No")&lt;&gt;"Yes","Skip - Inactive",IF($P385=0,"Paid",IF(TODAY()&gt;$I385,"Past Due","Open"))))</f>
        <v/>
      </c>
      <c r="R385" s="12" t="n"/>
      <c r="S385" s="2" t="n"/>
    </row>
    <row r="386">
      <c r="A386" s="2">
        <f>IF($D386="","","INV-"&amp;$B386&amp;"-"&amp;$C386&amp;"-"&amp;TEXT(ROW(A382),"0000"))</f>
        <v/>
      </c>
      <c r="B386" s="2">
        <f>Setup!$B$5</f>
        <v/>
      </c>
      <c r="C386" s="2">
        <f>Setup!$B$6</f>
        <v/>
      </c>
      <c r="D386" s="2">
        <f>IFERROR(INDEX(Units_Owners!$A$5:$A$504,ROWS($A$5:A386)),"")</f>
        <v/>
      </c>
      <c r="E386" s="2">
        <f>IF($D386="","",IFERROR(INDEX(Units_Owners!$B$5:$B$504,MATCH($D386,Units_Owners!$A$5:$A$504,0)),""))</f>
        <v/>
      </c>
      <c r="F386" s="2">
        <f>IF($D386="","",IFERROR(INDEX(Units_Owners!$C$5:$C$504,MATCH($D386,Units_Owners!$A$5:$A$504,0)),""))</f>
        <v/>
      </c>
      <c r="G386" s="2">
        <f>IF($D386="","",IFERROR(INDEX(Units_Owners!$D$5:$D$504,MATCH($D386,Units_Owners!$A$5:$A$504,0)),""))</f>
        <v/>
      </c>
      <c r="H386" s="12">
        <f>Setup!$B$7</f>
        <v/>
      </c>
      <c r="I386" s="12">
        <f>Setup!$B$8</f>
        <v/>
      </c>
      <c r="J386" s="13">
        <f>IF($D386="","",IFERROR(INDEX(Units_Owners!$J$5:$J$504,MATCH($D386,Units_Owners!$A$5:$A$504,0)),0)+SUMIFS(Ledger!$F:$F,Ledger!$B:$B,$D386,Ledger!$D:$D,"&lt;"&amp;$H386)-SUMIFS(Ledger!$G:$G,Ledger!$B:$B,$D386,Ledger!$D:$D,"&lt;"&amp;$H386))</f>
        <v/>
      </c>
      <c r="K386" s="13">
        <f>IF($D386="","",IFERROR(INDEX(Units_Owners!$H$5:$H$504,MATCH($D386,Units_Owners!$A$5:$A$504,0)),Setup!$B$10))</f>
        <v/>
      </c>
      <c r="L386" s="13">
        <f>IF($D386="","",Setup!$B$11)</f>
        <v/>
      </c>
      <c r="M386" s="13">
        <f>IF($D386="","",IF(AND(TODAY()&gt;=Setup!$B$9,$P386&gt;0),Setup!$B$12,0))</f>
        <v/>
      </c>
      <c r="N386" s="13">
        <f>IF($D386="","",SUM($J386:$M386))</f>
        <v/>
      </c>
      <c r="O386" s="13">
        <f>IF($A386="","",SUMIFS(Payments!$F:$F,Payments!$D:$D,$A386))</f>
        <v/>
      </c>
      <c r="P386" s="13">
        <f>IF($D386="","",MAX(0,$N386-$O386))</f>
        <v/>
      </c>
      <c r="Q386" s="2">
        <f>IF($D386="","",IF(IFERROR(INDEX(Units_Owners!$I$5:$I$504,MATCH($D386,Units_Owners!$A$5:$A$504,0)),"No")&lt;&gt;"Yes","Skip - Inactive",IF($P386=0,"Paid",IF(TODAY()&gt;$I386,"Past Due","Open"))))</f>
        <v/>
      </c>
      <c r="R386" s="14" t="n"/>
      <c r="S386" s="6" t="n"/>
    </row>
    <row r="387">
      <c r="A387" s="2">
        <f>IF($D387="","","INV-"&amp;$B387&amp;"-"&amp;$C387&amp;"-"&amp;TEXT(ROW(A383),"0000"))</f>
        <v/>
      </c>
      <c r="B387" s="2">
        <f>Setup!$B$5</f>
        <v/>
      </c>
      <c r="C387" s="2">
        <f>Setup!$B$6</f>
        <v/>
      </c>
      <c r="D387" s="2">
        <f>IFERROR(INDEX(Units_Owners!$A$5:$A$504,ROWS($A$5:A387)),"")</f>
        <v/>
      </c>
      <c r="E387" s="2">
        <f>IF($D387="","",IFERROR(INDEX(Units_Owners!$B$5:$B$504,MATCH($D387,Units_Owners!$A$5:$A$504,0)),""))</f>
        <v/>
      </c>
      <c r="F387" s="2">
        <f>IF($D387="","",IFERROR(INDEX(Units_Owners!$C$5:$C$504,MATCH($D387,Units_Owners!$A$5:$A$504,0)),""))</f>
        <v/>
      </c>
      <c r="G387" s="2">
        <f>IF($D387="","",IFERROR(INDEX(Units_Owners!$D$5:$D$504,MATCH($D387,Units_Owners!$A$5:$A$504,0)),""))</f>
        <v/>
      </c>
      <c r="H387" s="12">
        <f>Setup!$B$7</f>
        <v/>
      </c>
      <c r="I387" s="12">
        <f>Setup!$B$8</f>
        <v/>
      </c>
      <c r="J387" s="13">
        <f>IF($D387="","",IFERROR(INDEX(Units_Owners!$J$5:$J$504,MATCH($D387,Units_Owners!$A$5:$A$504,0)),0)+SUMIFS(Ledger!$F:$F,Ledger!$B:$B,$D387,Ledger!$D:$D,"&lt;"&amp;$H387)-SUMIFS(Ledger!$G:$G,Ledger!$B:$B,$D387,Ledger!$D:$D,"&lt;"&amp;$H387))</f>
        <v/>
      </c>
      <c r="K387" s="13">
        <f>IF($D387="","",IFERROR(INDEX(Units_Owners!$H$5:$H$504,MATCH($D387,Units_Owners!$A$5:$A$504,0)),Setup!$B$10))</f>
        <v/>
      </c>
      <c r="L387" s="13">
        <f>IF($D387="","",Setup!$B$11)</f>
        <v/>
      </c>
      <c r="M387" s="13">
        <f>IF($D387="","",IF(AND(TODAY()&gt;=Setup!$B$9,$P387&gt;0),Setup!$B$12,0))</f>
        <v/>
      </c>
      <c r="N387" s="13">
        <f>IF($D387="","",SUM($J387:$M387))</f>
        <v/>
      </c>
      <c r="O387" s="13">
        <f>IF($A387="","",SUMIFS(Payments!$F:$F,Payments!$D:$D,$A387))</f>
        <v/>
      </c>
      <c r="P387" s="13">
        <f>IF($D387="","",MAX(0,$N387-$O387))</f>
        <v/>
      </c>
      <c r="Q387" s="2">
        <f>IF($D387="","",IF(IFERROR(INDEX(Units_Owners!$I$5:$I$504,MATCH($D387,Units_Owners!$A$5:$A$504,0)),"No")&lt;&gt;"Yes","Skip - Inactive",IF($P387=0,"Paid",IF(TODAY()&gt;$I387,"Past Due","Open"))))</f>
        <v/>
      </c>
      <c r="R387" s="12" t="n"/>
      <c r="S387" s="2" t="n"/>
    </row>
    <row r="388">
      <c r="A388" s="2">
        <f>IF($D388="","","INV-"&amp;$B388&amp;"-"&amp;$C388&amp;"-"&amp;TEXT(ROW(A384),"0000"))</f>
        <v/>
      </c>
      <c r="B388" s="2">
        <f>Setup!$B$5</f>
        <v/>
      </c>
      <c r="C388" s="2">
        <f>Setup!$B$6</f>
        <v/>
      </c>
      <c r="D388" s="2">
        <f>IFERROR(INDEX(Units_Owners!$A$5:$A$504,ROWS($A$5:A388)),"")</f>
        <v/>
      </c>
      <c r="E388" s="2">
        <f>IF($D388="","",IFERROR(INDEX(Units_Owners!$B$5:$B$504,MATCH($D388,Units_Owners!$A$5:$A$504,0)),""))</f>
        <v/>
      </c>
      <c r="F388" s="2">
        <f>IF($D388="","",IFERROR(INDEX(Units_Owners!$C$5:$C$504,MATCH($D388,Units_Owners!$A$5:$A$504,0)),""))</f>
        <v/>
      </c>
      <c r="G388" s="2">
        <f>IF($D388="","",IFERROR(INDEX(Units_Owners!$D$5:$D$504,MATCH($D388,Units_Owners!$A$5:$A$504,0)),""))</f>
        <v/>
      </c>
      <c r="H388" s="12">
        <f>Setup!$B$7</f>
        <v/>
      </c>
      <c r="I388" s="12">
        <f>Setup!$B$8</f>
        <v/>
      </c>
      <c r="J388" s="13">
        <f>IF($D388="","",IFERROR(INDEX(Units_Owners!$J$5:$J$504,MATCH($D388,Units_Owners!$A$5:$A$504,0)),0)+SUMIFS(Ledger!$F:$F,Ledger!$B:$B,$D388,Ledger!$D:$D,"&lt;"&amp;$H388)-SUMIFS(Ledger!$G:$G,Ledger!$B:$B,$D388,Ledger!$D:$D,"&lt;"&amp;$H388))</f>
        <v/>
      </c>
      <c r="K388" s="13">
        <f>IF($D388="","",IFERROR(INDEX(Units_Owners!$H$5:$H$504,MATCH($D388,Units_Owners!$A$5:$A$504,0)),Setup!$B$10))</f>
        <v/>
      </c>
      <c r="L388" s="13">
        <f>IF($D388="","",Setup!$B$11)</f>
        <v/>
      </c>
      <c r="M388" s="13">
        <f>IF($D388="","",IF(AND(TODAY()&gt;=Setup!$B$9,$P388&gt;0),Setup!$B$12,0))</f>
        <v/>
      </c>
      <c r="N388" s="13">
        <f>IF($D388="","",SUM($J388:$M388))</f>
        <v/>
      </c>
      <c r="O388" s="13">
        <f>IF($A388="","",SUMIFS(Payments!$F:$F,Payments!$D:$D,$A388))</f>
        <v/>
      </c>
      <c r="P388" s="13">
        <f>IF($D388="","",MAX(0,$N388-$O388))</f>
        <v/>
      </c>
      <c r="Q388" s="2">
        <f>IF($D388="","",IF(IFERROR(INDEX(Units_Owners!$I$5:$I$504,MATCH($D388,Units_Owners!$A$5:$A$504,0)),"No")&lt;&gt;"Yes","Skip - Inactive",IF($P388=0,"Paid",IF(TODAY()&gt;$I388,"Past Due","Open"))))</f>
        <v/>
      </c>
      <c r="R388" s="14" t="n"/>
      <c r="S388" s="6" t="n"/>
    </row>
    <row r="389">
      <c r="A389" s="2">
        <f>IF($D389="","","INV-"&amp;$B389&amp;"-"&amp;$C389&amp;"-"&amp;TEXT(ROW(A385),"0000"))</f>
        <v/>
      </c>
      <c r="B389" s="2">
        <f>Setup!$B$5</f>
        <v/>
      </c>
      <c r="C389" s="2">
        <f>Setup!$B$6</f>
        <v/>
      </c>
      <c r="D389" s="2">
        <f>IFERROR(INDEX(Units_Owners!$A$5:$A$504,ROWS($A$5:A389)),"")</f>
        <v/>
      </c>
      <c r="E389" s="2">
        <f>IF($D389="","",IFERROR(INDEX(Units_Owners!$B$5:$B$504,MATCH($D389,Units_Owners!$A$5:$A$504,0)),""))</f>
        <v/>
      </c>
      <c r="F389" s="2">
        <f>IF($D389="","",IFERROR(INDEX(Units_Owners!$C$5:$C$504,MATCH($D389,Units_Owners!$A$5:$A$504,0)),""))</f>
        <v/>
      </c>
      <c r="G389" s="2">
        <f>IF($D389="","",IFERROR(INDEX(Units_Owners!$D$5:$D$504,MATCH($D389,Units_Owners!$A$5:$A$504,0)),""))</f>
        <v/>
      </c>
      <c r="H389" s="12">
        <f>Setup!$B$7</f>
        <v/>
      </c>
      <c r="I389" s="12">
        <f>Setup!$B$8</f>
        <v/>
      </c>
      <c r="J389" s="13">
        <f>IF($D389="","",IFERROR(INDEX(Units_Owners!$J$5:$J$504,MATCH($D389,Units_Owners!$A$5:$A$504,0)),0)+SUMIFS(Ledger!$F:$F,Ledger!$B:$B,$D389,Ledger!$D:$D,"&lt;"&amp;$H389)-SUMIFS(Ledger!$G:$G,Ledger!$B:$B,$D389,Ledger!$D:$D,"&lt;"&amp;$H389))</f>
        <v/>
      </c>
      <c r="K389" s="13">
        <f>IF($D389="","",IFERROR(INDEX(Units_Owners!$H$5:$H$504,MATCH($D389,Units_Owners!$A$5:$A$504,0)),Setup!$B$10))</f>
        <v/>
      </c>
      <c r="L389" s="13">
        <f>IF($D389="","",Setup!$B$11)</f>
        <v/>
      </c>
      <c r="M389" s="13">
        <f>IF($D389="","",IF(AND(TODAY()&gt;=Setup!$B$9,$P389&gt;0),Setup!$B$12,0))</f>
        <v/>
      </c>
      <c r="N389" s="13">
        <f>IF($D389="","",SUM($J389:$M389))</f>
        <v/>
      </c>
      <c r="O389" s="13">
        <f>IF($A389="","",SUMIFS(Payments!$F:$F,Payments!$D:$D,$A389))</f>
        <v/>
      </c>
      <c r="P389" s="13">
        <f>IF($D389="","",MAX(0,$N389-$O389))</f>
        <v/>
      </c>
      <c r="Q389" s="2">
        <f>IF($D389="","",IF(IFERROR(INDEX(Units_Owners!$I$5:$I$504,MATCH($D389,Units_Owners!$A$5:$A$504,0)),"No")&lt;&gt;"Yes","Skip - Inactive",IF($P389=0,"Paid",IF(TODAY()&gt;$I389,"Past Due","Open"))))</f>
        <v/>
      </c>
      <c r="R389" s="12" t="n"/>
      <c r="S389" s="2" t="n"/>
    </row>
    <row r="390">
      <c r="A390" s="2">
        <f>IF($D390="","","INV-"&amp;$B390&amp;"-"&amp;$C390&amp;"-"&amp;TEXT(ROW(A386),"0000"))</f>
        <v/>
      </c>
      <c r="B390" s="2">
        <f>Setup!$B$5</f>
        <v/>
      </c>
      <c r="C390" s="2">
        <f>Setup!$B$6</f>
        <v/>
      </c>
      <c r="D390" s="2">
        <f>IFERROR(INDEX(Units_Owners!$A$5:$A$504,ROWS($A$5:A390)),"")</f>
        <v/>
      </c>
      <c r="E390" s="2">
        <f>IF($D390="","",IFERROR(INDEX(Units_Owners!$B$5:$B$504,MATCH($D390,Units_Owners!$A$5:$A$504,0)),""))</f>
        <v/>
      </c>
      <c r="F390" s="2">
        <f>IF($D390="","",IFERROR(INDEX(Units_Owners!$C$5:$C$504,MATCH($D390,Units_Owners!$A$5:$A$504,0)),""))</f>
        <v/>
      </c>
      <c r="G390" s="2">
        <f>IF($D390="","",IFERROR(INDEX(Units_Owners!$D$5:$D$504,MATCH($D390,Units_Owners!$A$5:$A$504,0)),""))</f>
        <v/>
      </c>
      <c r="H390" s="12">
        <f>Setup!$B$7</f>
        <v/>
      </c>
      <c r="I390" s="12">
        <f>Setup!$B$8</f>
        <v/>
      </c>
      <c r="J390" s="13">
        <f>IF($D390="","",IFERROR(INDEX(Units_Owners!$J$5:$J$504,MATCH($D390,Units_Owners!$A$5:$A$504,0)),0)+SUMIFS(Ledger!$F:$F,Ledger!$B:$B,$D390,Ledger!$D:$D,"&lt;"&amp;$H390)-SUMIFS(Ledger!$G:$G,Ledger!$B:$B,$D390,Ledger!$D:$D,"&lt;"&amp;$H390))</f>
        <v/>
      </c>
      <c r="K390" s="13">
        <f>IF($D390="","",IFERROR(INDEX(Units_Owners!$H$5:$H$504,MATCH($D390,Units_Owners!$A$5:$A$504,0)),Setup!$B$10))</f>
        <v/>
      </c>
      <c r="L390" s="13">
        <f>IF($D390="","",Setup!$B$11)</f>
        <v/>
      </c>
      <c r="M390" s="13">
        <f>IF($D390="","",IF(AND(TODAY()&gt;=Setup!$B$9,$P390&gt;0),Setup!$B$12,0))</f>
        <v/>
      </c>
      <c r="N390" s="13">
        <f>IF($D390="","",SUM($J390:$M390))</f>
        <v/>
      </c>
      <c r="O390" s="13">
        <f>IF($A390="","",SUMIFS(Payments!$F:$F,Payments!$D:$D,$A390))</f>
        <v/>
      </c>
      <c r="P390" s="13">
        <f>IF($D390="","",MAX(0,$N390-$O390))</f>
        <v/>
      </c>
      <c r="Q390" s="2">
        <f>IF($D390="","",IF(IFERROR(INDEX(Units_Owners!$I$5:$I$504,MATCH($D390,Units_Owners!$A$5:$A$504,0)),"No")&lt;&gt;"Yes","Skip - Inactive",IF($P390=0,"Paid",IF(TODAY()&gt;$I390,"Past Due","Open"))))</f>
        <v/>
      </c>
      <c r="R390" s="14" t="n"/>
      <c r="S390" s="6" t="n"/>
    </row>
    <row r="391">
      <c r="A391" s="2">
        <f>IF($D391="","","INV-"&amp;$B391&amp;"-"&amp;$C391&amp;"-"&amp;TEXT(ROW(A387),"0000"))</f>
        <v/>
      </c>
      <c r="B391" s="2">
        <f>Setup!$B$5</f>
        <v/>
      </c>
      <c r="C391" s="2">
        <f>Setup!$B$6</f>
        <v/>
      </c>
      <c r="D391" s="2">
        <f>IFERROR(INDEX(Units_Owners!$A$5:$A$504,ROWS($A$5:A391)),"")</f>
        <v/>
      </c>
      <c r="E391" s="2">
        <f>IF($D391="","",IFERROR(INDEX(Units_Owners!$B$5:$B$504,MATCH($D391,Units_Owners!$A$5:$A$504,0)),""))</f>
        <v/>
      </c>
      <c r="F391" s="2">
        <f>IF($D391="","",IFERROR(INDEX(Units_Owners!$C$5:$C$504,MATCH($D391,Units_Owners!$A$5:$A$504,0)),""))</f>
        <v/>
      </c>
      <c r="G391" s="2">
        <f>IF($D391="","",IFERROR(INDEX(Units_Owners!$D$5:$D$504,MATCH($D391,Units_Owners!$A$5:$A$504,0)),""))</f>
        <v/>
      </c>
      <c r="H391" s="12">
        <f>Setup!$B$7</f>
        <v/>
      </c>
      <c r="I391" s="12">
        <f>Setup!$B$8</f>
        <v/>
      </c>
      <c r="J391" s="13">
        <f>IF($D391="","",IFERROR(INDEX(Units_Owners!$J$5:$J$504,MATCH($D391,Units_Owners!$A$5:$A$504,0)),0)+SUMIFS(Ledger!$F:$F,Ledger!$B:$B,$D391,Ledger!$D:$D,"&lt;"&amp;$H391)-SUMIFS(Ledger!$G:$G,Ledger!$B:$B,$D391,Ledger!$D:$D,"&lt;"&amp;$H391))</f>
        <v/>
      </c>
      <c r="K391" s="13">
        <f>IF($D391="","",IFERROR(INDEX(Units_Owners!$H$5:$H$504,MATCH($D391,Units_Owners!$A$5:$A$504,0)),Setup!$B$10))</f>
        <v/>
      </c>
      <c r="L391" s="13">
        <f>IF($D391="","",Setup!$B$11)</f>
        <v/>
      </c>
      <c r="M391" s="13">
        <f>IF($D391="","",IF(AND(TODAY()&gt;=Setup!$B$9,$P391&gt;0),Setup!$B$12,0))</f>
        <v/>
      </c>
      <c r="N391" s="13">
        <f>IF($D391="","",SUM($J391:$M391))</f>
        <v/>
      </c>
      <c r="O391" s="13">
        <f>IF($A391="","",SUMIFS(Payments!$F:$F,Payments!$D:$D,$A391))</f>
        <v/>
      </c>
      <c r="P391" s="13">
        <f>IF($D391="","",MAX(0,$N391-$O391))</f>
        <v/>
      </c>
      <c r="Q391" s="2">
        <f>IF($D391="","",IF(IFERROR(INDEX(Units_Owners!$I$5:$I$504,MATCH($D391,Units_Owners!$A$5:$A$504,0)),"No")&lt;&gt;"Yes","Skip - Inactive",IF($P391=0,"Paid",IF(TODAY()&gt;$I391,"Past Due","Open"))))</f>
        <v/>
      </c>
      <c r="R391" s="12" t="n"/>
      <c r="S391" s="2" t="n"/>
    </row>
    <row r="392">
      <c r="A392" s="2">
        <f>IF($D392="","","INV-"&amp;$B392&amp;"-"&amp;$C392&amp;"-"&amp;TEXT(ROW(A388),"0000"))</f>
        <v/>
      </c>
      <c r="B392" s="2">
        <f>Setup!$B$5</f>
        <v/>
      </c>
      <c r="C392" s="2">
        <f>Setup!$B$6</f>
        <v/>
      </c>
      <c r="D392" s="2">
        <f>IFERROR(INDEX(Units_Owners!$A$5:$A$504,ROWS($A$5:A392)),"")</f>
        <v/>
      </c>
      <c r="E392" s="2">
        <f>IF($D392="","",IFERROR(INDEX(Units_Owners!$B$5:$B$504,MATCH($D392,Units_Owners!$A$5:$A$504,0)),""))</f>
        <v/>
      </c>
      <c r="F392" s="2">
        <f>IF($D392="","",IFERROR(INDEX(Units_Owners!$C$5:$C$504,MATCH($D392,Units_Owners!$A$5:$A$504,0)),""))</f>
        <v/>
      </c>
      <c r="G392" s="2">
        <f>IF($D392="","",IFERROR(INDEX(Units_Owners!$D$5:$D$504,MATCH($D392,Units_Owners!$A$5:$A$504,0)),""))</f>
        <v/>
      </c>
      <c r="H392" s="12">
        <f>Setup!$B$7</f>
        <v/>
      </c>
      <c r="I392" s="12">
        <f>Setup!$B$8</f>
        <v/>
      </c>
      <c r="J392" s="13">
        <f>IF($D392="","",IFERROR(INDEX(Units_Owners!$J$5:$J$504,MATCH($D392,Units_Owners!$A$5:$A$504,0)),0)+SUMIFS(Ledger!$F:$F,Ledger!$B:$B,$D392,Ledger!$D:$D,"&lt;"&amp;$H392)-SUMIFS(Ledger!$G:$G,Ledger!$B:$B,$D392,Ledger!$D:$D,"&lt;"&amp;$H392))</f>
        <v/>
      </c>
      <c r="K392" s="13">
        <f>IF($D392="","",IFERROR(INDEX(Units_Owners!$H$5:$H$504,MATCH($D392,Units_Owners!$A$5:$A$504,0)),Setup!$B$10))</f>
        <v/>
      </c>
      <c r="L392" s="13">
        <f>IF($D392="","",Setup!$B$11)</f>
        <v/>
      </c>
      <c r="M392" s="13">
        <f>IF($D392="","",IF(AND(TODAY()&gt;=Setup!$B$9,$P392&gt;0),Setup!$B$12,0))</f>
        <v/>
      </c>
      <c r="N392" s="13">
        <f>IF($D392="","",SUM($J392:$M392))</f>
        <v/>
      </c>
      <c r="O392" s="13">
        <f>IF($A392="","",SUMIFS(Payments!$F:$F,Payments!$D:$D,$A392))</f>
        <v/>
      </c>
      <c r="P392" s="13">
        <f>IF($D392="","",MAX(0,$N392-$O392))</f>
        <v/>
      </c>
      <c r="Q392" s="2">
        <f>IF($D392="","",IF(IFERROR(INDEX(Units_Owners!$I$5:$I$504,MATCH($D392,Units_Owners!$A$5:$A$504,0)),"No")&lt;&gt;"Yes","Skip - Inactive",IF($P392=0,"Paid",IF(TODAY()&gt;$I392,"Past Due","Open"))))</f>
        <v/>
      </c>
      <c r="R392" s="14" t="n"/>
      <c r="S392" s="6" t="n"/>
    </row>
    <row r="393">
      <c r="A393" s="2">
        <f>IF($D393="","","INV-"&amp;$B393&amp;"-"&amp;$C393&amp;"-"&amp;TEXT(ROW(A389),"0000"))</f>
        <v/>
      </c>
      <c r="B393" s="2">
        <f>Setup!$B$5</f>
        <v/>
      </c>
      <c r="C393" s="2">
        <f>Setup!$B$6</f>
        <v/>
      </c>
      <c r="D393" s="2">
        <f>IFERROR(INDEX(Units_Owners!$A$5:$A$504,ROWS($A$5:A393)),"")</f>
        <v/>
      </c>
      <c r="E393" s="2">
        <f>IF($D393="","",IFERROR(INDEX(Units_Owners!$B$5:$B$504,MATCH($D393,Units_Owners!$A$5:$A$504,0)),""))</f>
        <v/>
      </c>
      <c r="F393" s="2">
        <f>IF($D393="","",IFERROR(INDEX(Units_Owners!$C$5:$C$504,MATCH($D393,Units_Owners!$A$5:$A$504,0)),""))</f>
        <v/>
      </c>
      <c r="G393" s="2">
        <f>IF($D393="","",IFERROR(INDEX(Units_Owners!$D$5:$D$504,MATCH($D393,Units_Owners!$A$5:$A$504,0)),""))</f>
        <v/>
      </c>
      <c r="H393" s="12">
        <f>Setup!$B$7</f>
        <v/>
      </c>
      <c r="I393" s="12">
        <f>Setup!$B$8</f>
        <v/>
      </c>
      <c r="J393" s="13">
        <f>IF($D393="","",IFERROR(INDEX(Units_Owners!$J$5:$J$504,MATCH($D393,Units_Owners!$A$5:$A$504,0)),0)+SUMIFS(Ledger!$F:$F,Ledger!$B:$B,$D393,Ledger!$D:$D,"&lt;"&amp;$H393)-SUMIFS(Ledger!$G:$G,Ledger!$B:$B,$D393,Ledger!$D:$D,"&lt;"&amp;$H393))</f>
        <v/>
      </c>
      <c r="K393" s="13">
        <f>IF($D393="","",IFERROR(INDEX(Units_Owners!$H$5:$H$504,MATCH($D393,Units_Owners!$A$5:$A$504,0)),Setup!$B$10))</f>
        <v/>
      </c>
      <c r="L393" s="13">
        <f>IF($D393="","",Setup!$B$11)</f>
        <v/>
      </c>
      <c r="M393" s="13">
        <f>IF($D393="","",IF(AND(TODAY()&gt;=Setup!$B$9,$P393&gt;0),Setup!$B$12,0))</f>
        <v/>
      </c>
      <c r="N393" s="13">
        <f>IF($D393="","",SUM($J393:$M393))</f>
        <v/>
      </c>
      <c r="O393" s="13">
        <f>IF($A393="","",SUMIFS(Payments!$F:$F,Payments!$D:$D,$A393))</f>
        <v/>
      </c>
      <c r="P393" s="13">
        <f>IF($D393="","",MAX(0,$N393-$O393))</f>
        <v/>
      </c>
      <c r="Q393" s="2">
        <f>IF($D393="","",IF(IFERROR(INDEX(Units_Owners!$I$5:$I$504,MATCH($D393,Units_Owners!$A$5:$A$504,0)),"No")&lt;&gt;"Yes","Skip - Inactive",IF($P393=0,"Paid",IF(TODAY()&gt;$I393,"Past Due","Open"))))</f>
        <v/>
      </c>
      <c r="R393" s="12" t="n"/>
      <c r="S393" s="2" t="n"/>
    </row>
    <row r="394">
      <c r="A394" s="2">
        <f>IF($D394="","","INV-"&amp;$B394&amp;"-"&amp;$C394&amp;"-"&amp;TEXT(ROW(A390),"0000"))</f>
        <v/>
      </c>
      <c r="B394" s="2">
        <f>Setup!$B$5</f>
        <v/>
      </c>
      <c r="C394" s="2">
        <f>Setup!$B$6</f>
        <v/>
      </c>
      <c r="D394" s="2">
        <f>IFERROR(INDEX(Units_Owners!$A$5:$A$504,ROWS($A$5:A394)),"")</f>
        <v/>
      </c>
      <c r="E394" s="2">
        <f>IF($D394="","",IFERROR(INDEX(Units_Owners!$B$5:$B$504,MATCH($D394,Units_Owners!$A$5:$A$504,0)),""))</f>
        <v/>
      </c>
      <c r="F394" s="2">
        <f>IF($D394="","",IFERROR(INDEX(Units_Owners!$C$5:$C$504,MATCH($D394,Units_Owners!$A$5:$A$504,0)),""))</f>
        <v/>
      </c>
      <c r="G394" s="2">
        <f>IF($D394="","",IFERROR(INDEX(Units_Owners!$D$5:$D$504,MATCH($D394,Units_Owners!$A$5:$A$504,0)),""))</f>
        <v/>
      </c>
      <c r="H394" s="12">
        <f>Setup!$B$7</f>
        <v/>
      </c>
      <c r="I394" s="12">
        <f>Setup!$B$8</f>
        <v/>
      </c>
      <c r="J394" s="13">
        <f>IF($D394="","",IFERROR(INDEX(Units_Owners!$J$5:$J$504,MATCH($D394,Units_Owners!$A$5:$A$504,0)),0)+SUMIFS(Ledger!$F:$F,Ledger!$B:$B,$D394,Ledger!$D:$D,"&lt;"&amp;$H394)-SUMIFS(Ledger!$G:$G,Ledger!$B:$B,$D394,Ledger!$D:$D,"&lt;"&amp;$H394))</f>
        <v/>
      </c>
      <c r="K394" s="13">
        <f>IF($D394="","",IFERROR(INDEX(Units_Owners!$H$5:$H$504,MATCH($D394,Units_Owners!$A$5:$A$504,0)),Setup!$B$10))</f>
        <v/>
      </c>
      <c r="L394" s="13">
        <f>IF($D394="","",Setup!$B$11)</f>
        <v/>
      </c>
      <c r="M394" s="13">
        <f>IF($D394="","",IF(AND(TODAY()&gt;=Setup!$B$9,$P394&gt;0),Setup!$B$12,0))</f>
        <v/>
      </c>
      <c r="N394" s="13">
        <f>IF($D394="","",SUM($J394:$M394))</f>
        <v/>
      </c>
      <c r="O394" s="13">
        <f>IF($A394="","",SUMIFS(Payments!$F:$F,Payments!$D:$D,$A394))</f>
        <v/>
      </c>
      <c r="P394" s="13">
        <f>IF($D394="","",MAX(0,$N394-$O394))</f>
        <v/>
      </c>
      <c r="Q394" s="2">
        <f>IF($D394="","",IF(IFERROR(INDEX(Units_Owners!$I$5:$I$504,MATCH($D394,Units_Owners!$A$5:$A$504,0)),"No")&lt;&gt;"Yes","Skip - Inactive",IF($P394=0,"Paid",IF(TODAY()&gt;$I394,"Past Due","Open"))))</f>
        <v/>
      </c>
      <c r="R394" s="14" t="n"/>
      <c r="S394" s="6" t="n"/>
    </row>
    <row r="395">
      <c r="A395" s="2">
        <f>IF($D395="","","INV-"&amp;$B395&amp;"-"&amp;$C395&amp;"-"&amp;TEXT(ROW(A391),"0000"))</f>
        <v/>
      </c>
      <c r="B395" s="2">
        <f>Setup!$B$5</f>
        <v/>
      </c>
      <c r="C395" s="2">
        <f>Setup!$B$6</f>
        <v/>
      </c>
      <c r="D395" s="2">
        <f>IFERROR(INDEX(Units_Owners!$A$5:$A$504,ROWS($A$5:A395)),"")</f>
        <v/>
      </c>
      <c r="E395" s="2">
        <f>IF($D395="","",IFERROR(INDEX(Units_Owners!$B$5:$B$504,MATCH($D395,Units_Owners!$A$5:$A$504,0)),""))</f>
        <v/>
      </c>
      <c r="F395" s="2">
        <f>IF($D395="","",IFERROR(INDEX(Units_Owners!$C$5:$C$504,MATCH($D395,Units_Owners!$A$5:$A$504,0)),""))</f>
        <v/>
      </c>
      <c r="G395" s="2">
        <f>IF($D395="","",IFERROR(INDEX(Units_Owners!$D$5:$D$504,MATCH($D395,Units_Owners!$A$5:$A$504,0)),""))</f>
        <v/>
      </c>
      <c r="H395" s="12">
        <f>Setup!$B$7</f>
        <v/>
      </c>
      <c r="I395" s="12">
        <f>Setup!$B$8</f>
        <v/>
      </c>
      <c r="J395" s="13">
        <f>IF($D395="","",IFERROR(INDEX(Units_Owners!$J$5:$J$504,MATCH($D395,Units_Owners!$A$5:$A$504,0)),0)+SUMIFS(Ledger!$F:$F,Ledger!$B:$B,$D395,Ledger!$D:$D,"&lt;"&amp;$H395)-SUMIFS(Ledger!$G:$G,Ledger!$B:$B,$D395,Ledger!$D:$D,"&lt;"&amp;$H395))</f>
        <v/>
      </c>
      <c r="K395" s="13">
        <f>IF($D395="","",IFERROR(INDEX(Units_Owners!$H$5:$H$504,MATCH($D395,Units_Owners!$A$5:$A$504,0)),Setup!$B$10))</f>
        <v/>
      </c>
      <c r="L395" s="13">
        <f>IF($D395="","",Setup!$B$11)</f>
        <v/>
      </c>
      <c r="M395" s="13">
        <f>IF($D395="","",IF(AND(TODAY()&gt;=Setup!$B$9,$P395&gt;0),Setup!$B$12,0))</f>
        <v/>
      </c>
      <c r="N395" s="13">
        <f>IF($D395="","",SUM($J395:$M395))</f>
        <v/>
      </c>
      <c r="O395" s="13">
        <f>IF($A395="","",SUMIFS(Payments!$F:$F,Payments!$D:$D,$A395))</f>
        <v/>
      </c>
      <c r="P395" s="13">
        <f>IF($D395="","",MAX(0,$N395-$O395))</f>
        <v/>
      </c>
      <c r="Q395" s="2">
        <f>IF($D395="","",IF(IFERROR(INDEX(Units_Owners!$I$5:$I$504,MATCH($D395,Units_Owners!$A$5:$A$504,0)),"No")&lt;&gt;"Yes","Skip - Inactive",IF($P395=0,"Paid",IF(TODAY()&gt;$I395,"Past Due","Open"))))</f>
        <v/>
      </c>
      <c r="R395" s="12" t="n"/>
      <c r="S395" s="2" t="n"/>
    </row>
    <row r="396">
      <c r="A396" s="2">
        <f>IF($D396="","","INV-"&amp;$B396&amp;"-"&amp;$C396&amp;"-"&amp;TEXT(ROW(A392),"0000"))</f>
        <v/>
      </c>
      <c r="B396" s="2">
        <f>Setup!$B$5</f>
        <v/>
      </c>
      <c r="C396" s="2">
        <f>Setup!$B$6</f>
        <v/>
      </c>
      <c r="D396" s="2">
        <f>IFERROR(INDEX(Units_Owners!$A$5:$A$504,ROWS($A$5:A396)),"")</f>
        <v/>
      </c>
      <c r="E396" s="2">
        <f>IF($D396="","",IFERROR(INDEX(Units_Owners!$B$5:$B$504,MATCH($D396,Units_Owners!$A$5:$A$504,0)),""))</f>
        <v/>
      </c>
      <c r="F396" s="2">
        <f>IF($D396="","",IFERROR(INDEX(Units_Owners!$C$5:$C$504,MATCH($D396,Units_Owners!$A$5:$A$504,0)),""))</f>
        <v/>
      </c>
      <c r="G396" s="2">
        <f>IF($D396="","",IFERROR(INDEX(Units_Owners!$D$5:$D$504,MATCH($D396,Units_Owners!$A$5:$A$504,0)),""))</f>
        <v/>
      </c>
      <c r="H396" s="12">
        <f>Setup!$B$7</f>
        <v/>
      </c>
      <c r="I396" s="12">
        <f>Setup!$B$8</f>
        <v/>
      </c>
      <c r="J396" s="13">
        <f>IF($D396="","",IFERROR(INDEX(Units_Owners!$J$5:$J$504,MATCH($D396,Units_Owners!$A$5:$A$504,0)),0)+SUMIFS(Ledger!$F:$F,Ledger!$B:$B,$D396,Ledger!$D:$D,"&lt;"&amp;$H396)-SUMIFS(Ledger!$G:$G,Ledger!$B:$B,$D396,Ledger!$D:$D,"&lt;"&amp;$H396))</f>
        <v/>
      </c>
      <c r="K396" s="13">
        <f>IF($D396="","",IFERROR(INDEX(Units_Owners!$H$5:$H$504,MATCH($D396,Units_Owners!$A$5:$A$504,0)),Setup!$B$10))</f>
        <v/>
      </c>
      <c r="L396" s="13">
        <f>IF($D396="","",Setup!$B$11)</f>
        <v/>
      </c>
      <c r="M396" s="13">
        <f>IF($D396="","",IF(AND(TODAY()&gt;=Setup!$B$9,$P396&gt;0),Setup!$B$12,0))</f>
        <v/>
      </c>
      <c r="N396" s="13">
        <f>IF($D396="","",SUM($J396:$M396))</f>
        <v/>
      </c>
      <c r="O396" s="13">
        <f>IF($A396="","",SUMIFS(Payments!$F:$F,Payments!$D:$D,$A396))</f>
        <v/>
      </c>
      <c r="P396" s="13">
        <f>IF($D396="","",MAX(0,$N396-$O396))</f>
        <v/>
      </c>
      <c r="Q396" s="2">
        <f>IF($D396="","",IF(IFERROR(INDEX(Units_Owners!$I$5:$I$504,MATCH($D396,Units_Owners!$A$5:$A$504,0)),"No")&lt;&gt;"Yes","Skip - Inactive",IF($P396=0,"Paid",IF(TODAY()&gt;$I396,"Past Due","Open"))))</f>
        <v/>
      </c>
      <c r="R396" s="14" t="n"/>
      <c r="S396" s="6" t="n"/>
    </row>
    <row r="397">
      <c r="A397" s="2">
        <f>IF($D397="","","INV-"&amp;$B397&amp;"-"&amp;$C397&amp;"-"&amp;TEXT(ROW(A393),"0000"))</f>
        <v/>
      </c>
      <c r="B397" s="2">
        <f>Setup!$B$5</f>
        <v/>
      </c>
      <c r="C397" s="2">
        <f>Setup!$B$6</f>
        <v/>
      </c>
      <c r="D397" s="2">
        <f>IFERROR(INDEX(Units_Owners!$A$5:$A$504,ROWS($A$5:A397)),"")</f>
        <v/>
      </c>
      <c r="E397" s="2">
        <f>IF($D397="","",IFERROR(INDEX(Units_Owners!$B$5:$B$504,MATCH($D397,Units_Owners!$A$5:$A$504,0)),""))</f>
        <v/>
      </c>
      <c r="F397" s="2">
        <f>IF($D397="","",IFERROR(INDEX(Units_Owners!$C$5:$C$504,MATCH($D397,Units_Owners!$A$5:$A$504,0)),""))</f>
        <v/>
      </c>
      <c r="G397" s="2">
        <f>IF($D397="","",IFERROR(INDEX(Units_Owners!$D$5:$D$504,MATCH($D397,Units_Owners!$A$5:$A$504,0)),""))</f>
        <v/>
      </c>
      <c r="H397" s="12">
        <f>Setup!$B$7</f>
        <v/>
      </c>
      <c r="I397" s="12">
        <f>Setup!$B$8</f>
        <v/>
      </c>
      <c r="J397" s="13">
        <f>IF($D397="","",IFERROR(INDEX(Units_Owners!$J$5:$J$504,MATCH($D397,Units_Owners!$A$5:$A$504,0)),0)+SUMIFS(Ledger!$F:$F,Ledger!$B:$B,$D397,Ledger!$D:$D,"&lt;"&amp;$H397)-SUMIFS(Ledger!$G:$G,Ledger!$B:$B,$D397,Ledger!$D:$D,"&lt;"&amp;$H397))</f>
        <v/>
      </c>
      <c r="K397" s="13">
        <f>IF($D397="","",IFERROR(INDEX(Units_Owners!$H$5:$H$504,MATCH($D397,Units_Owners!$A$5:$A$504,0)),Setup!$B$10))</f>
        <v/>
      </c>
      <c r="L397" s="13">
        <f>IF($D397="","",Setup!$B$11)</f>
        <v/>
      </c>
      <c r="M397" s="13">
        <f>IF($D397="","",IF(AND(TODAY()&gt;=Setup!$B$9,$P397&gt;0),Setup!$B$12,0))</f>
        <v/>
      </c>
      <c r="N397" s="13">
        <f>IF($D397="","",SUM($J397:$M397))</f>
        <v/>
      </c>
      <c r="O397" s="13">
        <f>IF($A397="","",SUMIFS(Payments!$F:$F,Payments!$D:$D,$A397))</f>
        <v/>
      </c>
      <c r="P397" s="13">
        <f>IF($D397="","",MAX(0,$N397-$O397))</f>
        <v/>
      </c>
      <c r="Q397" s="2">
        <f>IF($D397="","",IF(IFERROR(INDEX(Units_Owners!$I$5:$I$504,MATCH($D397,Units_Owners!$A$5:$A$504,0)),"No")&lt;&gt;"Yes","Skip - Inactive",IF($P397=0,"Paid",IF(TODAY()&gt;$I397,"Past Due","Open"))))</f>
        <v/>
      </c>
      <c r="R397" s="12" t="n"/>
      <c r="S397" s="2" t="n"/>
    </row>
    <row r="398">
      <c r="A398" s="2">
        <f>IF($D398="","","INV-"&amp;$B398&amp;"-"&amp;$C398&amp;"-"&amp;TEXT(ROW(A394),"0000"))</f>
        <v/>
      </c>
      <c r="B398" s="2">
        <f>Setup!$B$5</f>
        <v/>
      </c>
      <c r="C398" s="2">
        <f>Setup!$B$6</f>
        <v/>
      </c>
      <c r="D398" s="2">
        <f>IFERROR(INDEX(Units_Owners!$A$5:$A$504,ROWS($A$5:A398)),"")</f>
        <v/>
      </c>
      <c r="E398" s="2">
        <f>IF($D398="","",IFERROR(INDEX(Units_Owners!$B$5:$B$504,MATCH($D398,Units_Owners!$A$5:$A$504,0)),""))</f>
        <v/>
      </c>
      <c r="F398" s="2">
        <f>IF($D398="","",IFERROR(INDEX(Units_Owners!$C$5:$C$504,MATCH($D398,Units_Owners!$A$5:$A$504,0)),""))</f>
        <v/>
      </c>
      <c r="G398" s="2">
        <f>IF($D398="","",IFERROR(INDEX(Units_Owners!$D$5:$D$504,MATCH($D398,Units_Owners!$A$5:$A$504,0)),""))</f>
        <v/>
      </c>
      <c r="H398" s="12">
        <f>Setup!$B$7</f>
        <v/>
      </c>
      <c r="I398" s="12">
        <f>Setup!$B$8</f>
        <v/>
      </c>
      <c r="J398" s="13">
        <f>IF($D398="","",IFERROR(INDEX(Units_Owners!$J$5:$J$504,MATCH($D398,Units_Owners!$A$5:$A$504,0)),0)+SUMIFS(Ledger!$F:$F,Ledger!$B:$B,$D398,Ledger!$D:$D,"&lt;"&amp;$H398)-SUMIFS(Ledger!$G:$G,Ledger!$B:$B,$D398,Ledger!$D:$D,"&lt;"&amp;$H398))</f>
        <v/>
      </c>
      <c r="K398" s="13">
        <f>IF($D398="","",IFERROR(INDEX(Units_Owners!$H$5:$H$504,MATCH($D398,Units_Owners!$A$5:$A$504,0)),Setup!$B$10))</f>
        <v/>
      </c>
      <c r="L398" s="13">
        <f>IF($D398="","",Setup!$B$11)</f>
        <v/>
      </c>
      <c r="M398" s="13">
        <f>IF($D398="","",IF(AND(TODAY()&gt;=Setup!$B$9,$P398&gt;0),Setup!$B$12,0))</f>
        <v/>
      </c>
      <c r="N398" s="13">
        <f>IF($D398="","",SUM($J398:$M398))</f>
        <v/>
      </c>
      <c r="O398" s="13">
        <f>IF($A398="","",SUMIFS(Payments!$F:$F,Payments!$D:$D,$A398))</f>
        <v/>
      </c>
      <c r="P398" s="13">
        <f>IF($D398="","",MAX(0,$N398-$O398))</f>
        <v/>
      </c>
      <c r="Q398" s="2">
        <f>IF($D398="","",IF(IFERROR(INDEX(Units_Owners!$I$5:$I$504,MATCH($D398,Units_Owners!$A$5:$A$504,0)),"No")&lt;&gt;"Yes","Skip - Inactive",IF($P398=0,"Paid",IF(TODAY()&gt;$I398,"Past Due","Open"))))</f>
        <v/>
      </c>
      <c r="R398" s="14" t="n"/>
      <c r="S398" s="6" t="n"/>
    </row>
    <row r="399">
      <c r="A399" s="2">
        <f>IF($D399="","","INV-"&amp;$B399&amp;"-"&amp;$C399&amp;"-"&amp;TEXT(ROW(A395),"0000"))</f>
        <v/>
      </c>
      <c r="B399" s="2">
        <f>Setup!$B$5</f>
        <v/>
      </c>
      <c r="C399" s="2">
        <f>Setup!$B$6</f>
        <v/>
      </c>
      <c r="D399" s="2">
        <f>IFERROR(INDEX(Units_Owners!$A$5:$A$504,ROWS($A$5:A399)),"")</f>
        <v/>
      </c>
      <c r="E399" s="2">
        <f>IF($D399="","",IFERROR(INDEX(Units_Owners!$B$5:$B$504,MATCH($D399,Units_Owners!$A$5:$A$504,0)),""))</f>
        <v/>
      </c>
      <c r="F399" s="2">
        <f>IF($D399="","",IFERROR(INDEX(Units_Owners!$C$5:$C$504,MATCH($D399,Units_Owners!$A$5:$A$504,0)),""))</f>
        <v/>
      </c>
      <c r="G399" s="2">
        <f>IF($D399="","",IFERROR(INDEX(Units_Owners!$D$5:$D$504,MATCH($D399,Units_Owners!$A$5:$A$504,0)),""))</f>
        <v/>
      </c>
      <c r="H399" s="12">
        <f>Setup!$B$7</f>
        <v/>
      </c>
      <c r="I399" s="12">
        <f>Setup!$B$8</f>
        <v/>
      </c>
      <c r="J399" s="13">
        <f>IF($D399="","",IFERROR(INDEX(Units_Owners!$J$5:$J$504,MATCH($D399,Units_Owners!$A$5:$A$504,0)),0)+SUMIFS(Ledger!$F:$F,Ledger!$B:$B,$D399,Ledger!$D:$D,"&lt;"&amp;$H399)-SUMIFS(Ledger!$G:$G,Ledger!$B:$B,$D399,Ledger!$D:$D,"&lt;"&amp;$H399))</f>
        <v/>
      </c>
      <c r="K399" s="13">
        <f>IF($D399="","",IFERROR(INDEX(Units_Owners!$H$5:$H$504,MATCH($D399,Units_Owners!$A$5:$A$504,0)),Setup!$B$10))</f>
        <v/>
      </c>
      <c r="L399" s="13">
        <f>IF($D399="","",Setup!$B$11)</f>
        <v/>
      </c>
      <c r="M399" s="13">
        <f>IF($D399="","",IF(AND(TODAY()&gt;=Setup!$B$9,$P399&gt;0),Setup!$B$12,0))</f>
        <v/>
      </c>
      <c r="N399" s="13">
        <f>IF($D399="","",SUM($J399:$M399))</f>
        <v/>
      </c>
      <c r="O399" s="13">
        <f>IF($A399="","",SUMIFS(Payments!$F:$F,Payments!$D:$D,$A399))</f>
        <v/>
      </c>
      <c r="P399" s="13">
        <f>IF($D399="","",MAX(0,$N399-$O399))</f>
        <v/>
      </c>
      <c r="Q399" s="2">
        <f>IF($D399="","",IF(IFERROR(INDEX(Units_Owners!$I$5:$I$504,MATCH($D399,Units_Owners!$A$5:$A$504,0)),"No")&lt;&gt;"Yes","Skip - Inactive",IF($P399=0,"Paid",IF(TODAY()&gt;$I399,"Past Due","Open"))))</f>
        <v/>
      </c>
      <c r="R399" s="12" t="n"/>
      <c r="S399" s="2" t="n"/>
    </row>
    <row r="400">
      <c r="A400" s="2">
        <f>IF($D400="","","INV-"&amp;$B400&amp;"-"&amp;$C400&amp;"-"&amp;TEXT(ROW(A396),"0000"))</f>
        <v/>
      </c>
      <c r="B400" s="2">
        <f>Setup!$B$5</f>
        <v/>
      </c>
      <c r="C400" s="2">
        <f>Setup!$B$6</f>
        <v/>
      </c>
      <c r="D400" s="2">
        <f>IFERROR(INDEX(Units_Owners!$A$5:$A$504,ROWS($A$5:A400)),"")</f>
        <v/>
      </c>
      <c r="E400" s="2">
        <f>IF($D400="","",IFERROR(INDEX(Units_Owners!$B$5:$B$504,MATCH($D400,Units_Owners!$A$5:$A$504,0)),""))</f>
        <v/>
      </c>
      <c r="F400" s="2">
        <f>IF($D400="","",IFERROR(INDEX(Units_Owners!$C$5:$C$504,MATCH($D400,Units_Owners!$A$5:$A$504,0)),""))</f>
        <v/>
      </c>
      <c r="G400" s="2">
        <f>IF($D400="","",IFERROR(INDEX(Units_Owners!$D$5:$D$504,MATCH($D400,Units_Owners!$A$5:$A$504,0)),""))</f>
        <v/>
      </c>
      <c r="H400" s="12">
        <f>Setup!$B$7</f>
        <v/>
      </c>
      <c r="I400" s="12">
        <f>Setup!$B$8</f>
        <v/>
      </c>
      <c r="J400" s="13">
        <f>IF($D400="","",IFERROR(INDEX(Units_Owners!$J$5:$J$504,MATCH($D400,Units_Owners!$A$5:$A$504,0)),0)+SUMIFS(Ledger!$F:$F,Ledger!$B:$B,$D400,Ledger!$D:$D,"&lt;"&amp;$H400)-SUMIFS(Ledger!$G:$G,Ledger!$B:$B,$D400,Ledger!$D:$D,"&lt;"&amp;$H400))</f>
        <v/>
      </c>
      <c r="K400" s="13">
        <f>IF($D400="","",IFERROR(INDEX(Units_Owners!$H$5:$H$504,MATCH($D400,Units_Owners!$A$5:$A$504,0)),Setup!$B$10))</f>
        <v/>
      </c>
      <c r="L400" s="13">
        <f>IF($D400="","",Setup!$B$11)</f>
        <v/>
      </c>
      <c r="M400" s="13">
        <f>IF($D400="","",IF(AND(TODAY()&gt;=Setup!$B$9,$P400&gt;0),Setup!$B$12,0))</f>
        <v/>
      </c>
      <c r="N400" s="13">
        <f>IF($D400="","",SUM($J400:$M400))</f>
        <v/>
      </c>
      <c r="O400" s="13">
        <f>IF($A400="","",SUMIFS(Payments!$F:$F,Payments!$D:$D,$A400))</f>
        <v/>
      </c>
      <c r="P400" s="13">
        <f>IF($D400="","",MAX(0,$N400-$O400))</f>
        <v/>
      </c>
      <c r="Q400" s="2">
        <f>IF($D400="","",IF(IFERROR(INDEX(Units_Owners!$I$5:$I$504,MATCH($D400,Units_Owners!$A$5:$A$504,0)),"No")&lt;&gt;"Yes","Skip - Inactive",IF($P400=0,"Paid",IF(TODAY()&gt;$I400,"Past Due","Open"))))</f>
        <v/>
      </c>
      <c r="R400" s="14" t="n"/>
      <c r="S400" s="6" t="n"/>
    </row>
    <row r="401">
      <c r="A401" s="2">
        <f>IF($D401="","","INV-"&amp;$B401&amp;"-"&amp;$C401&amp;"-"&amp;TEXT(ROW(A397),"0000"))</f>
        <v/>
      </c>
      <c r="B401" s="2">
        <f>Setup!$B$5</f>
        <v/>
      </c>
      <c r="C401" s="2">
        <f>Setup!$B$6</f>
        <v/>
      </c>
      <c r="D401" s="2">
        <f>IFERROR(INDEX(Units_Owners!$A$5:$A$504,ROWS($A$5:A401)),"")</f>
        <v/>
      </c>
      <c r="E401" s="2">
        <f>IF($D401="","",IFERROR(INDEX(Units_Owners!$B$5:$B$504,MATCH($D401,Units_Owners!$A$5:$A$504,0)),""))</f>
        <v/>
      </c>
      <c r="F401" s="2">
        <f>IF($D401="","",IFERROR(INDEX(Units_Owners!$C$5:$C$504,MATCH($D401,Units_Owners!$A$5:$A$504,0)),""))</f>
        <v/>
      </c>
      <c r="G401" s="2">
        <f>IF($D401="","",IFERROR(INDEX(Units_Owners!$D$5:$D$504,MATCH($D401,Units_Owners!$A$5:$A$504,0)),""))</f>
        <v/>
      </c>
      <c r="H401" s="12">
        <f>Setup!$B$7</f>
        <v/>
      </c>
      <c r="I401" s="12">
        <f>Setup!$B$8</f>
        <v/>
      </c>
      <c r="J401" s="13">
        <f>IF($D401="","",IFERROR(INDEX(Units_Owners!$J$5:$J$504,MATCH($D401,Units_Owners!$A$5:$A$504,0)),0)+SUMIFS(Ledger!$F:$F,Ledger!$B:$B,$D401,Ledger!$D:$D,"&lt;"&amp;$H401)-SUMIFS(Ledger!$G:$G,Ledger!$B:$B,$D401,Ledger!$D:$D,"&lt;"&amp;$H401))</f>
        <v/>
      </c>
      <c r="K401" s="13">
        <f>IF($D401="","",IFERROR(INDEX(Units_Owners!$H$5:$H$504,MATCH($D401,Units_Owners!$A$5:$A$504,0)),Setup!$B$10))</f>
        <v/>
      </c>
      <c r="L401" s="13">
        <f>IF($D401="","",Setup!$B$11)</f>
        <v/>
      </c>
      <c r="M401" s="13">
        <f>IF($D401="","",IF(AND(TODAY()&gt;=Setup!$B$9,$P401&gt;0),Setup!$B$12,0))</f>
        <v/>
      </c>
      <c r="N401" s="13">
        <f>IF($D401="","",SUM($J401:$M401))</f>
        <v/>
      </c>
      <c r="O401" s="13">
        <f>IF($A401="","",SUMIFS(Payments!$F:$F,Payments!$D:$D,$A401))</f>
        <v/>
      </c>
      <c r="P401" s="13">
        <f>IF($D401="","",MAX(0,$N401-$O401))</f>
        <v/>
      </c>
      <c r="Q401" s="2">
        <f>IF($D401="","",IF(IFERROR(INDEX(Units_Owners!$I$5:$I$504,MATCH($D401,Units_Owners!$A$5:$A$504,0)),"No")&lt;&gt;"Yes","Skip - Inactive",IF($P401=0,"Paid",IF(TODAY()&gt;$I401,"Past Due","Open"))))</f>
        <v/>
      </c>
      <c r="R401" s="12" t="n"/>
      <c r="S401" s="2" t="n"/>
    </row>
    <row r="402">
      <c r="A402" s="2">
        <f>IF($D402="","","INV-"&amp;$B402&amp;"-"&amp;$C402&amp;"-"&amp;TEXT(ROW(A398),"0000"))</f>
        <v/>
      </c>
      <c r="B402" s="2">
        <f>Setup!$B$5</f>
        <v/>
      </c>
      <c r="C402" s="2">
        <f>Setup!$B$6</f>
        <v/>
      </c>
      <c r="D402" s="2">
        <f>IFERROR(INDEX(Units_Owners!$A$5:$A$504,ROWS($A$5:A402)),"")</f>
        <v/>
      </c>
      <c r="E402" s="2">
        <f>IF($D402="","",IFERROR(INDEX(Units_Owners!$B$5:$B$504,MATCH($D402,Units_Owners!$A$5:$A$504,0)),""))</f>
        <v/>
      </c>
      <c r="F402" s="2">
        <f>IF($D402="","",IFERROR(INDEX(Units_Owners!$C$5:$C$504,MATCH($D402,Units_Owners!$A$5:$A$504,0)),""))</f>
        <v/>
      </c>
      <c r="G402" s="2">
        <f>IF($D402="","",IFERROR(INDEX(Units_Owners!$D$5:$D$504,MATCH($D402,Units_Owners!$A$5:$A$504,0)),""))</f>
        <v/>
      </c>
      <c r="H402" s="12">
        <f>Setup!$B$7</f>
        <v/>
      </c>
      <c r="I402" s="12">
        <f>Setup!$B$8</f>
        <v/>
      </c>
      <c r="J402" s="13">
        <f>IF($D402="","",IFERROR(INDEX(Units_Owners!$J$5:$J$504,MATCH($D402,Units_Owners!$A$5:$A$504,0)),0)+SUMIFS(Ledger!$F:$F,Ledger!$B:$B,$D402,Ledger!$D:$D,"&lt;"&amp;$H402)-SUMIFS(Ledger!$G:$G,Ledger!$B:$B,$D402,Ledger!$D:$D,"&lt;"&amp;$H402))</f>
        <v/>
      </c>
      <c r="K402" s="13">
        <f>IF($D402="","",IFERROR(INDEX(Units_Owners!$H$5:$H$504,MATCH($D402,Units_Owners!$A$5:$A$504,0)),Setup!$B$10))</f>
        <v/>
      </c>
      <c r="L402" s="13">
        <f>IF($D402="","",Setup!$B$11)</f>
        <v/>
      </c>
      <c r="M402" s="13">
        <f>IF($D402="","",IF(AND(TODAY()&gt;=Setup!$B$9,$P402&gt;0),Setup!$B$12,0))</f>
        <v/>
      </c>
      <c r="N402" s="13">
        <f>IF($D402="","",SUM($J402:$M402))</f>
        <v/>
      </c>
      <c r="O402" s="13">
        <f>IF($A402="","",SUMIFS(Payments!$F:$F,Payments!$D:$D,$A402))</f>
        <v/>
      </c>
      <c r="P402" s="13">
        <f>IF($D402="","",MAX(0,$N402-$O402))</f>
        <v/>
      </c>
      <c r="Q402" s="2">
        <f>IF($D402="","",IF(IFERROR(INDEX(Units_Owners!$I$5:$I$504,MATCH($D402,Units_Owners!$A$5:$A$504,0)),"No")&lt;&gt;"Yes","Skip - Inactive",IF($P402=0,"Paid",IF(TODAY()&gt;$I402,"Past Due","Open"))))</f>
        <v/>
      </c>
      <c r="R402" s="14" t="n"/>
      <c r="S402" s="6" t="n"/>
    </row>
    <row r="403">
      <c r="A403" s="2">
        <f>IF($D403="","","INV-"&amp;$B403&amp;"-"&amp;$C403&amp;"-"&amp;TEXT(ROW(A399),"0000"))</f>
        <v/>
      </c>
      <c r="B403" s="2">
        <f>Setup!$B$5</f>
        <v/>
      </c>
      <c r="C403" s="2">
        <f>Setup!$B$6</f>
        <v/>
      </c>
      <c r="D403" s="2">
        <f>IFERROR(INDEX(Units_Owners!$A$5:$A$504,ROWS($A$5:A403)),"")</f>
        <v/>
      </c>
      <c r="E403" s="2">
        <f>IF($D403="","",IFERROR(INDEX(Units_Owners!$B$5:$B$504,MATCH($D403,Units_Owners!$A$5:$A$504,0)),""))</f>
        <v/>
      </c>
      <c r="F403" s="2">
        <f>IF($D403="","",IFERROR(INDEX(Units_Owners!$C$5:$C$504,MATCH($D403,Units_Owners!$A$5:$A$504,0)),""))</f>
        <v/>
      </c>
      <c r="G403" s="2">
        <f>IF($D403="","",IFERROR(INDEX(Units_Owners!$D$5:$D$504,MATCH($D403,Units_Owners!$A$5:$A$504,0)),""))</f>
        <v/>
      </c>
      <c r="H403" s="12">
        <f>Setup!$B$7</f>
        <v/>
      </c>
      <c r="I403" s="12">
        <f>Setup!$B$8</f>
        <v/>
      </c>
      <c r="J403" s="13">
        <f>IF($D403="","",IFERROR(INDEX(Units_Owners!$J$5:$J$504,MATCH($D403,Units_Owners!$A$5:$A$504,0)),0)+SUMIFS(Ledger!$F:$F,Ledger!$B:$B,$D403,Ledger!$D:$D,"&lt;"&amp;$H403)-SUMIFS(Ledger!$G:$G,Ledger!$B:$B,$D403,Ledger!$D:$D,"&lt;"&amp;$H403))</f>
        <v/>
      </c>
      <c r="K403" s="13">
        <f>IF($D403="","",IFERROR(INDEX(Units_Owners!$H$5:$H$504,MATCH($D403,Units_Owners!$A$5:$A$504,0)),Setup!$B$10))</f>
        <v/>
      </c>
      <c r="L403" s="13">
        <f>IF($D403="","",Setup!$B$11)</f>
        <v/>
      </c>
      <c r="M403" s="13">
        <f>IF($D403="","",IF(AND(TODAY()&gt;=Setup!$B$9,$P403&gt;0),Setup!$B$12,0))</f>
        <v/>
      </c>
      <c r="N403" s="13">
        <f>IF($D403="","",SUM($J403:$M403))</f>
        <v/>
      </c>
      <c r="O403" s="13">
        <f>IF($A403="","",SUMIFS(Payments!$F:$F,Payments!$D:$D,$A403))</f>
        <v/>
      </c>
      <c r="P403" s="13">
        <f>IF($D403="","",MAX(0,$N403-$O403))</f>
        <v/>
      </c>
      <c r="Q403" s="2">
        <f>IF($D403="","",IF(IFERROR(INDEX(Units_Owners!$I$5:$I$504,MATCH($D403,Units_Owners!$A$5:$A$504,0)),"No")&lt;&gt;"Yes","Skip - Inactive",IF($P403=0,"Paid",IF(TODAY()&gt;$I403,"Past Due","Open"))))</f>
        <v/>
      </c>
      <c r="R403" s="12" t="n"/>
      <c r="S403" s="2" t="n"/>
    </row>
    <row r="404">
      <c r="A404" s="2">
        <f>IF($D404="","","INV-"&amp;$B404&amp;"-"&amp;$C404&amp;"-"&amp;TEXT(ROW(A400),"0000"))</f>
        <v/>
      </c>
      <c r="B404" s="2">
        <f>Setup!$B$5</f>
        <v/>
      </c>
      <c r="C404" s="2">
        <f>Setup!$B$6</f>
        <v/>
      </c>
      <c r="D404" s="2">
        <f>IFERROR(INDEX(Units_Owners!$A$5:$A$504,ROWS($A$5:A404)),"")</f>
        <v/>
      </c>
      <c r="E404" s="2">
        <f>IF($D404="","",IFERROR(INDEX(Units_Owners!$B$5:$B$504,MATCH($D404,Units_Owners!$A$5:$A$504,0)),""))</f>
        <v/>
      </c>
      <c r="F404" s="2">
        <f>IF($D404="","",IFERROR(INDEX(Units_Owners!$C$5:$C$504,MATCH($D404,Units_Owners!$A$5:$A$504,0)),""))</f>
        <v/>
      </c>
      <c r="G404" s="2">
        <f>IF($D404="","",IFERROR(INDEX(Units_Owners!$D$5:$D$504,MATCH($D404,Units_Owners!$A$5:$A$504,0)),""))</f>
        <v/>
      </c>
      <c r="H404" s="12">
        <f>Setup!$B$7</f>
        <v/>
      </c>
      <c r="I404" s="12">
        <f>Setup!$B$8</f>
        <v/>
      </c>
      <c r="J404" s="13">
        <f>IF($D404="","",IFERROR(INDEX(Units_Owners!$J$5:$J$504,MATCH($D404,Units_Owners!$A$5:$A$504,0)),0)+SUMIFS(Ledger!$F:$F,Ledger!$B:$B,$D404,Ledger!$D:$D,"&lt;"&amp;$H404)-SUMIFS(Ledger!$G:$G,Ledger!$B:$B,$D404,Ledger!$D:$D,"&lt;"&amp;$H404))</f>
        <v/>
      </c>
      <c r="K404" s="13">
        <f>IF($D404="","",IFERROR(INDEX(Units_Owners!$H$5:$H$504,MATCH($D404,Units_Owners!$A$5:$A$504,0)),Setup!$B$10))</f>
        <v/>
      </c>
      <c r="L404" s="13">
        <f>IF($D404="","",Setup!$B$11)</f>
        <v/>
      </c>
      <c r="M404" s="13">
        <f>IF($D404="","",IF(AND(TODAY()&gt;=Setup!$B$9,$P404&gt;0),Setup!$B$12,0))</f>
        <v/>
      </c>
      <c r="N404" s="13">
        <f>IF($D404="","",SUM($J404:$M404))</f>
        <v/>
      </c>
      <c r="O404" s="13">
        <f>IF($A404="","",SUMIFS(Payments!$F:$F,Payments!$D:$D,$A404))</f>
        <v/>
      </c>
      <c r="P404" s="13">
        <f>IF($D404="","",MAX(0,$N404-$O404))</f>
        <v/>
      </c>
      <c r="Q404" s="2">
        <f>IF($D404="","",IF(IFERROR(INDEX(Units_Owners!$I$5:$I$504,MATCH($D404,Units_Owners!$A$5:$A$504,0)),"No")&lt;&gt;"Yes","Skip - Inactive",IF($P404=0,"Paid",IF(TODAY()&gt;$I404,"Past Due","Open"))))</f>
        <v/>
      </c>
      <c r="R404" s="14" t="n"/>
      <c r="S404" s="6" t="n"/>
    </row>
    <row r="405">
      <c r="A405" s="2">
        <f>IF($D405="","","INV-"&amp;$B405&amp;"-"&amp;$C405&amp;"-"&amp;TEXT(ROW(A401),"0000"))</f>
        <v/>
      </c>
      <c r="B405" s="2">
        <f>Setup!$B$5</f>
        <v/>
      </c>
      <c r="C405" s="2">
        <f>Setup!$B$6</f>
        <v/>
      </c>
      <c r="D405" s="2">
        <f>IFERROR(INDEX(Units_Owners!$A$5:$A$504,ROWS($A$5:A405)),"")</f>
        <v/>
      </c>
      <c r="E405" s="2">
        <f>IF($D405="","",IFERROR(INDEX(Units_Owners!$B$5:$B$504,MATCH($D405,Units_Owners!$A$5:$A$504,0)),""))</f>
        <v/>
      </c>
      <c r="F405" s="2">
        <f>IF($D405="","",IFERROR(INDEX(Units_Owners!$C$5:$C$504,MATCH($D405,Units_Owners!$A$5:$A$504,0)),""))</f>
        <v/>
      </c>
      <c r="G405" s="2">
        <f>IF($D405="","",IFERROR(INDEX(Units_Owners!$D$5:$D$504,MATCH($D405,Units_Owners!$A$5:$A$504,0)),""))</f>
        <v/>
      </c>
      <c r="H405" s="12">
        <f>Setup!$B$7</f>
        <v/>
      </c>
      <c r="I405" s="12">
        <f>Setup!$B$8</f>
        <v/>
      </c>
      <c r="J405" s="13">
        <f>IF($D405="","",IFERROR(INDEX(Units_Owners!$J$5:$J$504,MATCH($D405,Units_Owners!$A$5:$A$504,0)),0)+SUMIFS(Ledger!$F:$F,Ledger!$B:$B,$D405,Ledger!$D:$D,"&lt;"&amp;$H405)-SUMIFS(Ledger!$G:$G,Ledger!$B:$B,$D405,Ledger!$D:$D,"&lt;"&amp;$H405))</f>
        <v/>
      </c>
      <c r="K405" s="13">
        <f>IF($D405="","",IFERROR(INDEX(Units_Owners!$H$5:$H$504,MATCH($D405,Units_Owners!$A$5:$A$504,0)),Setup!$B$10))</f>
        <v/>
      </c>
      <c r="L405" s="13">
        <f>IF($D405="","",Setup!$B$11)</f>
        <v/>
      </c>
      <c r="M405" s="13">
        <f>IF($D405="","",IF(AND(TODAY()&gt;=Setup!$B$9,$P405&gt;0),Setup!$B$12,0))</f>
        <v/>
      </c>
      <c r="N405" s="13">
        <f>IF($D405="","",SUM($J405:$M405))</f>
        <v/>
      </c>
      <c r="O405" s="13">
        <f>IF($A405="","",SUMIFS(Payments!$F:$F,Payments!$D:$D,$A405))</f>
        <v/>
      </c>
      <c r="P405" s="13">
        <f>IF($D405="","",MAX(0,$N405-$O405))</f>
        <v/>
      </c>
      <c r="Q405" s="2">
        <f>IF($D405="","",IF(IFERROR(INDEX(Units_Owners!$I$5:$I$504,MATCH($D405,Units_Owners!$A$5:$A$504,0)),"No")&lt;&gt;"Yes","Skip - Inactive",IF($P405=0,"Paid",IF(TODAY()&gt;$I405,"Past Due","Open"))))</f>
        <v/>
      </c>
      <c r="R405" s="12" t="n"/>
      <c r="S405" s="2" t="n"/>
    </row>
    <row r="406">
      <c r="A406" s="2">
        <f>IF($D406="","","INV-"&amp;$B406&amp;"-"&amp;$C406&amp;"-"&amp;TEXT(ROW(A402),"0000"))</f>
        <v/>
      </c>
      <c r="B406" s="2">
        <f>Setup!$B$5</f>
        <v/>
      </c>
      <c r="C406" s="2">
        <f>Setup!$B$6</f>
        <v/>
      </c>
      <c r="D406" s="2">
        <f>IFERROR(INDEX(Units_Owners!$A$5:$A$504,ROWS($A$5:A406)),"")</f>
        <v/>
      </c>
      <c r="E406" s="2">
        <f>IF($D406="","",IFERROR(INDEX(Units_Owners!$B$5:$B$504,MATCH($D406,Units_Owners!$A$5:$A$504,0)),""))</f>
        <v/>
      </c>
      <c r="F406" s="2">
        <f>IF($D406="","",IFERROR(INDEX(Units_Owners!$C$5:$C$504,MATCH($D406,Units_Owners!$A$5:$A$504,0)),""))</f>
        <v/>
      </c>
      <c r="G406" s="2">
        <f>IF($D406="","",IFERROR(INDEX(Units_Owners!$D$5:$D$504,MATCH($D406,Units_Owners!$A$5:$A$504,0)),""))</f>
        <v/>
      </c>
      <c r="H406" s="12">
        <f>Setup!$B$7</f>
        <v/>
      </c>
      <c r="I406" s="12">
        <f>Setup!$B$8</f>
        <v/>
      </c>
      <c r="J406" s="13">
        <f>IF($D406="","",IFERROR(INDEX(Units_Owners!$J$5:$J$504,MATCH($D406,Units_Owners!$A$5:$A$504,0)),0)+SUMIFS(Ledger!$F:$F,Ledger!$B:$B,$D406,Ledger!$D:$D,"&lt;"&amp;$H406)-SUMIFS(Ledger!$G:$G,Ledger!$B:$B,$D406,Ledger!$D:$D,"&lt;"&amp;$H406))</f>
        <v/>
      </c>
      <c r="K406" s="13">
        <f>IF($D406="","",IFERROR(INDEX(Units_Owners!$H$5:$H$504,MATCH($D406,Units_Owners!$A$5:$A$504,0)),Setup!$B$10))</f>
        <v/>
      </c>
      <c r="L406" s="13">
        <f>IF($D406="","",Setup!$B$11)</f>
        <v/>
      </c>
      <c r="M406" s="13">
        <f>IF($D406="","",IF(AND(TODAY()&gt;=Setup!$B$9,$P406&gt;0),Setup!$B$12,0))</f>
        <v/>
      </c>
      <c r="N406" s="13">
        <f>IF($D406="","",SUM($J406:$M406))</f>
        <v/>
      </c>
      <c r="O406" s="13">
        <f>IF($A406="","",SUMIFS(Payments!$F:$F,Payments!$D:$D,$A406))</f>
        <v/>
      </c>
      <c r="P406" s="13">
        <f>IF($D406="","",MAX(0,$N406-$O406))</f>
        <v/>
      </c>
      <c r="Q406" s="2">
        <f>IF($D406="","",IF(IFERROR(INDEX(Units_Owners!$I$5:$I$504,MATCH($D406,Units_Owners!$A$5:$A$504,0)),"No")&lt;&gt;"Yes","Skip - Inactive",IF($P406=0,"Paid",IF(TODAY()&gt;$I406,"Past Due","Open"))))</f>
        <v/>
      </c>
      <c r="R406" s="14" t="n"/>
      <c r="S406" s="6" t="n"/>
    </row>
    <row r="407">
      <c r="A407" s="2">
        <f>IF($D407="","","INV-"&amp;$B407&amp;"-"&amp;$C407&amp;"-"&amp;TEXT(ROW(A403),"0000"))</f>
        <v/>
      </c>
      <c r="B407" s="2">
        <f>Setup!$B$5</f>
        <v/>
      </c>
      <c r="C407" s="2">
        <f>Setup!$B$6</f>
        <v/>
      </c>
      <c r="D407" s="2">
        <f>IFERROR(INDEX(Units_Owners!$A$5:$A$504,ROWS($A$5:A407)),"")</f>
        <v/>
      </c>
      <c r="E407" s="2">
        <f>IF($D407="","",IFERROR(INDEX(Units_Owners!$B$5:$B$504,MATCH($D407,Units_Owners!$A$5:$A$504,0)),""))</f>
        <v/>
      </c>
      <c r="F407" s="2">
        <f>IF($D407="","",IFERROR(INDEX(Units_Owners!$C$5:$C$504,MATCH($D407,Units_Owners!$A$5:$A$504,0)),""))</f>
        <v/>
      </c>
      <c r="G407" s="2">
        <f>IF($D407="","",IFERROR(INDEX(Units_Owners!$D$5:$D$504,MATCH($D407,Units_Owners!$A$5:$A$504,0)),""))</f>
        <v/>
      </c>
      <c r="H407" s="12">
        <f>Setup!$B$7</f>
        <v/>
      </c>
      <c r="I407" s="12">
        <f>Setup!$B$8</f>
        <v/>
      </c>
      <c r="J407" s="13">
        <f>IF($D407="","",IFERROR(INDEX(Units_Owners!$J$5:$J$504,MATCH($D407,Units_Owners!$A$5:$A$504,0)),0)+SUMIFS(Ledger!$F:$F,Ledger!$B:$B,$D407,Ledger!$D:$D,"&lt;"&amp;$H407)-SUMIFS(Ledger!$G:$G,Ledger!$B:$B,$D407,Ledger!$D:$D,"&lt;"&amp;$H407))</f>
        <v/>
      </c>
      <c r="K407" s="13">
        <f>IF($D407="","",IFERROR(INDEX(Units_Owners!$H$5:$H$504,MATCH($D407,Units_Owners!$A$5:$A$504,0)),Setup!$B$10))</f>
        <v/>
      </c>
      <c r="L407" s="13">
        <f>IF($D407="","",Setup!$B$11)</f>
        <v/>
      </c>
      <c r="M407" s="13">
        <f>IF($D407="","",IF(AND(TODAY()&gt;=Setup!$B$9,$P407&gt;0),Setup!$B$12,0))</f>
        <v/>
      </c>
      <c r="N407" s="13">
        <f>IF($D407="","",SUM($J407:$M407))</f>
        <v/>
      </c>
      <c r="O407" s="13">
        <f>IF($A407="","",SUMIFS(Payments!$F:$F,Payments!$D:$D,$A407))</f>
        <v/>
      </c>
      <c r="P407" s="13">
        <f>IF($D407="","",MAX(0,$N407-$O407))</f>
        <v/>
      </c>
      <c r="Q407" s="2">
        <f>IF($D407="","",IF(IFERROR(INDEX(Units_Owners!$I$5:$I$504,MATCH($D407,Units_Owners!$A$5:$A$504,0)),"No")&lt;&gt;"Yes","Skip - Inactive",IF($P407=0,"Paid",IF(TODAY()&gt;$I407,"Past Due","Open"))))</f>
        <v/>
      </c>
      <c r="R407" s="12" t="n"/>
      <c r="S407" s="2" t="n"/>
    </row>
    <row r="408">
      <c r="A408" s="2">
        <f>IF($D408="","","INV-"&amp;$B408&amp;"-"&amp;$C408&amp;"-"&amp;TEXT(ROW(A404),"0000"))</f>
        <v/>
      </c>
      <c r="B408" s="2">
        <f>Setup!$B$5</f>
        <v/>
      </c>
      <c r="C408" s="2">
        <f>Setup!$B$6</f>
        <v/>
      </c>
      <c r="D408" s="2">
        <f>IFERROR(INDEX(Units_Owners!$A$5:$A$504,ROWS($A$5:A408)),"")</f>
        <v/>
      </c>
      <c r="E408" s="2">
        <f>IF($D408="","",IFERROR(INDEX(Units_Owners!$B$5:$B$504,MATCH($D408,Units_Owners!$A$5:$A$504,0)),""))</f>
        <v/>
      </c>
      <c r="F408" s="2">
        <f>IF($D408="","",IFERROR(INDEX(Units_Owners!$C$5:$C$504,MATCH($D408,Units_Owners!$A$5:$A$504,0)),""))</f>
        <v/>
      </c>
      <c r="G408" s="2">
        <f>IF($D408="","",IFERROR(INDEX(Units_Owners!$D$5:$D$504,MATCH($D408,Units_Owners!$A$5:$A$504,0)),""))</f>
        <v/>
      </c>
      <c r="H408" s="12">
        <f>Setup!$B$7</f>
        <v/>
      </c>
      <c r="I408" s="12">
        <f>Setup!$B$8</f>
        <v/>
      </c>
      <c r="J408" s="13">
        <f>IF($D408="","",IFERROR(INDEX(Units_Owners!$J$5:$J$504,MATCH($D408,Units_Owners!$A$5:$A$504,0)),0)+SUMIFS(Ledger!$F:$F,Ledger!$B:$B,$D408,Ledger!$D:$D,"&lt;"&amp;$H408)-SUMIFS(Ledger!$G:$G,Ledger!$B:$B,$D408,Ledger!$D:$D,"&lt;"&amp;$H408))</f>
        <v/>
      </c>
      <c r="K408" s="13">
        <f>IF($D408="","",IFERROR(INDEX(Units_Owners!$H$5:$H$504,MATCH($D408,Units_Owners!$A$5:$A$504,0)),Setup!$B$10))</f>
        <v/>
      </c>
      <c r="L408" s="13">
        <f>IF($D408="","",Setup!$B$11)</f>
        <v/>
      </c>
      <c r="M408" s="13">
        <f>IF($D408="","",IF(AND(TODAY()&gt;=Setup!$B$9,$P408&gt;0),Setup!$B$12,0))</f>
        <v/>
      </c>
      <c r="N408" s="13">
        <f>IF($D408="","",SUM($J408:$M408))</f>
        <v/>
      </c>
      <c r="O408" s="13">
        <f>IF($A408="","",SUMIFS(Payments!$F:$F,Payments!$D:$D,$A408))</f>
        <v/>
      </c>
      <c r="P408" s="13">
        <f>IF($D408="","",MAX(0,$N408-$O408))</f>
        <v/>
      </c>
      <c r="Q408" s="2">
        <f>IF($D408="","",IF(IFERROR(INDEX(Units_Owners!$I$5:$I$504,MATCH($D408,Units_Owners!$A$5:$A$504,0)),"No")&lt;&gt;"Yes","Skip - Inactive",IF($P408=0,"Paid",IF(TODAY()&gt;$I408,"Past Due","Open"))))</f>
        <v/>
      </c>
      <c r="R408" s="14" t="n"/>
      <c r="S408" s="6" t="n"/>
    </row>
    <row r="409">
      <c r="A409" s="2">
        <f>IF($D409="","","INV-"&amp;$B409&amp;"-"&amp;$C409&amp;"-"&amp;TEXT(ROW(A405),"0000"))</f>
        <v/>
      </c>
      <c r="B409" s="2">
        <f>Setup!$B$5</f>
        <v/>
      </c>
      <c r="C409" s="2">
        <f>Setup!$B$6</f>
        <v/>
      </c>
      <c r="D409" s="2">
        <f>IFERROR(INDEX(Units_Owners!$A$5:$A$504,ROWS($A$5:A409)),"")</f>
        <v/>
      </c>
      <c r="E409" s="2">
        <f>IF($D409="","",IFERROR(INDEX(Units_Owners!$B$5:$B$504,MATCH($D409,Units_Owners!$A$5:$A$504,0)),""))</f>
        <v/>
      </c>
      <c r="F409" s="2">
        <f>IF($D409="","",IFERROR(INDEX(Units_Owners!$C$5:$C$504,MATCH($D409,Units_Owners!$A$5:$A$504,0)),""))</f>
        <v/>
      </c>
      <c r="G409" s="2">
        <f>IF($D409="","",IFERROR(INDEX(Units_Owners!$D$5:$D$504,MATCH($D409,Units_Owners!$A$5:$A$504,0)),""))</f>
        <v/>
      </c>
      <c r="H409" s="12">
        <f>Setup!$B$7</f>
        <v/>
      </c>
      <c r="I409" s="12">
        <f>Setup!$B$8</f>
        <v/>
      </c>
      <c r="J409" s="13">
        <f>IF($D409="","",IFERROR(INDEX(Units_Owners!$J$5:$J$504,MATCH($D409,Units_Owners!$A$5:$A$504,0)),0)+SUMIFS(Ledger!$F:$F,Ledger!$B:$B,$D409,Ledger!$D:$D,"&lt;"&amp;$H409)-SUMIFS(Ledger!$G:$G,Ledger!$B:$B,$D409,Ledger!$D:$D,"&lt;"&amp;$H409))</f>
        <v/>
      </c>
      <c r="K409" s="13">
        <f>IF($D409="","",IFERROR(INDEX(Units_Owners!$H$5:$H$504,MATCH($D409,Units_Owners!$A$5:$A$504,0)),Setup!$B$10))</f>
        <v/>
      </c>
      <c r="L409" s="13">
        <f>IF($D409="","",Setup!$B$11)</f>
        <v/>
      </c>
      <c r="M409" s="13">
        <f>IF($D409="","",IF(AND(TODAY()&gt;=Setup!$B$9,$P409&gt;0),Setup!$B$12,0))</f>
        <v/>
      </c>
      <c r="N409" s="13">
        <f>IF($D409="","",SUM($J409:$M409))</f>
        <v/>
      </c>
      <c r="O409" s="13">
        <f>IF($A409="","",SUMIFS(Payments!$F:$F,Payments!$D:$D,$A409))</f>
        <v/>
      </c>
      <c r="P409" s="13">
        <f>IF($D409="","",MAX(0,$N409-$O409))</f>
        <v/>
      </c>
      <c r="Q409" s="2">
        <f>IF($D409="","",IF(IFERROR(INDEX(Units_Owners!$I$5:$I$504,MATCH($D409,Units_Owners!$A$5:$A$504,0)),"No")&lt;&gt;"Yes","Skip - Inactive",IF($P409=0,"Paid",IF(TODAY()&gt;$I409,"Past Due","Open"))))</f>
        <v/>
      </c>
      <c r="R409" s="12" t="n"/>
      <c r="S409" s="2" t="n"/>
    </row>
    <row r="410">
      <c r="A410" s="2">
        <f>IF($D410="","","INV-"&amp;$B410&amp;"-"&amp;$C410&amp;"-"&amp;TEXT(ROW(A406),"0000"))</f>
        <v/>
      </c>
      <c r="B410" s="2">
        <f>Setup!$B$5</f>
        <v/>
      </c>
      <c r="C410" s="2">
        <f>Setup!$B$6</f>
        <v/>
      </c>
      <c r="D410" s="2">
        <f>IFERROR(INDEX(Units_Owners!$A$5:$A$504,ROWS($A$5:A410)),"")</f>
        <v/>
      </c>
      <c r="E410" s="2">
        <f>IF($D410="","",IFERROR(INDEX(Units_Owners!$B$5:$B$504,MATCH($D410,Units_Owners!$A$5:$A$504,0)),""))</f>
        <v/>
      </c>
      <c r="F410" s="2">
        <f>IF($D410="","",IFERROR(INDEX(Units_Owners!$C$5:$C$504,MATCH($D410,Units_Owners!$A$5:$A$504,0)),""))</f>
        <v/>
      </c>
      <c r="G410" s="2">
        <f>IF($D410="","",IFERROR(INDEX(Units_Owners!$D$5:$D$504,MATCH($D410,Units_Owners!$A$5:$A$504,0)),""))</f>
        <v/>
      </c>
      <c r="H410" s="12">
        <f>Setup!$B$7</f>
        <v/>
      </c>
      <c r="I410" s="12">
        <f>Setup!$B$8</f>
        <v/>
      </c>
      <c r="J410" s="13">
        <f>IF($D410="","",IFERROR(INDEX(Units_Owners!$J$5:$J$504,MATCH($D410,Units_Owners!$A$5:$A$504,0)),0)+SUMIFS(Ledger!$F:$F,Ledger!$B:$B,$D410,Ledger!$D:$D,"&lt;"&amp;$H410)-SUMIFS(Ledger!$G:$G,Ledger!$B:$B,$D410,Ledger!$D:$D,"&lt;"&amp;$H410))</f>
        <v/>
      </c>
      <c r="K410" s="13">
        <f>IF($D410="","",IFERROR(INDEX(Units_Owners!$H$5:$H$504,MATCH($D410,Units_Owners!$A$5:$A$504,0)),Setup!$B$10))</f>
        <v/>
      </c>
      <c r="L410" s="13">
        <f>IF($D410="","",Setup!$B$11)</f>
        <v/>
      </c>
      <c r="M410" s="13">
        <f>IF($D410="","",IF(AND(TODAY()&gt;=Setup!$B$9,$P410&gt;0),Setup!$B$12,0))</f>
        <v/>
      </c>
      <c r="N410" s="13">
        <f>IF($D410="","",SUM($J410:$M410))</f>
        <v/>
      </c>
      <c r="O410" s="13">
        <f>IF($A410="","",SUMIFS(Payments!$F:$F,Payments!$D:$D,$A410))</f>
        <v/>
      </c>
      <c r="P410" s="13">
        <f>IF($D410="","",MAX(0,$N410-$O410))</f>
        <v/>
      </c>
      <c r="Q410" s="2">
        <f>IF($D410="","",IF(IFERROR(INDEX(Units_Owners!$I$5:$I$504,MATCH($D410,Units_Owners!$A$5:$A$504,0)),"No")&lt;&gt;"Yes","Skip - Inactive",IF($P410=0,"Paid",IF(TODAY()&gt;$I410,"Past Due","Open"))))</f>
        <v/>
      </c>
      <c r="R410" s="14" t="n"/>
      <c r="S410" s="6" t="n"/>
    </row>
    <row r="411">
      <c r="A411" s="2">
        <f>IF($D411="","","INV-"&amp;$B411&amp;"-"&amp;$C411&amp;"-"&amp;TEXT(ROW(A407),"0000"))</f>
        <v/>
      </c>
      <c r="B411" s="2">
        <f>Setup!$B$5</f>
        <v/>
      </c>
      <c r="C411" s="2">
        <f>Setup!$B$6</f>
        <v/>
      </c>
      <c r="D411" s="2">
        <f>IFERROR(INDEX(Units_Owners!$A$5:$A$504,ROWS($A$5:A411)),"")</f>
        <v/>
      </c>
      <c r="E411" s="2">
        <f>IF($D411="","",IFERROR(INDEX(Units_Owners!$B$5:$B$504,MATCH($D411,Units_Owners!$A$5:$A$504,0)),""))</f>
        <v/>
      </c>
      <c r="F411" s="2">
        <f>IF($D411="","",IFERROR(INDEX(Units_Owners!$C$5:$C$504,MATCH($D411,Units_Owners!$A$5:$A$504,0)),""))</f>
        <v/>
      </c>
      <c r="G411" s="2">
        <f>IF($D411="","",IFERROR(INDEX(Units_Owners!$D$5:$D$504,MATCH($D411,Units_Owners!$A$5:$A$504,0)),""))</f>
        <v/>
      </c>
      <c r="H411" s="12">
        <f>Setup!$B$7</f>
        <v/>
      </c>
      <c r="I411" s="12">
        <f>Setup!$B$8</f>
        <v/>
      </c>
      <c r="J411" s="13">
        <f>IF($D411="","",IFERROR(INDEX(Units_Owners!$J$5:$J$504,MATCH($D411,Units_Owners!$A$5:$A$504,0)),0)+SUMIFS(Ledger!$F:$F,Ledger!$B:$B,$D411,Ledger!$D:$D,"&lt;"&amp;$H411)-SUMIFS(Ledger!$G:$G,Ledger!$B:$B,$D411,Ledger!$D:$D,"&lt;"&amp;$H411))</f>
        <v/>
      </c>
      <c r="K411" s="13">
        <f>IF($D411="","",IFERROR(INDEX(Units_Owners!$H$5:$H$504,MATCH($D411,Units_Owners!$A$5:$A$504,0)),Setup!$B$10))</f>
        <v/>
      </c>
      <c r="L411" s="13">
        <f>IF($D411="","",Setup!$B$11)</f>
        <v/>
      </c>
      <c r="M411" s="13">
        <f>IF($D411="","",IF(AND(TODAY()&gt;=Setup!$B$9,$P411&gt;0),Setup!$B$12,0))</f>
        <v/>
      </c>
      <c r="N411" s="13">
        <f>IF($D411="","",SUM($J411:$M411))</f>
        <v/>
      </c>
      <c r="O411" s="13">
        <f>IF($A411="","",SUMIFS(Payments!$F:$F,Payments!$D:$D,$A411))</f>
        <v/>
      </c>
      <c r="P411" s="13">
        <f>IF($D411="","",MAX(0,$N411-$O411))</f>
        <v/>
      </c>
      <c r="Q411" s="2">
        <f>IF($D411="","",IF(IFERROR(INDEX(Units_Owners!$I$5:$I$504,MATCH($D411,Units_Owners!$A$5:$A$504,0)),"No")&lt;&gt;"Yes","Skip - Inactive",IF($P411=0,"Paid",IF(TODAY()&gt;$I411,"Past Due","Open"))))</f>
        <v/>
      </c>
      <c r="R411" s="12" t="n"/>
      <c r="S411" s="2" t="n"/>
    </row>
    <row r="412">
      <c r="A412" s="2">
        <f>IF($D412="","","INV-"&amp;$B412&amp;"-"&amp;$C412&amp;"-"&amp;TEXT(ROW(A408),"0000"))</f>
        <v/>
      </c>
      <c r="B412" s="2">
        <f>Setup!$B$5</f>
        <v/>
      </c>
      <c r="C412" s="2">
        <f>Setup!$B$6</f>
        <v/>
      </c>
      <c r="D412" s="2">
        <f>IFERROR(INDEX(Units_Owners!$A$5:$A$504,ROWS($A$5:A412)),"")</f>
        <v/>
      </c>
      <c r="E412" s="2">
        <f>IF($D412="","",IFERROR(INDEX(Units_Owners!$B$5:$B$504,MATCH($D412,Units_Owners!$A$5:$A$504,0)),""))</f>
        <v/>
      </c>
      <c r="F412" s="2">
        <f>IF($D412="","",IFERROR(INDEX(Units_Owners!$C$5:$C$504,MATCH($D412,Units_Owners!$A$5:$A$504,0)),""))</f>
        <v/>
      </c>
      <c r="G412" s="2">
        <f>IF($D412="","",IFERROR(INDEX(Units_Owners!$D$5:$D$504,MATCH($D412,Units_Owners!$A$5:$A$504,0)),""))</f>
        <v/>
      </c>
      <c r="H412" s="12">
        <f>Setup!$B$7</f>
        <v/>
      </c>
      <c r="I412" s="12">
        <f>Setup!$B$8</f>
        <v/>
      </c>
      <c r="J412" s="13">
        <f>IF($D412="","",IFERROR(INDEX(Units_Owners!$J$5:$J$504,MATCH($D412,Units_Owners!$A$5:$A$504,0)),0)+SUMIFS(Ledger!$F:$F,Ledger!$B:$B,$D412,Ledger!$D:$D,"&lt;"&amp;$H412)-SUMIFS(Ledger!$G:$G,Ledger!$B:$B,$D412,Ledger!$D:$D,"&lt;"&amp;$H412))</f>
        <v/>
      </c>
      <c r="K412" s="13">
        <f>IF($D412="","",IFERROR(INDEX(Units_Owners!$H$5:$H$504,MATCH($D412,Units_Owners!$A$5:$A$504,0)),Setup!$B$10))</f>
        <v/>
      </c>
      <c r="L412" s="13">
        <f>IF($D412="","",Setup!$B$11)</f>
        <v/>
      </c>
      <c r="M412" s="13">
        <f>IF($D412="","",IF(AND(TODAY()&gt;=Setup!$B$9,$P412&gt;0),Setup!$B$12,0))</f>
        <v/>
      </c>
      <c r="N412" s="13">
        <f>IF($D412="","",SUM($J412:$M412))</f>
        <v/>
      </c>
      <c r="O412" s="13">
        <f>IF($A412="","",SUMIFS(Payments!$F:$F,Payments!$D:$D,$A412))</f>
        <v/>
      </c>
      <c r="P412" s="13">
        <f>IF($D412="","",MAX(0,$N412-$O412))</f>
        <v/>
      </c>
      <c r="Q412" s="2">
        <f>IF($D412="","",IF(IFERROR(INDEX(Units_Owners!$I$5:$I$504,MATCH($D412,Units_Owners!$A$5:$A$504,0)),"No")&lt;&gt;"Yes","Skip - Inactive",IF($P412=0,"Paid",IF(TODAY()&gt;$I412,"Past Due","Open"))))</f>
        <v/>
      </c>
      <c r="R412" s="14" t="n"/>
      <c r="S412" s="6" t="n"/>
    </row>
    <row r="413">
      <c r="A413" s="2">
        <f>IF($D413="","","INV-"&amp;$B413&amp;"-"&amp;$C413&amp;"-"&amp;TEXT(ROW(A409),"0000"))</f>
        <v/>
      </c>
      <c r="B413" s="2">
        <f>Setup!$B$5</f>
        <v/>
      </c>
      <c r="C413" s="2">
        <f>Setup!$B$6</f>
        <v/>
      </c>
      <c r="D413" s="2">
        <f>IFERROR(INDEX(Units_Owners!$A$5:$A$504,ROWS($A$5:A413)),"")</f>
        <v/>
      </c>
      <c r="E413" s="2">
        <f>IF($D413="","",IFERROR(INDEX(Units_Owners!$B$5:$B$504,MATCH($D413,Units_Owners!$A$5:$A$504,0)),""))</f>
        <v/>
      </c>
      <c r="F413" s="2">
        <f>IF($D413="","",IFERROR(INDEX(Units_Owners!$C$5:$C$504,MATCH($D413,Units_Owners!$A$5:$A$504,0)),""))</f>
        <v/>
      </c>
      <c r="G413" s="2">
        <f>IF($D413="","",IFERROR(INDEX(Units_Owners!$D$5:$D$504,MATCH($D413,Units_Owners!$A$5:$A$504,0)),""))</f>
        <v/>
      </c>
      <c r="H413" s="12">
        <f>Setup!$B$7</f>
        <v/>
      </c>
      <c r="I413" s="12">
        <f>Setup!$B$8</f>
        <v/>
      </c>
      <c r="J413" s="13">
        <f>IF($D413="","",IFERROR(INDEX(Units_Owners!$J$5:$J$504,MATCH($D413,Units_Owners!$A$5:$A$504,0)),0)+SUMIFS(Ledger!$F:$F,Ledger!$B:$B,$D413,Ledger!$D:$D,"&lt;"&amp;$H413)-SUMIFS(Ledger!$G:$G,Ledger!$B:$B,$D413,Ledger!$D:$D,"&lt;"&amp;$H413))</f>
        <v/>
      </c>
      <c r="K413" s="13">
        <f>IF($D413="","",IFERROR(INDEX(Units_Owners!$H$5:$H$504,MATCH($D413,Units_Owners!$A$5:$A$504,0)),Setup!$B$10))</f>
        <v/>
      </c>
      <c r="L413" s="13">
        <f>IF($D413="","",Setup!$B$11)</f>
        <v/>
      </c>
      <c r="M413" s="13">
        <f>IF($D413="","",IF(AND(TODAY()&gt;=Setup!$B$9,$P413&gt;0),Setup!$B$12,0))</f>
        <v/>
      </c>
      <c r="N413" s="13">
        <f>IF($D413="","",SUM($J413:$M413))</f>
        <v/>
      </c>
      <c r="O413" s="13">
        <f>IF($A413="","",SUMIFS(Payments!$F:$F,Payments!$D:$D,$A413))</f>
        <v/>
      </c>
      <c r="P413" s="13">
        <f>IF($D413="","",MAX(0,$N413-$O413))</f>
        <v/>
      </c>
      <c r="Q413" s="2">
        <f>IF($D413="","",IF(IFERROR(INDEX(Units_Owners!$I$5:$I$504,MATCH($D413,Units_Owners!$A$5:$A$504,0)),"No")&lt;&gt;"Yes","Skip - Inactive",IF($P413=0,"Paid",IF(TODAY()&gt;$I413,"Past Due","Open"))))</f>
        <v/>
      </c>
      <c r="R413" s="12" t="n"/>
      <c r="S413" s="2" t="n"/>
    </row>
    <row r="414">
      <c r="A414" s="2">
        <f>IF($D414="","","INV-"&amp;$B414&amp;"-"&amp;$C414&amp;"-"&amp;TEXT(ROW(A410),"0000"))</f>
        <v/>
      </c>
      <c r="B414" s="2">
        <f>Setup!$B$5</f>
        <v/>
      </c>
      <c r="C414" s="2">
        <f>Setup!$B$6</f>
        <v/>
      </c>
      <c r="D414" s="2">
        <f>IFERROR(INDEX(Units_Owners!$A$5:$A$504,ROWS($A$5:A414)),"")</f>
        <v/>
      </c>
      <c r="E414" s="2">
        <f>IF($D414="","",IFERROR(INDEX(Units_Owners!$B$5:$B$504,MATCH($D414,Units_Owners!$A$5:$A$504,0)),""))</f>
        <v/>
      </c>
      <c r="F414" s="2">
        <f>IF($D414="","",IFERROR(INDEX(Units_Owners!$C$5:$C$504,MATCH($D414,Units_Owners!$A$5:$A$504,0)),""))</f>
        <v/>
      </c>
      <c r="G414" s="2">
        <f>IF($D414="","",IFERROR(INDEX(Units_Owners!$D$5:$D$504,MATCH($D414,Units_Owners!$A$5:$A$504,0)),""))</f>
        <v/>
      </c>
      <c r="H414" s="12">
        <f>Setup!$B$7</f>
        <v/>
      </c>
      <c r="I414" s="12">
        <f>Setup!$B$8</f>
        <v/>
      </c>
      <c r="J414" s="13">
        <f>IF($D414="","",IFERROR(INDEX(Units_Owners!$J$5:$J$504,MATCH($D414,Units_Owners!$A$5:$A$504,0)),0)+SUMIFS(Ledger!$F:$F,Ledger!$B:$B,$D414,Ledger!$D:$D,"&lt;"&amp;$H414)-SUMIFS(Ledger!$G:$G,Ledger!$B:$B,$D414,Ledger!$D:$D,"&lt;"&amp;$H414))</f>
        <v/>
      </c>
      <c r="K414" s="13">
        <f>IF($D414="","",IFERROR(INDEX(Units_Owners!$H$5:$H$504,MATCH($D414,Units_Owners!$A$5:$A$504,0)),Setup!$B$10))</f>
        <v/>
      </c>
      <c r="L414" s="13">
        <f>IF($D414="","",Setup!$B$11)</f>
        <v/>
      </c>
      <c r="M414" s="13">
        <f>IF($D414="","",IF(AND(TODAY()&gt;=Setup!$B$9,$P414&gt;0),Setup!$B$12,0))</f>
        <v/>
      </c>
      <c r="N414" s="13">
        <f>IF($D414="","",SUM($J414:$M414))</f>
        <v/>
      </c>
      <c r="O414" s="13">
        <f>IF($A414="","",SUMIFS(Payments!$F:$F,Payments!$D:$D,$A414))</f>
        <v/>
      </c>
      <c r="P414" s="13">
        <f>IF($D414="","",MAX(0,$N414-$O414))</f>
        <v/>
      </c>
      <c r="Q414" s="2">
        <f>IF($D414="","",IF(IFERROR(INDEX(Units_Owners!$I$5:$I$504,MATCH($D414,Units_Owners!$A$5:$A$504,0)),"No")&lt;&gt;"Yes","Skip - Inactive",IF($P414=0,"Paid",IF(TODAY()&gt;$I414,"Past Due","Open"))))</f>
        <v/>
      </c>
      <c r="R414" s="14" t="n"/>
      <c r="S414" s="6" t="n"/>
    </row>
    <row r="415">
      <c r="A415" s="2">
        <f>IF($D415="","","INV-"&amp;$B415&amp;"-"&amp;$C415&amp;"-"&amp;TEXT(ROW(A411),"0000"))</f>
        <v/>
      </c>
      <c r="B415" s="2">
        <f>Setup!$B$5</f>
        <v/>
      </c>
      <c r="C415" s="2">
        <f>Setup!$B$6</f>
        <v/>
      </c>
      <c r="D415" s="2">
        <f>IFERROR(INDEX(Units_Owners!$A$5:$A$504,ROWS($A$5:A415)),"")</f>
        <v/>
      </c>
      <c r="E415" s="2">
        <f>IF($D415="","",IFERROR(INDEX(Units_Owners!$B$5:$B$504,MATCH($D415,Units_Owners!$A$5:$A$504,0)),""))</f>
        <v/>
      </c>
      <c r="F415" s="2">
        <f>IF($D415="","",IFERROR(INDEX(Units_Owners!$C$5:$C$504,MATCH($D415,Units_Owners!$A$5:$A$504,0)),""))</f>
        <v/>
      </c>
      <c r="G415" s="2">
        <f>IF($D415="","",IFERROR(INDEX(Units_Owners!$D$5:$D$504,MATCH($D415,Units_Owners!$A$5:$A$504,0)),""))</f>
        <v/>
      </c>
      <c r="H415" s="12">
        <f>Setup!$B$7</f>
        <v/>
      </c>
      <c r="I415" s="12">
        <f>Setup!$B$8</f>
        <v/>
      </c>
      <c r="J415" s="13">
        <f>IF($D415="","",IFERROR(INDEX(Units_Owners!$J$5:$J$504,MATCH($D415,Units_Owners!$A$5:$A$504,0)),0)+SUMIFS(Ledger!$F:$F,Ledger!$B:$B,$D415,Ledger!$D:$D,"&lt;"&amp;$H415)-SUMIFS(Ledger!$G:$G,Ledger!$B:$B,$D415,Ledger!$D:$D,"&lt;"&amp;$H415))</f>
        <v/>
      </c>
      <c r="K415" s="13">
        <f>IF($D415="","",IFERROR(INDEX(Units_Owners!$H$5:$H$504,MATCH($D415,Units_Owners!$A$5:$A$504,0)),Setup!$B$10))</f>
        <v/>
      </c>
      <c r="L415" s="13">
        <f>IF($D415="","",Setup!$B$11)</f>
        <v/>
      </c>
      <c r="M415" s="13">
        <f>IF($D415="","",IF(AND(TODAY()&gt;=Setup!$B$9,$P415&gt;0),Setup!$B$12,0))</f>
        <v/>
      </c>
      <c r="N415" s="13">
        <f>IF($D415="","",SUM($J415:$M415))</f>
        <v/>
      </c>
      <c r="O415" s="13">
        <f>IF($A415="","",SUMIFS(Payments!$F:$F,Payments!$D:$D,$A415))</f>
        <v/>
      </c>
      <c r="P415" s="13">
        <f>IF($D415="","",MAX(0,$N415-$O415))</f>
        <v/>
      </c>
      <c r="Q415" s="2">
        <f>IF($D415="","",IF(IFERROR(INDEX(Units_Owners!$I$5:$I$504,MATCH($D415,Units_Owners!$A$5:$A$504,0)),"No")&lt;&gt;"Yes","Skip - Inactive",IF($P415=0,"Paid",IF(TODAY()&gt;$I415,"Past Due","Open"))))</f>
        <v/>
      </c>
      <c r="R415" s="12" t="n"/>
      <c r="S415" s="2" t="n"/>
    </row>
    <row r="416">
      <c r="A416" s="2">
        <f>IF($D416="","","INV-"&amp;$B416&amp;"-"&amp;$C416&amp;"-"&amp;TEXT(ROW(A412),"0000"))</f>
        <v/>
      </c>
      <c r="B416" s="2">
        <f>Setup!$B$5</f>
        <v/>
      </c>
      <c r="C416" s="2">
        <f>Setup!$B$6</f>
        <v/>
      </c>
      <c r="D416" s="2">
        <f>IFERROR(INDEX(Units_Owners!$A$5:$A$504,ROWS($A$5:A416)),"")</f>
        <v/>
      </c>
      <c r="E416" s="2">
        <f>IF($D416="","",IFERROR(INDEX(Units_Owners!$B$5:$B$504,MATCH($D416,Units_Owners!$A$5:$A$504,0)),""))</f>
        <v/>
      </c>
      <c r="F416" s="2">
        <f>IF($D416="","",IFERROR(INDEX(Units_Owners!$C$5:$C$504,MATCH($D416,Units_Owners!$A$5:$A$504,0)),""))</f>
        <v/>
      </c>
      <c r="G416" s="2">
        <f>IF($D416="","",IFERROR(INDEX(Units_Owners!$D$5:$D$504,MATCH($D416,Units_Owners!$A$5:$A$504,0)),""))</f>
        <v/>
      </c>
      <c r="H416" s="12">
        <f>Setup!$B$7</f>
        <v/>
      </c>
      <c r="I416" s="12">
        <f>Setup!$B$8</f>
        <v/>
      </c>
      <c r="J416" s="13">
        <f>IF($D416="","",IFERROR(INDEX(Units_Owners!$J$5:$J$504,MATCH($D416,Units_Owners!$A$5:$A$504,0)),0)+SUMIFS(Ledger!$F:$F,Ledger!$B:$B,$D416,Ledger!$D:$D,"&lt;"&amp;$H416)-SUMIFS(Ledger!$G:$G,Ledger!$B:$B,$D416,Ledger!$D:$D,"&lt;"&amp;$H416))</f>
        <v/>
      </c>
      <c r="K416" s="13">
        <f>IF($D416="","",IFERROR(INDEX(Units_Owners!$H$5:$H$504,MATCH($D416,Units_Owners!$A$5:$A$504,0)),Setup!$B$10))</f>
        <v/>
      </c>
      <c r="L416" s="13">
        <f>IF($D416="","",Setup!$B$11)</f>
        <v/>
      </c>
      <c r="M416" s="13">
        <f>IF($D416="","",IF(AND(TODAY()&gt;=Setup!$B$9,$P416&gt;0),Setup!$B$12,0))</f>
        <v/>
      </c>
      <c r="N416" s="13">
        <f>IF($D416="","",SUM($J416:$M416))</f>
        <v/>
      </c>
      <c r="O416" s="13">
        <f>IF($A416="","",SUMIFS(Payments!$F:$F,Payments!$D:$D,$A416))</f>
        <v/>
      </c>
      <c r="P416" s="13">
        <f>IF($D416="","",MAX(0,$N416-$O416))</f>
        <v/>
      </c>
      <c r="Q416" s="2">
        <f>IF($D416="","",IF(IFERROR(INDEX(Units_Owners!$I$5:$I$504,MATCH($D416,Units_Owners!$A$5:$A$504,0)),"No")&lt;&gt;"Yes","Skip - Inactive",IF($P416=0,"Paid",IF(TODAY()&gt;$I416,"Past Due","Open"))))</f>
        <v/>
      </c>
      <c r="R416" s="14" t="n"/>
      <c r="S416" s="6" t="n"/>
    </row>
    <row r="417">
      <c r="A417" s="2">
        <f>IF($D417="","","INV-"&amp;$B417&amp;"-"&amp;$C417&amp;"-"&amp;TEXT(ROW(A413),"0000"))</f>
        <v/>
      </c>
      <c r="B417" s="2">
        <f>Setup!$B$5</f>
        <v/>
      </c>
      <c r="C417" s="2">
        <f>Setup!$B$6</f>
        <v/>
      </c>
      <c r="D417" s="2">
        <f>IFERROR(INDEX(Units_Owners!$A$5:$A$504,ROWS($A$5:A417)),"")</f>
        <v/>
      </c>
      <c r="E417" s="2">
        <f>IF($D417="","",IFERROR(INDEX(Units_Owners!$B$5:$B$504,MATCH($D417,Units_Owners!$A$5:$A$504,0)),""))</f>
        <v/>
      </c>
      <c r="F417" s="2">
        <f>IF($D417="","",IFERROR(INDEX(Units_Owners!$C$5:$C$504,MATCH($D417,Units_Owners!$A$5:$A$504,0)),""))</f>
        <v/>
      </c>
      <c r="G417" s="2">
        <f>IF($D417="","",IFERROR(INDEX(Units_Owners!$D$5:$D$504,MATCH($D417,Units_Owners!$A$5:$A$504,0)),""))</f>
        <v/>
      </c>
      <c r="H417" s="12">
        <f>Setup!$B$7</f>
        <v/>
      </c>
      <c r="I417" s="12">
        <f>Setup!$B$8</f>
        <v/>
      </c>
      <c r="J417" s="13">
        <f>IF($D417="","",IFERROR(INDEX(Units_Owners!$J$5:$J$504,MATCH($D417,Units_Owners!$A$5:$A$504,0)),0)+SUMIFS(Ledger!$F:$F,Ledger!$B:$B,$D417,Ledger!$D:$D,"&lt;"&amp;$H417)-SUMIFS(Ledger!$G:$G,Ledger!$B:$B,$D417,Ledger!$D:$D,"&lt;"&amp;$H417))</f>
        <v/>
      </c>
      <c r="K417" s="13">
        <f>IF($D417="","",IFERROR(INDEX(Units_Owners!$H$5:$H$504,MATCH($D417,Units_Owners!$A$5:$A$504,0)),Setup!$B$10))</f>
        <v/>
      </c>
      <c r="L417" s="13">
        <f>IF($D417="","",Setup!$B$11)</f>
        <v/>
      </c>
      <c r="M417" s="13">
        <f>IF($D417="","",IF(AND(TODAY()&gt;=Setup!$B$9,$P417&gt;0),Setup!$B$12,0))</f>
        <v/>
      </c>
      <c r="N417" s="13">
        <f>IF($D417="","",SUM($J417:$M417))</f>
        <v/>
      </c>
      <c r="O417" s="13">
        <f>IF($A417="","",SUMIFS(Payments!$F:$F,Payments!$D:$D,$A417))</f>
        <v/>
      </c>
      <c r="P417" s="13">
        <f>IF($D417="","",MAX(0,$N417-$O417))</f>
        <v/>
      </c>
      <c r="Q417" s="2">
        <f>IF($D417="","",IF(IFERROR(INDEX(Units_Owners!$I$5:$I$504,MATCH($D417,Units_Owners!$A$5:$A$504,0)),"No")&lt;&gt;"Yes","Skip - Inactive",IF($P417=0,"Paid",IF(TODAY()&gt;$I417,"Past Due","Open"))))</f>
        <v/>
      </c>
      <c r="R417" s="12" t="n"/>
      <c r="S417" s="2" t="n"/>
    </row>
    <row r="418">
      <c r="A418" s="2">
        <f>IF($D418="","","INV-"&amp;$B418&amp;"-"&amp;$C418&amp;"-"&amp;TEXT(ROW(A414),"0000"))</f>
        <v/>
      </c>
      <c r="B418" s="2">
        <f>Setup!$B$5</f>
        <v/>
      </c>
      <c r="C418" s="2">
        <f>Setup!$B$6</f>
        <v/>
      </c>
      <c r="D418" s="2">
        <f>IFERROR(INDEX(Units_Owners!$A$5:$A$504,ROWS($A$5:A418)),"")</f>
        <v/>
      </c>
      <c r="E418" s="2">
        <f>IF($D418="","",IFERROR(INDEX(Units_Owners!$B$5:$B$504,MATCH($D418,Units_Owners!$A$5:$A$504,0)),""))</f>
        <v/>
      </c>
      <c r="F418" s="2">
        <f>IF($D418="","",IFERROR(INDEX(Units_Owners!$C$5:$C$504,MATCH($D418,Units_Owners!$A$5:$A$504,0)),""))</f>
        <v/>
      </c>
      <c r="G418" s="2">
        <f>IF($D418="","",IFERROR(INDEX(Units_Owners!$D$5:$D$504,MATCH($D418,Units_Owners!$A$5:$A$504,0)),""))</f>
        <v/>
      </c>
      <c r="H418" s="12">
        <f>Setup!$B$7</f>
        <v/>
      </c>
      <c r="I418" s="12">
        <f>Setup!$B$8</f>
        <v/>
      </c>
      <c r="J418" s="13">
        <f>IF($D418="","",IFERROR(INDEX(Units_Owners!$J$5:$J$504,MATCH($D418,Units_Owners!$A$5:$A$504,0)),0)+SUMIFS(Ledger!$F:$F,Ledger!$B:$B,$D418,Ledger!$D:$D,"&lt;"&amp;$H418)-SUMIFS(Ledger!$G:$G,Ledger!$B:$B,$D418,Ledger!$D:$D,"&lt;"&amp;$H418))</f>
        <v/>
      </c>
      <c r="K418" s="13">
        <f>IF($D418="","",IFERROR(INDEX(Units_Owners!$H$5:$H$504,MATCH($D418,Units_Owners!$A$5:$A$504,0)),Setup!$B$10))</f>
        <v/>
      </c>
      <c r="L418" s="13">
        <f>IF($D418="","",Setup!$B$11)</f>
        <v/>
      </c>
      <c r="M418" s="13">
        <f>IF($D418="","",IF(AND(TODAY()&gt;=Setup!$B$9,$P418&gt;0),Setup!$B$12,0))</f>
        <v/>
      </c>
      <c r="N418" s="13">
        <f>IF($D418="","",SUM($J418:$M418))</f>
        <v/>
      </c>
      <c r="O418" s="13">
        <f>IF($A418="","",SUMIFS(Payments!$F:$F,Payments!$D:$D,$A418))</f>
        <v/>
      </c>
      <c r="P418" s="13">
        <f>IF($D418="","",MAX(0,$N418-$O418))</f>
        <v/>
      </c>
      <c r="Q418" s="2">
        <f>IF($D418="","",IF(IFERROR(INDEX(Units_Owners!$I$5:$I$504,MATCH($D418,Units_Owners!$A$5:$A$504,0)),"No")&lt;&gt;"Yes","Skip - Inactive",IF($P418=0,"Paid",IF(TODAY()&gt;$I418,"Past Due","Open"))))</f>
        <v/>
      </c>
      <c r="R418" s="14" t="n"/>
      <c r="S418" s="6" t="n"/>
    </row>
    <row r="419">
      <c r="A419" s="2">
        <f>IF($D419="","","INV-"&amp;$B419&amp;"-"&amp;$C419&amp;"-"&amp;TEXT(ROW(A415),"0000"))</f>
        <v/>
      </c>
      <c r="B419" s="2">
        <f>Setup!$B$5</f>
        <v/>
      </c>
      <c r="C419" s="2">
        <f>Setup!$B$6</f>
        <v/>
      </c>
      <c r="D419" s="2">
        <f>IFERROR(INDEX(Units_Owners!$A$5:$A$504,ROWS($A$5:A419)),"")</f>
        <v/>
      </c>
      <c r="E419" s="2">
        <f>IF($D419="","",IFERROR(INDEX(Units_Owners!$B$5:$B$504,MATCH($D419,Units_Owners!$A$5:$A$504,0)),""))</f>
        <v/>
      </c>
      <c r="F419" s="2">
        <f>IF($D419="","",IFERROR(INDEX(Units_Owners!$C$5:$C$504,MATCH($D419,Units_Owners!$A$5:$A$504,0)),""))</f>
        <v/>
      </c>
      <c r="G419" s="2">
        <f>IF($D419="","",IFERROR(INDEX(Units_Owners!$D$5:$D$504,MATCH($D419,Units_Owners!$A$5:$A$504,0)),""))</f>
        <v/>
      </c>
      <c r="H419" s="12">
        <f>Setup!$B$7</f>
        <v/>
      </c>
      <c r="I419" s="12">
        <f>Setup!$B$8</f>
        <v/>
      </c>
      <c r="J419" s="13">
        <f>IF($D419="","",IFERROR(INDEX(Units_Owners!$J$5:$J$504,MATCH($D419,Units_Owners!$A$5:$A$504,0)),0)+SUMIFS(Ledger!$F:$F,Ledger!$B:$B,$D419,Ledger!$D:$D,"&lt;"&amp;$H419)-SUMIFS(Ledger!$G:$G,Ledger!$B:$B,$D419,Ledger!$D:$D,"&lt;"&amp;$H419))</f>
        <v/>
      </c>
      <c r="K419" s="13">
        <f>IF($D419="","",IFERROR(INDEX(Units_Owners!$H$5:$H$504,MATCH($D419,Units_Owners!$A$5:$A$504,0)),Setup!$B$10))</f>
        <v/>
      </c>
      <c r="L419" s="13">
        <f>IF($D419="","",Setup!$B$11)</f>
        <v/>
      </c>
      <c r="M419" s="13">
        <f>IF($D419="","",IF(AND(TODAY()&gt;=Setup!$B$9,$P419&gt;0),Setup!$B$12,0))</f>
        <v/>
      </c>
      <c r="N419" s="13">
        <f>IF($D419="","",SUM($J419:$M419))</f>
        <v/>
      </c>
      <c r="O419" s="13">
        <f>IF($A419="","",SUMIFS(Payments!$F:$F,Payments!$D:$D,$A419))</f>
        <v/>
      </c>
      <c r="P419" s="13">
        <f>IF($D419="","",MAX(0,$N419-$O419))</f>
        <v/>
      </c>
      <c r="Q419" s="2">
        <f>IF($D419="","",IF(IFERROR(INDEX(Units_Owners!$I$5:$I$504,MATCH($D419,Units_Owners!$A$5:$A$504,0)),"No")&lt;&gt;"Yes","Skip - Inactive",IF($P419=0,"Paid",IF(TODAY()&gt;$I419,"Past Due","Open"))))</f>
        <v/>
      </c>
      <c r="R419" s="12" t="n"/>
      <c r="S419" s="2" t="n"/>
    </row>
    <row r="420">
      <c r="A420" s="2">
        <f>IF($D420="","","INV-"&amp;$B420&amp;"-"&amp;$C420&amp;"-"&amp;TEXT(ROW(A416),"0000"))</f>
        <v/>
      </c>
      <c r="B420" s="2">
        <f>Setup!$B$5</f>
        <v/>
      </c>
      <c r="C420" s="2">
        <f>Setup!$B$6</f>
        <v/>
      </c>
      <c r="D420" s="2">
        <f>IFERROR(INDEX(Units_Owners!$A$5:$A$504,ROWS($A$5:A420)),"")</f>
        <v/>
      </c>
      <c r="E420" s="2">
        <f>IF($D420="","",IFERROR(INDEX(Units_Owners!$B$5:$B$504,MATCH($D420,Units_Owners!$A$5:$A$504,0)),""))</f>
        <v/>
      </c>
      <c r="F420" s="2">
        <f>IF($D420="","",IFERROR(INDEX(Units_Owners!$C$5:$C$504,MATCH($D420,Units_Owners!$A$5:$A$504,0)),""))</f>
        <v/>
      </c>
      <c r="G420" s="2">
        <f>IF($D420="","",IFERROR(INDEX(Units_Owners!$D$5:$D$504,MATCH($D420,Units_Owners!$A$5:$A$504,0)),""))</f>
        <v/>
      </c>
      <c r="H420" s="12">
        <f>Setup!$B$7</f>
        <v/>
      </c>
      <c r="I420" s="12">
        <f>Setup!$B$8</f>
        <v/>
      </c>
      <c r="J420" s="13">
        <f>IF($D420="","",IFERROR(INDEX(Units_Owners!$J$5:$J$504,MATCH($D420,Units_Owners!$A$5:$A$504,0)),0)+SUMIFS(Ledger!$F:$F,Ledger!$B:$B,$D420,Ledger!$D:$D,"&lt;"&amp;$H420)-SUMIFS(Ledger!$G:$G,Ledger!$B:$B,$D420,Ledger!$D:$D,"&lt;"&amp;$H420))</f>
        <v/>
      </c>
      <c r="K420" s="13">
        <f>IF($D420="","",IFERROR(INDEX(Units_Owners!$H$5:$H$504,MATCH($D420,Units_Owners!$A$5:$A$504,0)),Setup!$B$10))</f>
        <v/>
      </c>
      <c r="L420" s="13">
        <f>IF($D420="","",Setup!$B$11)</f>
        <v/>
      </c>
      <c r="M420" s="13">
        <f>IF($D420="","",IF(AND(TODAY()&gt;=Setup!$B$9,$P420&gt;0),Setup!$B$12,0))</f>
        <v/>
      </c>
      <c r="N420" s="13">
        <f>IF($D420="","",SUM($J420:$M420))</f>
        <v/>
      </c>
      <c r="O420" s="13">
        <f>IF($A420="","",SUMIFS(Payments!$F:$F,Payments!$D:$D,$A420))</f>
        <v/>
      </c>
      <c r="P420" s="13">
        <f>IF($D420="","",MAX(0,$N420-$O420))</f>
        <v/>
      </c>
      <c r="Q420" s="2">
        <f>IF($D420="","",IF(IFERROR(INDEX(Units_Owners!$I$5:$I$504,MATCH($D420,Units_Owners!$A$5:$A$504,0)),"No")&lt;&gt;"Yes","Skip - Inactive",IF($P420=0,"Paid",IF(TODAY()&gt;$I420,"Past Due","Open"))))</f>
        <v/>
      </c>
      <c r="R420" s="14" t="n"/>
      <c r="S420" s="6" t="n"/>
    </row>
    <row r="421">
      <c r="A421" s="2">
        <f>IF($D421="","","INV-"&amp;$B421&amp;"-"&amp;$C421&amp;"-"&amp;TEXT(ROW(A417),"0000"))</f>
        <v/>
      </c>
      <c r="B421" s="2">
        <f>Setup!$B$5</f>
        <v/>
      </c>
      <c r="C421" s="2">
        <f>Setup!$B$6</f>
        <v/>
      </c>
      <c r="D421" s="2">
        <f>IFERROR(INDEX(Units_Owners!$A$5:$A$504,ROWS($A$5:A421)),"")</f>
        <v/>
      </c>
      <c r="E421" s="2">
        <f>IF($D421="","",IFERROR(INDEX(Units_Owners!$B$5:$B$504,MATCH($D421,Units_Owners!$A$5:$A$504,0)),""))</f>
        <v/>
      </c>
      <c r="F421" s="2">
        <f>IF($D421="","",IFERROR(INDEX(Units_Owners!$C$5:$C$504,MATCH($D421,Units_Owners!$A$5:$A$504,0)),""))</f>
        <v/>
      </c>
      <c r="G421" s="2">
        <f>IF($D421="","",IFERROR(INDEX(Units_Owners!$D$5:$D$504,MATCH($D421,Units_Owners!$A$5:$A$504,0)),""))</f>
        <v/>
      </c>
      <c r="H421" s="12">
        <f>Setup!$B$7</f>
        <v/>
      </c>
      <c r="I421" s="12">
        <f>Setup!$B$8</f>
        <v/>
      </c>
      <c r="J421" s="13">
        <f>IF($D421="","",IFERROR(INDEX(Units_Owners!$J$5:$J$504,MATCH($D421,Units_Owners!$A$5:$A$504,0)),0)+SUMIFS(Ledger!$F:$F,Ledger!$B:$B,$D421,Ledger!$D:$D,"&lt;"&amp;$H421)-SUMIFS(Ledger!$G:$G,Ledger!$B:$B,$D421,Ledger!$D:$D,"&lt;"&amp;$H421))</f>
        <v/>
      </c>
      <c r="K421" s="13">
        <f>IF($D421="","",IFERROR(INDEX(Units_Owners!$H$5:$H$504,MATCH($D421,Units_Owners!$A$5:$A$504,0)),Setup!$B$10))</f>
        <v/>
      </c>
      <c r="L421" s="13">
        <f>IF($D421="","",Setup!$B$11)</f>
        <v/>
      </c>
      <c r="M421" s="13">
        <f>IF($D421="","",IF(AND(TODAY()&gt;=Setup!$B$9,$P421&gt;0),Setup!$B$12,0))</f>
        <v/>
      </c>
      <c r="N421" s="13">
        <f>IF($D421="","",SUM($J421:$M421))</f>
        <v/>
      </c>
      <c r="O421" s="13">
        <f>IF($A421="","",SUMIFS(Payments!$F:$F,Payments!$D:$D,$A421))</f>
        <v/>
      </c>
      <c r="P421" s="13">
        <f>IF($D421="","",MAX(0,$N421-$O421))</f>
        <v/>
      </c>
      <c r="Q421" s="2">
        <f>IF($D421="","",IF(IFERROR(INDEX(Units_Owners!$I$5:$I$504,MATCH($D421,Units_Owners!$A$5:$A$504,0)),"No")&lt;&gt;"Yes","Skip - Inactive",IF($P421=0,"Paid",IF(TODAY()&gt;$I421,"Past Due","Open"))))</f>
        <v/>
      </c>
      <c r="R421" s="12" t="n"/>
      <c r="S421" s="2" t="n"/>
    </row>
    <row r="422">
      <c r="A422" s="2">
        <f>IF($D422="","","INV-"&amp;$B422&amp;"-"&amp;$C422&amp;"-"&amp;TEXT(ROW(A418),"0000"))</f>
        <v/>
      </c>
      <c r="B422" s="2">
        <f>Setup!$B$5</f>
        <v/>
      </c>
      <c r="C422" s="2">
        <f>Setup!$B$6</f>
        <v/>
      </c>
      <c r="D422" s="2">
        <f>IFERROR(INDEX(Units_Owners!$A$5:$A$504,ROWS($A$5:A422)),"")</f>
        <v/>
      </c>
      <c r="E422" s="2">
        <f>IF($D422="","",IFERROR(INDEX(Units_Owners!$B$5:$B$504,MATCH($D422,Units_Owners!$A$5:$A$504,0)),""))</f>
        <v/>
      </c>
      <c r="F422" s="2">
        <f>IF($D422="","",IFERROR(INDEX(Units_Owners!$C$5:$C$504,MATCH($D422,Units_Owners!$A$5:$A$504,0)),""))</f>
        <v/>
      </c>
      <c r="G422" s="2">
        <f>IF($D422="","",IFERROR(INDEX(Units_Owners!$D$5:$D$504,MATCH($D422,Units_Owners!$A$5:$A$504,0)),""))</f>
        <v/>
      </c>
      <c r="H422" s="12">
        <f>Setup!$B$7</f>
        <v/>
      </c>
      <c r="I422" s="12">
        <f>Setup!$B$8</f>
        <v/>
      </c>
      <c r="J422" s="13">
        <f>IF($D422="","",IFERROR(INDEX(Units_Owners!$J$5:$J$504,MATCH($D422,Units_Owners!$A$5:$A$504,0)),0)+SUMIFS(Ledger!$F:$F,Ledger!$B:$B,$D422,Ledger!$D:$D,"&lt;"&amp;$H422)-SUMIFS(Ledger!$G:$G,Ledger!$B:$B,$D422,Ledger!$D:$D,"&lt;"&amp;$H422))</f>
        <v/>
      </c>
      <c r="K422" s="13">
        <f>IF($D422="","",IFERROR(INDEX(Units_Owners!$H$5:$H$504,MATCH($D422,Units_Owners!$A$5:$A$504,0)),Setup!$B$10))</f>
        <v/>
      </c>
      <c r="L422" s="13">
        <f>IF($D422="","",Setup!$B$11)</f>
        <v/>
      </c>
      <c r="M422" s="13">
        <f>IF($D422="","",IF(AND(TODAY()&gt;=Setup!$B$9,$P422&gt;0),Setup!$B$12,0))</f>
        <v/>
      </c>
      <c r="N422" s="13">
        <f>IF($D422="","",SUM($J422:$M422))</f>
        <v/>
      </c>
      <c r="O422" s="13">
        <f>IF($A422="","",SUMIFS(Payments!$F:$F,Payments!$D:$D,$A422))</f>
        <v/>
      </c>
      <c r="P422" s="13">
        <f>IF($D422="","",MAX(0,$N422-$O422))</f>
        <v/>
      </c>
      <c r="Q422" s="2">
        <f>IF($D422="","",IF(IFERROR(INDEX(Units_Owners!$I$5:$I$504,MATCH($D422,Units_Owners!$A$5:$A$504,0)),"No")&lt;&gt;"Yes","Skip - Inactive",IF($P422=0,"Paid",IF(TODAY()&gt;$I422,"Past Due","Open"))))</f>
        <v/>
      </c>
      <c r="R422" s="14" t="n"/>
      <c r="S422" s="6" t="n"/>
    </row>
    <row r="423">
      <c r="A423" s="2">
        <f>IF($D423="","","INV-"&amp;$B423&amp;"-"&amp;$C423&amp;"-"&amp;TEXT(ROW(A419),"0000"))</f>
        <v/>
      </c>
      <c r="B423" s="2">
        <f>Setup!$B$5</f>
        <v/>
      </c>
      <c r="C423" s="2">
        <f>Setup!$B$6</f>
        <v/>
      </c>
      <c r="D423" s="2">
        <f>IFERROR(INDEX(Units_Owners!$A$5:$A$504,ROWS($A$5:A423)),"")</f>
        <v/>
      </c>
      <c r="E423" s="2">
        <f>IF($D423="","",IFERROR(INDEX(Units_Owners!$B$5:$B$504,MATCH($D423,Units_Owners!$A$5:$A$504,0)),""))</f>
        <v/>
      </c>
      <c r="F423" s="2">
        <f>IF($D423="","",IFERROR(INDEX(Units_Owners!$C$5:$C$504,MATCH($D423,Units_Owners!$A$5:$A$504,0)),""))</f>
        <v/>
      </c>
      <c r="G423" s="2">
        <f>IF($D423="","",IFERROR(INDEX(Units_Owners!$D$5:$D$504,MATCH($D423,Units_Owners!$A$5:$A$504,0)),""))</f>
        <v/>
      </c>
      <c r="H423" s="12">
        <f>Setup!$B$7</f>
        <v/>
      </c>
      <c r="I423" s="12">
        <f>Setup!$B$8</f>
        <v/>
      </c>
      <c r="J423" s="13">
        <f>IF($D423="","",IFERROR(INDEX(Units_Owners!$J$5:$J$504,MATCH($D423,Units_Owners!$A$5:$A$504,0)),0)+SUMIFS(Ledger!$F:$F,Ledger!$B:$B,$D423,Ledger!$D:$D,"&lt;"&amp;$H423)-SUMIFS(Ledger!$G:$G,Ledger!$B:$B,$D423,Ledger!$D:$D,"&lt;"&amp;$H423))</f>
        <v/>
      </c>
      <c r="K423" s="13">
        <f>IF($D423="","",IFERROR(INDEX(Units_Owners!$H$5:$H$504,MATCH($D423,Units_Owners!$A$5:$A$504,0)),Setup!$B$10))</f>
        <v/>
      </c>
      <c r="L423" s="13">
        <f>IF($D423="","",Setup!$B$11)</f>
        <v/>
      </c>
      <c r="M423" s="13">
        <f>IF($D423="","",IF(AND(TODAY()&gt;=Setup!$B$9,$P423&gt;0),Setup!$B$12,0))</f>
        <v/>
      </c>
      <c r="N423" s="13">
        <f>IF($D423="","",SUM($J423:$M423))</f>
        <v/>
      </c>
      <c r="O423" s="13">
        <f>IF($A423="","",SUMIFS(Payments!$F:$F,Payments!$D:$D,$A423))</f>
        <v/>
      </c>
      <c r="P423" s="13">
        <f>IF($D423="","",MAX(0,$N423-$O423))</f>
        <v/>
      </c>
      <c r="Q423" s="2">
        <f>IF($D423="","",IF(IFERROR(INDEX(Units_Owners!$I$5:$I$504,MATCH($D423,Units_Owners!$A$5:$A$504,0)),"No")&lt;&gt;"Yes","Skip - Inactive",IF($P423=0,"Paid",IF(TODAY()&gt;$I423,"Past Due","Open"))))</f>
        <v/>
      </c>
      <c r="R423" s="12" t="n"/>
      <c r="S423" s="2" t="n"/>
    </row>
    <row r="424">
      <c r="A424" s="2">
        <f>IF($D424="","","INV-"&amp;$B424&amp;"-"&amp;$C424&amp;"-"&amp;TEXT(ROW(A420),"0000"))</f>
        <v/>
      </c>
      <c r="B424" s="2">
        <f>Setup!$B$5</f>
        <v/>
      </c>
      <c r="C424" s="2">
        <f>Setup!$B$6</f>
        <v/>
      </c>
      <c r="D424" s="2">
        <f>IFERROR(INDEX(Units_Owners!$A$5:$A$504,ROWS($A$5:A424)),"")</f>
        <v/>
      </c>
      <c r="E424" s="2">
        <f>IF($D424="","",IFERROR(INDEX(Units_Owners!$B$5:$B$504,MATCH($D424,Units_Owners!$A$5:$A$504,0)),""))</f>
        <v/>
      </c>
      <c r="F424" s="2">
        <f>IF($D424="","",IFERROR(INDEX(Units_Owners!$C$5:$C$504,MATCH($D424,Units_Owners!$A$5:$A$504,0)),""))</f>
        <v/>
      </c>
      <c r="G424" s="2">
        <f>IF($D424="","",IFERROR(INDEX(Units_Owners!$D$5:$D$504,MATCH($D424,Units_Owners!$A$5:$A$504,0)),""))</f>
        <v/>
      </c>
      <c r="H424" s="12">
        <f>Setup!$B$7</f>
        <v/>
      </c>
      <c r="I424" s="12">
        <f>Setup!$B$8</f>
        <v/>
      </c>
      <c r="J424" s="13">
        <f>IF($D424="","",IFERROR(INDEX(Units_Owners!$J$5:$J$504,MATCH($D424,Units_Owners!$A$5:$A$504,0)),0)+SUMIFS(Ledger!$F:$F,Ledger!$B:$B,$D424,Ledger!$D:$D,"&lt;"&amp;$H424)-SUMIFS(Ledger!$G:$G,Ledger!$B:$B,$D424,Ledger!$D:$D,"&lt;"&amp;$H424))</f>
        <v/>
      </c>
      <c r="K424" s="13">
        <f>IF($D424="","",IFERROR(INDEX(Units_Owners!$H$5:$H$504,MATCH($D424,Units_Owners!$A$5:$A$504,0)),Setup!$B$10))</f>
        <v/>
      </c>
      <c r="L424" s="13">
        <f>IF($D424="","",Setup!$B$11)</f>
        <v/>
      </c>
      <c r="M424" s="13">
        <f>IF($D424="","",IF(AND(TODAY()&gt;=Setup!$B$9,$P424&gt;0),Setup!$B$12,0))</f>
        <v/>
      </c>
      <c r="N424" s="13">
        <f>IF($D424="","",SUM($J424:$M424))</f>
        <v/>
      </c>
      <c r="O424" s="13">
        <f>IF($A424="","",SUMIFS(Payments!$F:$F,Payments!$D:$D,$A424))</f>
        <v/>
      </c>
      <c r="P424" s="13">
        <f>IF($D424="","",MAX(0,$N424-$O424))</f>
        <v/>
      </c>
      <c r="Q424" s="2">
        <f>IF($D424="","",IF(IFERROR(INDEX(Units_Owners!$I$5:$I$504,MATCH($D424,Units_Owners!$A$5:$A$504,0)),"No")&lt;&gt;"Yes","Skip - Inactive",IF($P424=0,"Paid",IF(TODAY()&gt;$I424,"Past Due","Open"))))</f>
        <v/>
      </c>
      <c r="R424" s="14" t="n"/>
      <c r="S424" s="6" t="n"/>
    </row>
    <row r="425">
      <c r="A425" s="2">
        <f>IF($D425="","","INV-"&amp;$B425&amp;"-"&amp;$C425&amp;"-"&amp;TEXT(ROW(A421),"0000"))</f>
        <v/>
      </c>
      <c r="B425" s="2">
        <f>Setup!$B$5</f>
        <v/>
      </c>
      <c r="C425" s="2">
        <f>Setup!$B$6</f>
        <v/>
      </c>
      <c r="D425" s="2">
        <f>IFERROR(INDEX(Units_Owners!$A$5:$A$504,ROWS($A$5:A425)),"")</f>
        <v/>
      </c>
      <c r="E425" s="2">
        <f>IF($D425="","",IFERROR(INDEX(Units_Owners!$B$5:$B$504,MATCH($D425,Units_Owners!$A$5:$A$504,0)),""))</f>
        <v/>
      </c>
      <c r="F425" s="2">
        <f>IF($D425="","",IFERROR(INDEX(Units_Owners!$C$5:$C$504,MATCH($D425,Units_Owners!$A$5:$A$504,0)),""))</f>
        <v/>
      </c>
      <c r="G425" s="2">
        <f>IF($D425="","",IFERROR(INDEX(Units_Owners!$D$5:$D$504,MATCH($D425,Units_Owners!$A$5:$A$504,0)),""))</f>
        <v/>
      </c>
      <c r="H425" s="12">
        <f>Setup!$B$7</f>
        <v/>
      </c>
      <c r="I425" s="12">
        <f>Setup!$B$8</f>
        <v/>
      </c>
      <c r="J425" s="13">
        <f>IF($D425="","",IFERROR(INDEX(Units_Owners!$J$5:$J$504,MATCH($D425,Units_Owners!$A$5:$A$504,0)),0)+SUMIFS(Ledger!$F:$F,Ledger!$B:$B,$D425,Ledger!$D:$D,"&lt;"&amp;$H425)-SUMIFS(Ledger!$G:$G,Ledger!$B:$B,$D425,Ledger!$D:$D,"&lt;"&amp;$H425))</f>
        <v/>
      </c>
      <c r="K425" s="13">
        <f>IF($D425="","",IFERROR(INDEX(Units_Owners!$H$5:$H$504,MATCH($D425,Units_Owners!$A$5:$A$504,0)),Setup!$B$10))</f>
        <v/>
      </c>
      <c r="L425" s="13">
        <f>IF($D425="","",Setup!$B$11)</f>
        <v/>
      </c>
      <c r="M425" s="13">
        <f>IF($D425="","",IF(AND(TODAY()&gt;=Setup!$B$9,$P425&gt;0),Setup!$B$12,0))</f>
        <v/>
      </c>
      <c r="N425" s="13">
        <f>IF($D425="","",SUM($J425:$M425))</f>
        <v/>
      </c>
      <c r="O425" s="13">
        <f>IF($A425="","",SUMIFS(Payments!$F:$F,Payments!$D:$D,$A425))</f>
        <v/>
      </c>
      <c r="P425" s="13">
        <f>IF($D425="","",MAX(0,$N425-$O425))</f>
        <v/>
      </c>
      <c r="Q425" s="2">
        <f>IF($D425="","",IF(IFERROR(INDEX(Units_Owners!$I$5:$I$504,MATCH($D425,Units_Owners!$A$5:$A$504,0)),"No")&lt;&gt;"Yes","Skip - Inactive",IF($P425=0,"Paid",IF(TODAY()&gt;$I425,"Past Due","Open"))))</f>
        <v/>
      </c>
      <c r="R425" s="12" t="n"/>
      <c r="S425" s="2" t="n"/>
    </row>
    <row r="426">
      <c r="A426" s="2">
        <f>IF($D426="","","INV-"&amp;$B426&amp;"-"&amp;$C426&amp;"-"&amp;TEXT(ROW(A422),"0000"))</f>
        <v/>
      </c>
      <c r="B426" s="2">
        <f>Setup!$B$5</f>
        <v/>
      </c>
      <c r="C426" s="2">
        <f>Setup!$B$6</f>
        <v/>
      </c>
      <c r="D426" s="2">
        <f>IFERROR(INDEX(Units_Owners!$A$5:$A$504,ROWS($A$5:A426)),"")</f>
        <v/>
      </c>
      <c r="E426" s="2">
        <f>IF($D426="","",IFERROR(INDEX(Units_Owners!$B$5:$B$504,MATCH($D426,Units_Owners!$A$5:$A$504,0)),""))</f>
        <v/>
      </c>
      <c r="F426" s="2">
        <f>IF($D426="","",IFERROR(INDEX(Units_Owners!$C$5:$C$504,MATCH($D426,Units_Owners!$A$5:$A$504,0)),""))</f>
        <v/>
      </c>
      <c r="G426" s="2">
        <f>IF($D426="","",IFERROR(INDEX(Units_Owners!$D$5:$D$504,MATCH($D426,Units_Owners!$A$5:$A$504,0)),""))</f>
        <v/>
      </c>
      <c r="H426" s="12">
        <f>Setup!$B$7</f>
        <v/>
      </c>
      <c r="I426" s="12">
        <f>Setup!$B$8</f>
        <v/>
      </c>
      <c r="J426" s="13">
        <f>IF($D426="","",IFERROR(INDEX(Units_Owners!$J$5:$J$504,MATCH($D426,Units_Owners!$A$5:$A$504,0)),0)+SUMIFS(Ledger!$F:$F,Ledger!$B:$B,$D426,Ledger!$D:$D,"&lt;"&amp;$H426)-SUMIFS(Ledger!$G:$G,Ledger!$B:$B,$D426,Ledger!$D:$D,"&lt;"&amp;$H426))</f>
        <v/>
      </c>
      <c r="K426" s="13">
        <f>IF($D426="","",IFERROR(INDEX(Units_Owners!$H$5:$H$504,MATCH($D426,Units_Owners!$A$5:$A$504,0)),Setup!$B$10))</f>
        <v/>
      </c>
      <c r="L426" s="13">
        <f>IF($D426="","",Setup!$B$11)</f>
        <v/>
      </c>
      <c r="M426" s="13">
        <f>IF($D426="","",IF(AND(TODAY()&gt;=Setup!$B$9,$P426&gt;0),Setup!$B$12,0))</f>
        <v/>
      </c>
      <c r="N426" s="13">
        <f>IF($D426="","",SUM($J426:$M426))</f>
        <v/>
      </c>
      <c r="O426" s="13">
        <f>IF($A426="","",SUMIFS(Payments!$F:$F,Payments!$D:$D,$A426))</f>
        <v/>
      </c>
      <c r="P426" s="13">
        <f>IF($D426="","",MAX(0,$N426-$O426))</f>
        <v/>
      </c>
      <c r="Q426" s="2">
        <f>IF($D426="","",IF(IFERROR(INDEX(Units_Owners!$I$5:$I$504,MATCH($D426,Units_Owners!$A$5:$A$504,0)),"No")&lt;&gt;"Yes","Skip - Inactive",IF($P426=0,"Paid",IF(TODAY()&gt;$I426,"Past Due","Open"))))</f>
        <v/>
      </c>
      <c r="R426" s="14" t="n"/>
      <c r="S426" s="6" t="n"/>
    </row>
    <row r="427">
      <c r="A427" s="2">
        <f>IF($D427="","","INV-"&amp;$B427&amp;"-"&amp;$C427&amp;"-"&amp;TEXT(ROW(A423),"0000"))</f>
        <v/>
      </c>
      <c r="B427" s="2">
        <f>Setup!$B$5</f>
        <v/>
      </c>
      <c r="C427" s="2">
        <f>Setup!$B$6</f>
        <v/>
      </c>
      <c r="D427" s="2">
        <f>IFERROR(INDEX(Units_Owners!$A$5:$A$504,ROWS($A$5:A427)),"")</f>
        <v/>
      </c>
      <c r="E427" s="2">
        <f>IF($D427="","",IFERROR(INDEX(Units_Owners!$B$5:$B$504,MATCH($D427,Units_Owners!$A$5:$A$504,0)),""))</f>
        <v/>
      </c>
      <c r="F427" s="2">
        <f>IF($D427="","",IFERROR(INDEX(Units_Owners!$C$5:$C$504,MATCH($D427,Units_Owners!$A$5:$A$504,0)),""))</f>
        <v/>
      </c>
      <c r="G427" s="2">
        <f>IF($D427="","",IFERROR(INDEX(Units_Owners!$D$5:$D$504,MATCH($D427,Units_Owners!$A$5:$A$504,0)),""))</f>
        <v/>
      </c>
      <c r="H427" s="12">
        <f>Setup!$B$7</f>
        <v/>
      </c>
      <c r="I427" s="12">
        <f>Setup!$B$8</f>
        <v/>
      </c>
      <c r="J427" s="13">
        <f>IF($D427="","",IFERROR(INDEX(Units_Owners!$J$5:$J$504,MATCH($D427,Units_Owners!$A$5:$A$504,0)),0)+SUMIFS(Ledger!$F:$F,Ledger!$B:$B,$D427,Ledger!$D:$D,"&lt;"&amp;$H427)-SUMIFS(Ledger!$G:$G,Ledger!$B:$B,$D427,Ledger!$D:$D,"&lt;"&amp;$H427))</f>
        <v/>
      </c>
      <c r="K427" s="13">
        <f>IF($D427="","",IFERROR(INDEX(Units_Owners!$H$5:$H$504,MATCH($D427,Units_Owners!$A$5:$A$504,0)),Setup!$B$10))</f>
        <v/>
      </c>
      <c r="L427" s="13">
        <f>IF($D427="","",Setup!$B$11)</f>
        <v/>
      </c>
      <c r="M427" s="13">
        <f>IF($D427="","",IF(AND(TODAY()&gt;=Setup!$B$9,$P427&gt;0),Setup!$B$12,0))</f>
        <v/>
      </c>
      <c r="N427" s="13">
        <f>IF($D427="","",SUM($J427:$M427))</f>
        <v/>
      </c>
      <c r="O427" s="13">
        <f>IF($A427="","",SUMIFS(Payments!$F:$F,Payments!$D:$D,$A427))</f>
        <v/>
      </c>
      <c r="P427" s="13">
        <f>IF($D427="","",MAX(0,$N427-$O427))</f>
        <v/>
      </c>
      <c r="Q427" s="2">
        <f>IF($D427="","",IF(IFERROR(INDEX(Units_Owners!$I$5:$I$504,MATCH($D427,Units_Owners!$A$5:$A$504,0)),"No")&lt;&gt;"Yes","Skip - Inactive",IF($P427=0,"Paid",IF(TODAY()&gt;$I427,"Past Due","Open"))))</f>
        <v/>
      </c>
      <c r="R427" s="12" t="n"/>
      <c r="S427" s="2" t="n"/>
    </row>
    <row r="428">
      <c r="A428" s="2">
        <f>IF($D428="","","INV-"&amp;$B428&amp;"-"&amp;$C428&amp;"-"&amp;TEXT(ROW(A424),"0000"))</f>
        <v/>
      </c>
      <c r="B428" s="2">
        <f>Setup!$B$5</f>
        <v/>
      </c>
      <c r="C428" s="2">
        <f>Setup!$B$6</f>
        <v/>
      </c>
      <c r="D428" s="2">
        <f>IFERROR(INDEX(Units_Owners!$A$5:$A$504,ROWS($A$5:A428)),"")</f>
        <v/>
      </c>
      <c r="E428" s="2">
        <f>IF($D428="","",IFERROR(INDEX(Units_Owners!$B$5:$B$504,MATCH($D428,Units_Owners!$A$5:$A$504,0)),""))</f>
        <v/>
      </c>
      <c r="F428" s="2">
        <f>IF($D428="","",IFERROR(INDEX(Units_Owners!$C$5:$C$504,MATCH($D428,Units_Owners!$A$5:$A$504,0)),""))</f>
        <v/>
      </c>
      <c r="G428" s="2">
        <f>IF($D428="","",IFERROR(INDEX(Units_Owners!$D$5:$D$504,MATCH($D428,Units_Owners!$A$5:$A$504,0)),""))</f>
        <v/>
      </c>
      <c r="H428" s="12">
        <f>Setup!$B$7</f>
        <v/>
      </c>
      <c r="I428" s="12">
        <f>Setup!$B$8</f>
        <v/>
      </c>
      <c r="J428" s="13">
        <f>IF($D428="","",IFERROR(INDEX(Units_Owners!$J$5:$J$504,MATCH($D428,Units_Owners!$A$5:$A$504,0)),0)+SUMIFS(Ledger!$F:$F,Ledger!$B:$B,$D428,Ledger!$D:$D,"&lt;"&amp;$H428)-SUMIFS(Ledger!$G:$G,Ledger!$B:$B,$D428,Ledger!$D:$D,"&lt;"&amp;$H428))</f>
        <v/>
      </c>
      <c r="K428" s="13">
        <f>IF($D428="","",IFERROR(INDEX(Units_Owners!$H$5:$H$504,MATCH($D428,Units_Owners!$A$5:$A$504,0)),Setup!$B$10))</f>
        <v/>
      </c>
      <c r="L428" s="13">
        <f>IF($D428="","",Setup!$B$11)</f>
        <v/>
      </c>
      <c r="M428" s="13">
        <f>IF($D428="","",IF(AND(TODAY()&gt;=Setup!$B$9,$P428&gt;0),Setup!$B$12,0))</f>
        <v/>
      </c>
      <c r="N428" s="13">
        <f>IF($D428="","",SUM($J428:$M428))</f>
        <v/>
      </c>
      <c r="O428" s="13">
        <f>IF($A428="","",SUMIFS(Payments!$F:$F,Payments!$D:$D,$A428))</f>
        <v/>
      </c>
      <c r="P428" s="13">
        <f>IF($D428="","",MAX(0,$N428-$O428))</f>
        <v/>
      </c>
      <c r="Q428" s="2">
        <f>IF($D428="","",IF(IFERROR(INDEX(Units_Owners!$I$5:$I$504,MATCH($D428,Units_Owners!$A$5:$A$504,0)),"No")&lt;&gt;"Yes","Skip - Inactive",IF($P428=0,"Paid",IF(TODAY()&gt;$I428,"Past Due","Open"))))</f>
        <v/>
      </c>
      <c r="R428" s="14" t="n"/>
      <c r="S428" s="6" t="n"/>
    </row>
    <row r="429">
      <c r="A429" s="2">
        <f>IF($D429="","","INV-"&amp;$B429&amp;"-"&amp;$C429&amp;"-"&amp;TEXT(ROW(A425),"0000"))</f>
        <v/>
      </c>
      <c r="B429" s="2">
        <f>Setup!$B$5</f>
        <v/>
      </c>
      <c r="C429" s="2">
        <f>Setup!$B$6</f>
        <v/>
      </c>
      <c r="D429" s="2">
        <f>IFERROR(INDEX(Units_Owners!$A$5:$A$504,ROWS($A$5:A429)),"")</f>
        <v/>
      </c>
      <c r="E429" s="2">
        <f>IF($D429="","",IFERROR(INDEX(Units_Owners!$B$5:$B$504,MATCH($D429,Units_Owners!$A$5:$A$504,0)),""))</f>
        <v/>
      </c>
      <c r="F429" s="2">
        <f>IF($D429="","",IFERROR(INDEX(Units_Owners!$C$5:$C$504,MATCH($D429,Units_Owners!$A$5:$A$504,0)),""))</f>
        <v/>
      </c>
      <c r="G429" s="2">
        <f>IF($D429="","",IFERROR(INDEX(Units_Owners!$D$5:$D$504,MATCH($D429,Units_Owners!$A$5:$A$504,0)),""))</f>
        <v/>
      </c>
      <c r="H429" s="12">
        <f>Setup!$B$7</f>
        <v/>
      </c>
      <c r="I429" s="12">
        <f>Setup!$B$8</f>
        <v/>
      </c>
      <c r="J429" s="13">
        <f>IF($D429="","",IFERROR(INDEX(Units_Owners!$J$5:$J$504,MATCH($D429,Units_Owners!$A$5:$A$504,0)),0)+SUMIFS(Ledger!$F:$F,Ledger!$B:$B,$D429,Ledger!$D:$D,"&lt;"&amp;$H429)-SUMIFS(Ledger!$G:$G,Ledger!$B:$B,$D429,Ledger!$D:$D,"&lt;"&amp;$H429))</f>
        <v/>
      </c>
      <c r="K429" s="13">
        <f>IF($D429="","",IFERROR(INDEX(Units_Owners!$H$5:$H$504,MATCH($D429,Units_Owners!$A$5:$A$504,0)),Setup!$B$10))</f>
        <v/>
      </c>
      <c r="L429" s="13">
        <f>IF($D429="","",Setup!$B$11)</f>
        <v/>
      </c>
      <c r="M429" s="13">
        <f>IF($D429="","",IF(AND(TODAY()&gt;=Setup!$B$9,$P429&gt;0),Setup!$B$12,0))</f>
        <v/>
      </c>
      <c r="N429" s="13">
        <f>IF($D429="","",SUM($J429:$M429))</f>
        <v/>
      </c>
      <c r="O429" s="13">
        <f>IF($A429="","",SUMIFS(Payments!$F:$F,Payments!$D:$D,$A429))</f>
        <v/>
      </c>
      <c r="P429" s="13">
        <f>IF($D429="","",MAX(0,$N429-$O429))</f>
        <v/>
      </c>
      <c r="Q429" s="2">
        <f>IF($D429="","",IF(IFERROR(INDEX(Units_Owners!$I$5:$I$504,MATCH($D429,Units_Owners!$A$5:$A$504,0)),"No")&lt;&gt;"Yes","Skip - Inactive",IF($P429=0,"Paid",IF(TODAY()&gt;$I429,"Past Due","Open"))))</f>
        <v/>
      </c>
      <c r="R429" s="12" t="n"/>
      <c r="S429" s="2" t="n"/>
    </row>
    <row r="430">
      <c r="A430" s="2">
        <f>IF($D430="","","INV-"&amp;$B430&amp;"-"&amp;$C430&amp;"-"&amp;TEXT(ROW(A426),"0000"))</f>
        <v/>
      </c>
      <c r="B430" s="2">
        <f>Setup!$B$5</f>
        <v/>
      </c>
      <c r="C430" s="2">
        <f>Setup!$B$6</f>
        <v/>
      </c>
      <c r="D430" s="2">
        <f>IFERROR(INDEX(Units_Owners!$A$5:$A$504,ROWS($A$5:A430)),"")</f>
        <v/>
      </c>
      <c r="E430" s="2">
        <f>IF($D430="","",IFERROR(INDEX(Units_Owners!$B$5:$B$504,MATCH($D430,Units_Owners!$A$5:$A$504,0)),""))</f>
        <v/>
      </c>
      <c r="F430" s="2">
        <f>IF($D430="","",IFERROR(INDEX(Units_Owners!$C$5:$C$504,MATCH($D430,Units_Owners!$A$5:$A$504,0)),""))</f>
        <v/>
      </c>
      <c r="G430" s="2">
        <f>IF($D430="","",IFERROR(INDEX(Units_Owners!$D$5:$D$504,MATCH($D430,Units_Owners!$A$5:$A$504,0)),""))</f>
        <v/>
      </c>
      <c r="H430" s="12">
        <f>Setup!$B$7</f>
        <v/>
      </c>
      <c r="I430" s="12">
        <f>Setup!$B$8</f>
        <v/>
      </c>
      <c r="J430" s="13">
        <f>IF($D430="","",IFERROR(INDEX(Units_Owners!$J$5:$J$504,MATCH($D430,Units_Owners!$A$5:$A$504,0)),0)+SUMIFS(Ledger!$F:$F,Ledger!$B:$B,$D430,Ledger!$D:$D,"&lt;"&amp;$H430)-SUMIFS(Ledger!$G:$G,Ledger!$B:$B,$D430,Ledger!$D:$D,"&lt;"&amp;$H430))</f>
        <v/>
      </c>
      <c r="K430" s="13">
        <f>IF($D430="","",IFERROR(INDEX(Units_Owners!$H$5:$H$504,MATCH($D430,Units_Owners!$A$5:$A$504,0)),Setup!$B$10))</f>
        <v/>
      </c>
      <c r="L430" s="13">
        <f>IF($D430="","",Setup!$B$11)</f>
        <v/>
      </c>
      <c r="M430" s="13">
        <f>IF($D430="","",IF(AND(TODAY()&gt;=Setup!$B$9,$P430&gt;0),Setup!$B$12,0))</f>
        <v/>
      </c>
      <c r="N430" s="13">
        <f>IF($D430="","",SUM($J430:$M430))</f>
        <v/>
      </c>
      <c r="O430" s="13">
        <f>IF($A430="","",SUMIFS(Payments!$F:$F,Payments!$D:$D,$A430))</f>
        <v/>
      </c>
      <c r="P430" s="13">
        <f>IF($D430="","",MAX(0,$N430-$O430))</f>
        <v/>
      </c>
      <c r="Q430" s="2">
        <f>IF($D430="","",IF(IFERROR(INDEX(Units_Owners!$I$5:$I$504,MATCH($D430,Units_Owners!$A$5:$A$504,0)),"No")&lt;&gt;"Yes","Skip - Inactive",IF($P430=0,"Paid",IF(TODAY()&gt;$I430,"Past Due","Open"))))</f>
        <v/>
      </c>
      <c r="R430" s="14" t="n"/>
      <c r="S430" s="6" t="n"/>
    </row>
    <row r="431">
      <c r="A431" s="2">
        <f>IF($D431="","","INV-"&amp;$B431&amp;"-"&amp;$C431&amp;"-"&amp;TEXT(ROW(A427),"0000"))</f>
        <v/>
      </c>
      <c r="B431" s="2">
        <f>Setup!$B$5</f>
        <v/>
      </c>
      <c r="C431" s="2">
        <f>Setup!$B$6</f>
        <v/>
      </c>
      <c r="D431" s="2">
        <f>IFERROR(INDEX(Units_Owners!$A$5:$A$504,ROWS($A$5:A431)),"")</f>
        <v/>
      </c>
      <c r="E431" s="2">
        <f>IF($D431="","",IFERROR(INDEX(Units_Owners!$B$5:$B$504,MATCH($D431,Units_Owners!$A$5:$A$504,0)),""))</f>
        <v/>
      </c>
      <c r="F431" s="2">
        <f>IF($D431="","",IFERROR(INDEX(Units_Owners!$C$5:$C$504,MATCH($D431,Units_Owners!$A$5:$A$504,0)),""))</f>
        <v/>
      </c>
      <c r="G431" s="2">
        <f>IF($D431="","",IFERROR(INDEX(Units_Owners!$D$5:$D$504,MATCH($D431,Units_Owners!$A$5:$A$504,0)),""))</f>
        <v/>
      </c>
      <c r="H431" s="12">
        <f>Setup!$B$7</f>
        <v/>
      </c>
      <c r="I431" s="12">
        <f>Setup!$B$8</f>
        <v/>
      </c>
      <c r="J431" s="13">
        <f>IF($D431="","",IFERROR(INDEX(Units_Owners!$J$5:$J$504,MATCH($D431,Units_Owners!$A$5:$A$504,0)),0)+SUMIFS(Ledger!$F:$F,Ledger!$B:$B,$D431,Ledger!$D:$D,"&lt;"&amp;$H431)-SUMIFS(Ledger!$G:$G,Ledger!$B:$B,$D431,Ledger!$D:$D,"&lt;"&amp;$H431))</f>
        <v/>
      </c>
      <c r="K431" s="13">
        <f>IF($D431="","",IFERROR(INDEX(Units_Owners!$H$5:$H$504,MATCH($D431,Units_Owners!$A$5:$A$504,0)),Setup!$B$10))</f>
        <v/>
      </c>
      <c r="L431" s="13">
        <f>IF($D431="","",Setup!$B$11)</f>
        <v/>
      </c>
      <c r="M431" s="13">
        <f>IF($D431="","",IF(AND(TODAY()&gt;=Setup!$B$9,$P431&gt;0),Setup!$B$12,0))</f>
        <v/>
      </c>
      <c r="N431" s="13">
        <f>IF($D431="","",SUM($J431:$M431))</f>
        <v/>
      </c>
      <c r="O431" s="13">
        <f>IF($A431="","",SUMIFS(Payments!$F:$F,Payments!$D:$D,$A431))</f>
        <v/>
      </c>
      <c r="P431" s="13">
        <f>IF($D431="","",MAX(0,$N431-$O431))</f>
        <v/>
      </c>
      <c r="Q431" s="2">
        <f>IF($D431="","",IF(IFERROR(INDEX(Units_Owners!$I$5:$I$504,MATCH($D431,Units_Owners!$A$5:$A$504,0)),"No")&lt;&gt;"Yes","Skip - Inactive",IF($P431=0,"Paid",IF(TODAY()&gt;$I431,"Past Due","Open"))))</f>
        <v/>
      </c>
      <c r="R431" s="12" t="n"/>
      <c r="S431" s="2" t="n"/>
    </row>
    <row r="432">
      <c r="A432" s="2">
        <f>IF($D432="","","INV-"&amp;$B432&amp;"-"&amp;$C432&amp;"-"&amp;TEXT(ROW(A428),"0000"))</f>
        <v/>
      </c>
      <c r="B432" s="2">
        <f>Setup!$B$5</f>
        <v/>
      </c>
      <c r="C432" s="2">
        <f>Setup!$B$6</f>
        <v/>
      </c>
      <c r="D432" s="2">
        <f>IFERROR(INDEX(Units_Owners!$A$5:$A$504,ROWS($A$5:A432)),"")</f>
        <v/>
      </c>
      <c r="E432" s="2">
        <f>IF($D432="","",IFERROR(INDEX(Units_Owners!$B$5:$B$504,MATCH($D432,Units_Owners!$A$5:$A$504,0)),""))</f>
        <v/>
      </c>
      <c r="F432" s="2">
        <f>IF($D432="","",IFERROR(INDEX(Units_Owners!$C$5:$C$504,MATCH($D432,Units_Owners!$A$5:$A$504,0)),""))</f>
        <v/>
      </c>
      <c r="G432" s="2">
        <f>IF($D432="","",IFERROR(INDEX(Units_Owners!$D$5:$D$504,MATCH($D432,Units_Owners!$A$5:$A$504,0)),""))</f>
        <v/>
      </c>
      <c r="H432" s="12">
        <f>Setup!$B$7</f>
        <v/>
      </c>
      <c r="I432" s="12">
        <f>Setup!$B$8</f>
        <v/>
      </c>
      <c r="J432" s="13">
        <f>IF($D432="","",IFERROR(INDEX(Units_Owners!$J$5:$J$504,MATCH($D432,Units_Owners!$A$5:$A$504,0)),0)+SUMIFS(Ledger!$F:$F,Ledger!$B:$B,$D432,Ledger!$D:$D,"&lt;"&amp;$H432)-SUMIFS(Ledger!$G:$G,Ledger!$B:$B,$D432,Ledger!$D:$D,"&lt;"&amp;$H432))</f>
        <v/>
      </c>
      <c r="K432" s="13">
        <f>IF($D432="","",IFERROR(INDEX(Units_Owners!$H$5:$H$504,MATCH($D432,Units_Owners!$A$5:$A$504,0)),Setup!$B$10))</f>
        <v/>
      </c>
      <c r="L432" s="13">
        <f>IF($D432="","",Setup!$B$11)</f>
        <v/>
      </c>
      <c r="M432" s="13">
        <f>IF($D432="","",IF(AND(TODAY()&gt;=Setup!$B$9,$P432&gt;0),Setup!$B$12,0))</f>
        <v/>
      </c>
      <c r="N432" s="13">
        <f>IF($D432="","",SUM($J432:$M432))</f>
        <v/>
      </c>
      <c r="O432" s="13">
        <f>IF($A432="","",SUMIFS(Payments!$F:$F,Payments!$D:$D,$A432))</f>
        <v/>
      </c>
      <c r="P432" s="13">
        <f>IF($D432="","",MAX(0,$N432-$O432))</f>
        <v/>
      </c>
      <c r="Q432" s="2">
        <f>IF($D432="","",IF(IFERROR(INDEX(Units_Owners!$I$5:$I$504,MATCH($D432,Units_Owners!$A$5:$A$504,0)),"No")&lt;&gt;"Yes","Skip - Inactive",IF($P432=0,"Paid",IF(TODAY()&gt;$I432,"Past Due","Open"))))</f>
        <v/>
      </c>
      <c r="R432" s="14" t="n"/>
      <c r="S432" s="6" t="n"/>
    </row>
    <row r="433">
      <c r="A433" s="2">
        <f>IF($D433="","","INV-"&amp;$B433&amp;"-"&amp;$C433&amp;"-"&amp;TEXT(ROW(A429),"0000"))</f>
        <v/>
      </c>
      <c r="B433" s="2">
        <f>Setup!$B$5</f>
        <v/>
      </c>
      <c r="C433" s="2">
        <f>Setup!$B$6</f>
        <v/>
      </c>
      <c r="D433" s="2">
        <f>IFERROR(INDEX(Units_Owners!$A$5:$A$504,ROWS($A$5:A433)),"")</f>
        <v/>
      </c>
      <c r="E433" s="2">
        <f>IF($D433="","",IFERROR(INDEX(Units_Owners!$B$5:$B$504,MATCH($D433,Units_Owners!$A$5:$A$504,0)),""))</f>
        <v/>
      </c>
      <c r="F433" s="2">
        <f>IF($D433="","",IFERROR(INDEX(Units_Owners!$C$5:$C$504,MATCH($D433,Units_Owners!$A$5:$A$504,0)),""))</f>
        <v/>
      </c>
      <c r="G433" s="2">
        <f>IF($D433="","",IFERROR(INDEX(Units_Owners!$D$5:$D$504,MATCH($D433,Units_Owners!$A$5:$A$504,0)),""))</f>
        <v/>
      </c>
      <c r="H433" s="12">
        <f>Setup!$B$7</f>
        <v/>
      </c>
      <c r="I433" s="12">
        <f>Setup!$B$8</f>
        <v/>
      </c>
      <c r="J433" s="13">
        <f>IF($D433="","",IFERROR(INDEX(Units_Owners!$J$5:$J$504,MATCH($D433,Units_Owners!$A$5:$A$504,0)),0)+SUMIFS(Ledger!$F:$F,Ledger!$B:$B,$D433,Ledger!$D:$D,"&lt;"&amp;$H433)-SUMIFS(Ledger!$G:$G,Ledger!$B:$B,$D433,Ledger!$D:$D,"&lt;"&amp;$H433))</f>
        <v/>
      </c>
      <c r="K433" s="13">
        <f>IF($D433="","",IFERROR(INDEX(Units_Owners!$H$5:$H$504,MATCH($D433,Units_Owners!$A$5:$A$504,0)),Setup!$B$10))</f>
        <v/>
      </c>
      <c r="L433" s="13">
        <f>IF($D433="","",Setup!$B$11)</f>
        <v/>
      </c>
      <c r="M433" s="13">
        <f>IF($D433="","",IF(AND(TODAY()&gt;=Setup!$B$9,$P433&gt;0),Setup!$B$12,0))</f>
        <v/>
      </c>
      <c r="N433" s="13">
        <f>IF($D433="","",SUM($J433:$M433))</f>
        <v/>
      </c>
      <c r="O433" s="13">
        <f>IF($A433="","",SUMIFS(Payments!$F:$F,Payments!$D:$D,$A433))</f>
        <v/>
      </c>
      <c r="P433" s="13">
        <f>IF($D433="","",MAX(0,$N433-$O433))</f>
        <v/>
      </c>
      <c r="Q433" s="2">
        <f>IF($D433="","",IF(IFERROR(INDEX(Units_Owners!$I$5:$I$504,MATCH($D433,Units_Owners!$A$5:$A$504,0)),"No")&lt;&gt;"Yes","Skip - Inactive",IF($P433=0,"Paid",IF(TODAY()&gt;$I433,"Past Due","Open"))))</f>
        <v/>
      </c>
      <c r="R433" s="12" t="n"/>
      <c r="S433" s="2" t="n"/>
    </row>
    <row r="434">
      <c r="A434" s="2">
        <f>IF($D434="","","INV-"&amp;$B434&amp;"-"&amp;$C434&amp;"-"&amp;TEXT(ROW(A430),"0000"))</f>
        <v/>
      </c>
      <c r="B434" s="2">
        <f>Setup!$B$5</f>
        <v/>
      </c>
      <c r="C434" s="2">
        <f>Setup!$B$6</f>
        <v/>
      </c>
      <c r="D434" s="2">
        <f>IFERROR(INDEX(Units_Owners!$A$5:$A$504,ROWS($A$5:A434)),"")</f>
        <v/>
      </c>
      <c r="E434" s="2">
        <f>IF($D434="","",IFERROR(INDEX(Units_Owners!$B$5:$B$504,MATCH($D434,Units_Owners!$A$5:$A$504,0)),""))</f>
        <v/>
      </c>
      <c r="F434" s="2">
        <f>IF($D434="","",IFERROR(INDEX(Units_Owners!$C$5:$C$504,MATCH($D434,Units_Owners!$A$5:$A$504,0)),""))</f>
        <v/>
      </c>
      <c r="G434" s="2">
        <f>IF($D434="","",IFERROR(INDEX(Units_Owners!$D$5:$D$504,MATCH($D434,Units_Owners!$A$5:$A$504,0)),""))</f>
        <v/>
      </c>
      <c r="H434" s="12">
        <f>Setup!$B$7</f>
        <v/>
      </c>
      <c r="I434" s="12">
        <f>Setup!$B$8</f>
        <v/>
      </c>
      <c r="J434" s="13">
        <f>IF($D434="","",IFERROR(INDEX(Units_Owners!$J$5:$J$504,MATCH($D434,Units_Owners!$A$5:$A$504,0)),0)+SUMIFS(Ledger!$F:$F,Ledger!$B:$B,$D434,Ledger!$D:$D,"&lt;"&amp;$H434)-SUMIFS(Ledger!$G:$G,Ledger!$B:$B,$D434,Ledger!$D:$D,"&lt;"&amp;$H434))</f>
        <v/>
      </c>
      <c r="K434" s="13">
        <f>IF($D434="","",IFERROR(INDEX(Units_Owners!$H$5:$H$504,MATCH($D434,Units_Owners!$A$5:$A$504,0)),Setup!$B$10))</f>
        <v/>
      </c>
      <c r="L434" s="13">
        <f>IF($D434="","",Setup!$B$11)</f>
        <v/>
      </c>
      <c r="M434" s="13">
        <f>IF($D434="","",IF(AND(TODAY()&gt;=Setup!$B$9,$P434&gt;0),Setup!$B$12,0))</f>
        <v/>
      </c>
      <c r="N434" s="13">
        <f>IF($D434="","",SUM($J434:$M434))</f>
        <v/>
      </c>
      <c r="O434" s="13">
        <f>IF($A434="","",SUMIFS(Payments!$F:$F,Payments!$D:$D,$A434))</f>
        <v/>
      </c>
      <c r="P434" s="13">
        <f>IF($D434="","",MAX(0,$N434-$O434))</f>
        <v/>
      </c>
      <c r="Q434" s="2">
        <f>IF($D434="","",IF(IFERROR(INDEX(Units_Owners!$I$5:$I$504,MATCH($D434,Units_Owners!$A$5:$A$504,0)),"No")&lt;&gt;"Yes","Skip - Inactive",IF($P434=0,"Paid",IF(TODAY()&gt;$I434,"Past Due","Open"))))</f>
        <v/>
      </c>
      <c r="R434" s="14" t="n"/>
      <c r="S434" s="6" t="n"/>
    </row>
    <row r="435">
      <c r="A435" s="2">
        <f>IF($D435="","","INV-"&amp;$B435&amp;"-"&amp;$C435&amp;"-"&amp;TEXT(ROW(A431),"0000"))</f>
        <v/>
      </c>
      <c r="B435" s="2">
        <f>Setup!$B$5</f>
        <v/>
      </c>
      <c r="C435" s="2">
        <f>Setup!$B$6</f>
        <v/>
      </c>
      <c r="D435" s="2">
        <f>IFERROR(INDEX(Units_Owners!$A$5:$A$504,ROWS($A$5:A435)),"")</f>
        <v/>
      </c>
      <c r="E435" s="2">
        <f>IF($D435="","",IFERROR(INDEX(Units_Owners!$B$5:$B$504,MATCH($D435,Units_Owners!$A$5:$A$504,0)),""))</f>
        <v/>
      </c>
      <c r="F435" s="2">
        <f>IF($D435="","",IFERROR(INDEX(Units_Owners!$C$5:$C$504,MATCH($D435,Units_Owners!$A$5:$A$504,0)),""))</f>
        <v/>
      </c>
      <c r="G435" s="2">
        <f>IF($D435="","",IFERROR(INDEX(Units_Owners!$D$5:$D$504,MATCH($D435,Units_Owners!$A$5:$A$504,0)),""))</f>
        <v/>
      </c>
      <c r="H435" s="12">
        <f>Setup!$B$7</f>
        <v/>
      </c>
      <c r="I435" s="12">
        <f>Setup!$B$8</f>
        <v/>
      </c>
      <c r="J435" s="13">
        <f>IF($D435="","",IFERROR(INDEX(Units_Owners!$J$5:$J$504,MATCH($D435,Units_Owners!$A$5:$A$504,0)),0)+SUMIFS(Ledger!$F:$F,Ledger!$B:$B,$D435,Ledger!$D:$D,"&lt;"&amp;$H435)-SUMIFS(Ledger!$G:$G,Ledger!$B:$B,$D435,Ledger!$D:$D,"&lt;"&amp;$H435))</f>
        <v/>
      </c>
      <c r="K435" s="13">
        <f>IF($D435="","",IFERROR(INDEX(Units_Owners!$H$5:$H$504,MATCH($D435,Units_Owners!$A$5:$A$504,0)),Setup!$B$10))</f>
        <v/>
      </c>
      <c r="L435" s="13">
        <f>IF($D435="","",Setup!$B$11)</f>
        <v/>
      </c>
      <c r="M435" s="13">
        <f>IF($D435="","",IF(AND(TODAY()&gt;=Setup!$B$9,$P435&gt;0),Setup!$B$12,0))</f>
        <v/>
      </c>
      <c r="N435" s="13">
        <f>IF($D435="","",SUM($J435:$M435))</f>
        <v/>
      </c>
      <c r="O435" s="13">
        <f>IF($A435="","",SUMIFS(Payments!$F:$F,Payments!$D:$D,$A435))</f>
        <v/>
      </c>
      <c r="P435" s="13">
        <f>IF($D435="","",MAX(0,$N435-$O435))</f>
        <v/>
      </c>
      <c r="Q435" s="2">
        <f>IF($D435="","",IF(IFERROR(INDEX(Units_Owners!$I$5:$I$504,MATCH($D435,Units_Owners!$A$5:$A$504,0)),"No")&lt;&gt;"Yes","Skip - Inactive",IF($P435=0,"Paid",IF(TODAY()&gt;$I435,"Past Due","Open"))))</f>
        <v/>
      </c>
      <c r="R435" s="12" t="n"/>
      <c r="S435" s="2" t="n"/>
    </row>
    <row r="436">
      <c r="A436" s="2">
        <f>IF($D436="","","INV-"&amp;$B436&amp;"-"&amp;$C436&amp;"-"&amp;TEXT(ROW(A432),"0000"))</f>
        <v/>
      </c>
      <c r="B436" s="2">
        <f>Setup!$B$5</f>
        <v/>
      </c>
      <c r="C436" s="2">
        <f>Setup!$B$6</f>
        <v/>
      </c>
      <c r="D436" s="2">
        <f>IFERROR(INDEX(Units_Owners!$A$5:$A$504,ROWS($A$5:A436)),"")</f>
        <v/>
      </c>
      <c r="E436" s="2">
        <f>IF($D436="","",IFERROR(INDEX(Units_Owners!$B$5:$B$504,MATCH($D436,Units_Owners!$A$5:$A$504,0)),""))</f>
        <v/>
      </c>
      <c r="F436" s="2">
        <f>IF($D436="","",IFERROR(INDEX(Units_Owners!$C$5:$C$504,MATCH($D436,Units_Owners!$A$5:$A$504,0)),""))</f>
        <v/>
      </c>
      <c r="G436" s="2">
        <f>IF($D436="","",IFERROR(INDEX(Units_Owners!$D$5:$D$504,MATCH($D436,Units_Owners!$A$5:$A$504,0)),""))</f>
        <v/>
      </c>
      <c r="H436" s="12">
        <f>Setup!$B$7</f>
        <v/>
      </c>
      <c r="I436" s="12">
        <f>Setup!$B$8</f>
        <v/>
      </c>
      <c r="J436" s="13">
        <f>IF($D436="","",IFERROR(INDEX(Units_Owners!$J$5:$J$504,MATCH($D436,Units_Owners!$A$5:$A$504,0)),0)+SUMIFS(Ledger!$F:$F,Ledger!$B:$B,$D436,Ledger!$D:$D,"&lt;"&amp;$H436)-SUMIFS(Ledger!$G:$G,Ledger!$B:$B,$D436,Ledger!$D:$D,"&lt;"&amp;$H436))</f>
        <v/>
      </c>
      <c r="K436" s="13">
        <f>IF($D436="","",IFERROR(INDEX(Units_Owners!$H$5:$H$504,MATCH($D436,Units_Owners!$A$5:$A$504,0)),Setup!$B$10))</f>
        <v/>
      </c>
      <c r="L436" s="13">
        <f>IF($D436="","",Setup!$B$11)</f>
        <v/>
      </c>
      <c r="M436" s="13">
        <f>IF($D436="","",IF(AND(TODAY()&gt;=Setup!$B$9,$P436&gt;0),Setup!$B$12,0))</f>
        <v/>
      </c>
      <c r="N436" s="13">
        <f>IF($D436="","",SUM($J436:$M436))</f>
        <v/>
      </c>
      <c r="O436" s="13">
        <f>IF($A436="","",SUMIFS(Payments!$F:$F,Payments!$D:$D,$A436))</f>
        <v/>
      </c>
      <c r="P436" s="13">
        <f>IF($D436="","",MAX(0,$N436-$O436))</f>
        <v/>
      </c>
      <c r="Q436" s="2">
        <f>IF($D436="","",IF(IFERROR(INDEX(Units_Owners!$I$5:$I$504,MATCH($D436,Units_Owners!$A$5:$A$504,0)),"No")&lt;&gt;"Yes","Skip - Inactive",IF($P436=0,"Paid",IF(TODAY()&gt;$I436,"Past Due","Open"))))</f>
        <v/>
      </c>
      <c r="R436" s="14" t="n"/>
      <c r="S436" s="6" t="n"/>
    </row>
    <row r="437">
      <c r="A437" s="2">
        <f>IF($D437="","","INV-"&amp;$B437&amp;"-"&amp;$C437&amp;"-"&amp;TEXT(ROW(A433),"0000"))</f>
        <v/>
      </c>
      <c r="B437" s="2">
        <f>Setup!$B$5</f>
        <v/>
      </c>
      <c r="C437" s="2">
        <f>Setup!$B$6</f>
        <v/>
      </c>
      <c r="D437" s="2">
        <f>IFERROR(INDEX(Units_Owners!$A$5:$A$504,ROWS($A$5:A437)),"")</f>
        <v/>
      </c>
      <c r="E437" s="2">
        <f>IF($D437="","",IFERROR(INDEX(Units_Owners!$B$5:$B$504,MATCH($D437,Units_Owners!$A$5:$A$504,0)),""))</f>
        <v/>
      </c>
      <c r="F437" s="2">
        <f>IF($D437="","",IFERROR(INDEX(Units_Owners!$C$5:$C$504,MATCH($D437,Units_Owners!$A$5:$A$504,0)),""))</f>
        <v/>
      </c>
      <c r="G437" s="2">
        <f>IF($D437="","",IFERROR(INDEX(Units_Owners!$D$5:$D$504,MATCH($D437,Units_Owners!$A$5:$A$504,0)),""))</f>
        <v/>
      </c>
      <c r="H437" s="12">
        <f>Setup!$B$7</f>
        <v/>
      </c>
      <c r="I437" s="12">
        <f>Setup!$B$8</f>
        <v/>
      </c>
      <c r="J437" s="13">
        <f>IF($D437="","",IFERROR(INDEX(Units_Owners!$J$5:$J$504,MATCH($D437,Units_Owners!$A$5:$A$504,0)),0)+SUMIFS(Ledger!$F:$F,Ledger!$B:$B,$D437,Ledger!$D:$D,"&lt;"&amp;$H437)-SUMIFS(Ledger!$G:$G,Ledger!$B:$B,$D437,Ledger!$D:$D,"&lt;"&amp;$H437))</f>
        <v/>
      </c>
      <c r="K437" s="13">
        <f>IF($D437="","",IFERROR(INDEX(Units_Owners!$H$5:$H$504,MATCH($D437,Units_Owners!$A$5:$A$504,0)),Setup!$B$10))</f>
        <v/>
      </c>
      <c r="L437" s="13">
        <f>IF($D437="","",Setup!$B$11)</f>
        <v/>
      </c>
      <c r="M437" s="13">
        <f>IF($D437="","",IF(AND(TODAY()&gt;=Setup!$B$9,$P437&gt;0),Setup!$B$12,0))</f>
        <v/>
      </c>
      <c r="N437" s="13">
        <f>IF($D437="","",SUM($J437:$M437))</f>
        <v/>
      </c>
      <c r="O437" s="13">
        <f>IF($A437="","",SUMIFS(Payments!$F:$F,Payments!$D:$D,$A437))</f>
        <v/>
      </c>
      <c r="P437" s="13">
        <f>IF($D437="","",MAX(0,$N437-$O437))</f>
        <v/>
      </c>
      <c r="Q437" s="2">
        <f>IF($D437="","",IF(IFERROR(INDEX(Units_Owners!$I$5:$I$504,MATCH($D437,Units_Owners!$A$5:$A$504,0)),"No")&lt;&gt;"Yes","Skip - Inactive",IF($P437=0,"Paid",IF(TODAY()&gt;$I437,"Past Due","Open"))))</f>
        <v/>
      </c>
      <c r="R437" s="12" t="n"/>
      <c r="S437" s="2" t="n"/>
    </row>
    <row r="438">
      <c r="A438" s="2">
        <f>IF($D438="","","INV-"&amp;$B438&amp;"-"&amp;$C438&amp;"-"&amp;TEXT(ROW(A434),"0000"))</f>
        <v/>
      </c>
      <c r="B438" s="2">
        <f>Setup!$B$5</f>
        <v/>
      </c>
      <c r="C438" s="2">
        <f>Setup!$B$6</f>
        <v/>
      </c>
      <c r="D438" s="2">
        <f>IFERROR(INDEX(Units_Owners!$A$5:$A$504,ROWS($A$5:A438)),"")</f>
        <v/>
      </c>
      <c r="E438" s="2">
        <f>IF($D438="","",IFERROR(INDEX(Units_Owners!$B$5:$B$504,MATCH($D438,Units_Owners!$A$5:$A$504,0)),""))</f>
        <v/>
      </c>
      <c r="F438" s="2">
        <f>IF($D438="","",IFERROR(INDEX(Units_Owners!$C$5:$C$504,MATCH($D438,Units_Owners!$A$5:$A$504,0)),""))</f>
        <v/>
      </c>
      <c r="G438" s="2">
        <f>IF($D438="","",IFERROR(INDEX(Units_Owners!$D$5:$D$504,MATCH($D438,Units_Owners!$A$5:$A$504,0)),""))</f>
        <v/>
      </c>
      <c r="H438" s="12">
        <f>Setup!$B$7</f>
        <v/>
      </c>
      <c r="I438" s="12">
        <f>Setup!$B$8</f>
        <v/>
      </c>
      <c r="J438" s="13">
        <f>IF($D438="","",IFERROR(INDEX(Units_Owners!$J$5:$J$504,MATCH($D438,Units_Owners!$A$5:$A$504,0)),0)+SUMIFS(Ledger!$F:$F,Ledger!$B:$B,$D438,Ledger!$D:$D,"&lt;"&amp;$H438)-SUMIFS(Ledger!$G:$G,Ledger!$B:$B,$D438,Ledger!$D:$D,"&lt;"&amp;$H438))</f>
        <v/>
      </c>
      <c r="K438" s="13">
        <f>IF($D438="","",IFERROR(INDEX(Units_Owners!$H$5:$H$504,MATCH($D438,Units_Owners!$A$5:$A$504,0)),Setup!$B$10))</f>
        <v/>
      </c>
      <c r="L438" s="13">
        <f>IF($D438="","",Setup!$B$11)</f>
        <v/>
      </c>
      <c r="M438" s="13">
        <f>IF($D438="","",IF(AND(TODAY()&gt;=Setup!$B$9,$P438&gt;0),Setup!$B$12,0))</f>
        <v/>
      </c>
      <c r="N438" s="13">
        <f>IF($D438="","",SUM($J438:$M438))</f>
        <v/>
      </c>
      <c r="O438" s="13">
        <f>IF($A438="","",SUMIFS(Payments!$F:$F,Payments!$D:$D,$A438))</f>
        <v/>
      </c>
      <c r="P438" s="13">
        <f>IF($D438="","",MAX(0,$N438-$O438))</f>
        <v/>
      </c>
      <c r="Q438" s="2">
        <f>IF($D438="","",IF(IFERROR(INDEX(Units_Owners!$I$5:$I$504,MATCH($D438,Units_Owners!$A$5:$A$504,0)),"No")&lt;&gt;"Yes","Skip - Inactive",IF($P438=0,"Paid",IF(TODAY()&gt;$I438,"Past Due","Open"))))</f>
        <v/>
      </c>
      <c r="R438" s="14" t="n"/>
      <c r="S438" s="6" t="n"/>
    </row>
    <row r="439">
      <c r="A439" s="2">
        <f>IF($D439="","","INV-"&amp;$B439&amp;"-"&amp;$C439&amp;"-"&amp;TEXT(ROW(A435),"0000"))</f>
        <v/>
      </c>
      <c r="B439" s="2">
        <f>Setup!$B$5</f>
        <v/>
      </c>
      <c r="C439" s="2">
        <f>Setup!$B$6</f>
        <v/>
      </c>
      <c r="D439" s="2">
        <f>IFERROR(INDEX(Units_Owners!$A$5:$A$504,ROWS($A$5:A439)),"")</f>
        <v/>
      </c>
      <c r="E439" s="2">
        <f>IF($D439="","",IFERROR(INDEX(Units_Owners!$B$5:$B$504,MATCH($D439,Units_Owners!$A$5:$A$504,0)),""))</f>
        <v/>
      </c>
      <c r="F439" s="2">
        <f>IF($D439="","",IFERROR(INDEX(Units_Owners!$C$5:$C$504,MATCH($D439,Units_Owners!$A$5:$A$504,0)),""))</f>
        <v/>
      </c>
      <c r="G439" s="2">
        <f>IF($D439="","",IFERROR(INDEX(Units_Owners!$D$5:$D$504,MATCH($D439,Units_Owners!$A$5:$A$504,0)),""))</f>
        <v/>
      </c>
      <c r="H439" s="12">
        <f>Setup!$B$7</f>
        <v/>
      </c>
      <c r="I439" s="12">
        <f>Setup!$B$8</f>
        <v/>
      </c>
      <c r="J439" s="13">
        <f>IF($D439="","",IFERROR(INDEX(Units_Owners!$J$5:$J$504,MATCH($D439,Units_Owners!$A$5:$A$504,0)),0)+SUMIFS(Ledger!$F:$F,Ledger!$B:$B,$D439,Ledger!$D:$D,"&lt;"&amp;$H439)-SUMIFS(Ledger!$G:$G,Ledger!$B:$B,$D439,Ledger!$D:$D,"&lt;"&amp;$H439))</f>
        <v/>
      </c>
      <c r="K439" s="13">
        <f>IF($D439="","",IFERROR(INDEX(Units_Owners!$H$5:$H$504,MATCH($D439,Units_Owners!$A$5:$A$504,0)),Setup!$B$10))</f>
        <v/>
      </c>
      <c r="L439" s="13">
        <f>IF($D439="","",Setup!$B$11)</f>
        <v/>
      </c>
      <c r="M439" s="13">
        <f>IF($D439="","",IF(AND(TODAY()&gt;=Setup!$B$9,$P439&gt;0),Setup!$B$12,0))</f>
        <v/>
      </c>
      <c r="N439" s="13">
        <f>IF($D439="","",SUM($J439:$M439))</f>
        <v/>
      </c>
      <c r="O439" s="13">
        <f>IF($A439="","",SUMIFS(Payments!$F:$F,Payments!$D:$D,$A439))</f>
        <v/>
      </c>
      <c r="P439" s="13">
        <f>IF($D439="","",MAX(0,$N439-$O439))</f>
        <v/>
      </c>
      <c r="Q439" s="2">
        <f>IF($D439="","",IF(IFERROR(INDEX(Units_Owners!$I$5:$I$504,MATCH($D439,Units_Owners!$A$5:$A$504,0)),"No")&lt;&gt;"Yes","Skip - Inactive",IF($P439=0,"Paid",IF(TODAY()&gt;$I439,"Past Due","Open"))))</f>
        <v/>
      </c>
      <c r="R439" s="12" t="n"/>
      <c r="S439" s="2" t="n"/>
    </row>
    <row r="440">
      <c r="A440" s="2">
        <f>IF($D440="","","INV-"&amp;$B440&amp;"-"&amp;$C440&amp;"-"&amp;TEXT(ROW(A436),"0000"))</f>
        <v/>
      </c>
      <c r="B440" s="2">
        <f>Setup!$B$5</f>
        <v/>
      </c>
      <c r="C440" s="2">
        <f>Setup!$B$6</f>
        <v/>
      </c>
      <c r="D440" s="2">
        <f>IFERROR(INDEX(Units_Owners!$A$5:$A$504,ROWS($A$5:A440)),"")</f>
        <v/>
      </c>
      <c r="E440" s="2">
        <f>IF($D440="","",IFERROR(INDEX(Units_Owners!$B$5:$B$504,MATCH($D440,Units_Owners!$A$5:$A$504,0)),""))</f>
        <v/>
      </c>
      <c r="F440" s="2">
        <f>IF($D440="","",IFERROR(INDEX(Units_Owners!$C$5:$C$504,MATCH($D440,Units_Owners!$A$5:$A$504,0)),""))</f>
        <v/>
      </c>
      <c r="G440" s="2">
        <f>IF($D440="","",IFERROR(INDEX(Units_Owners!$D$5:$D$504,MATCH($D440,Units_Owners!$A$5:$A$504,0)),""))</f>
        <v/>
      </c>
      <c r="H440" s="12">
        <f>Setup!$B$7</f>
        <v/>
      </c>
      <c r="I440" s="12">
        <f>Setup!$B$8</f>
        <v/>
      </c>
      <c r="J440" s="13">
        <f>IF($D440="","",IFERROR(INDEX(Units_Owners!$J$5:$J$504,MATCH($D440,Units_Owners!$A$5:$A$504,0)),0)+SUMIFS(Ledger!$F:$F,Ledger!$B:$B,$D440,Ledger!$D:$D,"&lt;"&amp;$H440)-SUMIFS(Ledger!$G:$G,Ledger!$B:$B,$D440,Ledger!$D:$D,"&lt;"&amp;$H440))</f>
        <v/>
      </c>
      <c r="K440" s="13">
        <f>IF($D440="","",IFERROR(INDEX(Units_Owners!$H$5:$H$504,MATCH($D440,Units_Owners!$A$5:$A$504,0)),Setup!$B$10))</f>
        <v/>
      </c>
      <c r="L440" s="13">
        <f>IF($D440="","",Setup!$B$11)</f>
        <v/>
      </c>
      <c r="M440" s="13">
        <f>IF($D440="","",IF(AND(TODAY()&gt;=Setup!$B$9,$P440&gt;0),Setup!$B$12,0))</f>
        <v/>
      </c>
      <c r="N440" s="13">
        <f>IF($D440="","",SUM($J440:$M440))</f>
        <v/>
      </c>
      <c r="O440" s="13">
        <f>IF($A440="","",SUMIFS(Payments!$F:$F,Payments!$D:$D,$A440))</f>
        <v/>
      </c>
      <c r="P440" s="13">
        <f>IF($D440="","",MAX(0,$N440-$O440))</f>
        <v/>
      </c>
      <c r="Q440" s="2">
        <f>IF($D440="","",IF(IFERROR(INDEX(Units_Owners!$I$5:$I$504,MATCH($D440,Units_Owners!$A$5:$A$504,0)),"No")&lt;&gt;"Yes","Skip - Inactive",IF($P440=0,"Paid",IF(TODAY()&gt;$I440,"Past Due","Open"))))</f>
        <v/>
      </c>
      <c r="R440" s="14" t="n"/>
      <c r="S440" s="6" t="n"/>
    </row>
    <row r="441">
      <c r="A441" s="2">
        <f>IF($D441="","","INV-"&amp;$B441&amp;"-"&amp;$C441&amp;"-"&amp;TEXT(ROW(A437),"0000"))</f>
        <v/>
      </c>
      <c r="B441" s="2">
        <f>Setup!$B$5</f>
        <v/>
      </c>
      <c r="C441" s="2">
        <f>Setup!$B$6</f>
        <v/>
      </c>
      <c r="D441" s="2">
        <f>IFERROR(INDEX(Units_Owners!$A$5:$A$504,ROWS($A$5:A441)),"")</f>
        <v/>
      </c>
      <c r="E441" s="2">
        <f>IF($D441="","",IFERROR(INDEX(Units_Owners!$B$5:$B$504,MATCH($D441,Units_Owners!$A$5:$A$504,0)),""))</f>
        <v/>
      </c>
      <c r="F441" s="2">
        <f>IF($D441="","",IFERROR(INDEX(Units_Owners!$C$5:$C$504,MATCH($D441,Units_Owners!$A$5:$A$504,0)),""))</f>
        <v/>
      </c>
      <c r="G441" s="2">
        <f>IF($D441="","",IFERROR(INDEX(Units_Owners!$D$5:$D$504,MATCH($D441,Units_Owners!$A$5:$A$504,0)),""))</f>
        <v/>
      </c>
      <c r="H441" s="12">
        <f>Setup!$B$7</f>
        <v/>
      </c>
      <c r="I441" s="12">
        <f>Setup!$B$8</f>
        <v/>
      </c>
      <c r="J441" s="13">
        <f>IF($D441="","",IFERROR(INDEX(Units_Owners!$J$5:$J$504,MATCH($D441,Units_Owners!$A$5:$A$504,0)),0)+SUMIFS(Ledger!$F:$F,Ledger!$B:$B,$D441,Ledger!$D:$D,"&lt;"&amp;$H441)-SUMIFS(Ledger!$G:$G,Ledger!$B:$B,$D441,Ledger!$D:$D,"&lt;"&amp;$H441))</f>
        <v/>
      </c>
      <c r="K441" s="13">
        <f>IF($D441="","",IFERROR(INDEX(Units_Owners!$H$5:$H$504,MATCH($D441,Units_Owners!$A$5:$A$504,0)),Setup!$B$10))</f>
        <v/>
      </c>
      <c r="L441" s="13">
        <f>IF($D441="","",Setup!$B$11)</f>
        <v/>
      </c>
      <c r="M441" s="13">
        <f>IF($D441="","",IF(AND(TODAY()&gt;=Setup!$B$9,$P441&gt;0),Setup!$B$12,0))</f>
        <v/>
      </c>
      <c r="N441" s="13">
        <f>IF($D441="","",SUM($J441:$M441))</f>
        <v/>
      </c>
      <c r="O441" s="13">
        <f>IF($A441="","",SUMIFS(Payments!$F:$F,Payments!$D:$D,$A441))</f>
        <v/>
      </c>
      <c r="P441" s="13">
        <f>IF($D441="","",MAX(0,$N441-$O441))</f>
        <v/>
      </c>
      <c r="Q441" s="2">
        <f>IF($D441="","",IF(IFERROR(INDEX(Units_Owners!$I$5:$I$504,MATCH($D441,Units_Owners!$A$5:$A$504,0)),"No")&lt;&gt;"Yes","Skip - Inactive",IF($P441=0,"Paid",IF(TODAY()&gt;$I441,"Past Due","Open"))))</f>
        <v/>
      </c>
      <c r="R441" s="12" t="n"/>
      <c r="S441" s="2" t="n"/>
    </row>
    <row r="442">
      <c r="A442" s="2">
        <f>IF($D442="","","INV-"&amp;$B442&amp;"-"&amp;$C442&amp;"-"&amp;TEXT(ROW(A438),"0000"))</f>
        <v/>
      </c>
      <c r="B442" s="2">
        <f>Setup!$B$5</f>
        <v/>
      </c>
      <c r="C442" s="2">
        <f>Setup!$B$6</f>
        <v/>
      </c>
      <c r="D442" s="2">
        <f>IFERROR(INDEX(Units_Owners!$A$5:$A$504,ROWS($A$5:A442)),"")</f>
        <v/>
      </c>
      <c r="E442" s="2">
        <f>IF($D442="","",IFERROR(INDEX(Units_Owners!$B$5:$B$504,MATCH($D442,Units_Owners!$A$5:$A$504,0)),""))</f>
        <v/>
      </c>
      <c r="F442" s="2">
        <f>IF($D442="","",IFERROR(INDEX(Units_Owners!$C$5:$C$504,MATCH($D442,Units_Owners!$A$5:$A$504,0)),""))</f>
        <v/>
      </c>
      <c r="G442" s="2">
        <f>IF($D442="","",IFERROR(INDEX(Units_Owners!$D$5:$D$504,MATCH($D442,Units_Owners!$A$5:$A$504,0)),""))</f>
        <v/>
      </c>
      <c r="H442" s="12">
        <f>Setup!$B$7</f>
        <v/>
      </c>
      <c r="I442" s="12">
        <f>Setup!$B$8</f>
        <v/>
      </c>
      <c r="J442" s="13">
        <f>IF($D442="","",IFERROR(INDEX(Units_Owners!$J$5:$J$504,MATCH($D442,Units_Owners!$A$5:$A$504,0)),0)+SUMIFS(Ledger!$F:$F,Ledger!$B:$B,$D442,Ledger!$D:$D,"&lt;"&amp;$H442)-SUMIFS(Ledger!$G:$G,Ledger!$B:$B,$D442,Ledger!$D:$D,"&lt;"&amp;$H442))</f>
        <v/>
      </c>
      <c r="K442" s="13">
        <f>IF($D442="","",IFERROR(INDEX(Units_Owners!$H$5:$H$504,MATCH($D442,Units_Owners!$A$5:$A$504,0)),Setup!$B$10))</f>
        <v/>
      </c>
      <c r="L442" s="13">
        <f>IF($D442="","",Setup!$B$11)</f>
        <v/>
      </c>
      <c r="M442" s="13">
        <f>IF($D442="","",IF(AND(TODAY()&gt;=Setup!$B$9,$P442&gt;0),Setup!$B$12,0))</f>
        <v/>
      </c>
      <c r="N442" s="13">
        <f>IF($D442="","",SUM($J442:$M442))</f>
        <v/>
      </c>
      <c r="O442" s="13">
        <f>IF($A442="","",SUMIFS(Payments!$F:$F,Payments!$D:$D,$A442))</f>
        <v/>
      </c>
      <c r="P442" s="13">
        <f>IF($D442="","",MAX(0,$N442-$O442))</f>
        <v/>
      </c>
      <c r="Q442" s="2">
        <f>IF($D442="","",IF(IFERROR(INDEX(Units_Owners!$I$5:$I$504,MATCH($D442,Units_Owners!$A$5:$A$504,0)),"No")&lt;&gt;"Yes","Skip - Inactive",IF($P442=0,"Paid",IF(TODAY()&gt;$I442,"Past Due","Open"))))</f>
        <v/>
      </c>
      <c r="R442" s="14" t="n"/>
      <c r="S442" s="6" t="n"/>
    </row>
    <row r="443">
      <c r="A443" s="2">
        <f>IF($D443="","","INV-"&amp;$B443&amp;"-"&amp;$C443&amp;"-"&amp;TEXT(ROW(A439),"0000"))</f>
        <v/>
      </c>
      <c r="B443" s="2">
        <f>Setup!$B$5</f>
        <v/>
      </c>
      <c r="C443" s="2">
        <f>Setup!$B$6</f>
        <v/>
      </c>
      <c r="D443" s="2">
        <f>IFERROR(INDEX(Units_Owners!$A$5:$A$504,ROWS($A$5:A443)),"")</f>
        <v/>
      </c>
      <c r="E443" s="2">
        <f>IF($D443="","",IFERROR(INDEX(Units_Owners!$B$5:$B$504,MATCH($D443,Units_Owners!$A$5:$A$504,0)),""))</f>
        <v/>
      </c>
      <c r="F443" s="2">
        <f>IF($D443="","",IFERROR(INDEX(Units_Owners!$C$5:$C$504,MATCH($D443,Units_Owners!$A$5:$A$504,0)),""))</f>
        <v/>
      </c>
      <c r="G443" s="2">
        <f>IF($D443="","",IFERROR(INDEX(Units_Owners!$D$5:$D$504,MATCH($D443,Units_Owners!$A$5:$A$504,0)),""))</f>
        <v/>
      </c>
      <c r="H443" s="12">
        <f>Setup!$B$7</f>
        <v/>
      </c>
      <c r="I443" s="12">
        <f>Setup!$B$8</f>
        <v/>
      </c>
      <c r="J443" s="13">
        <f>IF($D443="","",IFERROR(INDEX(Units_Owners!$J$5:$J$504,MATCH($D443,Units_Owners!$A$5:$A$504,0)),0)+SUMIFS(Ledger!$F:$F,Ledger!$B:$B,$D443,Ledger!$D:$D,"&lt;"&amp;$H443)-SUMIFS(Ledger!$G:$G,Ledger!$B:$B,$D443,Ledger!$D:$D,"&lt;"&amp;$H443))</f>
        <v/>
      </c>
      <c r="K443" s="13">
        <f>IF($D443="","",IFERROR(INDEX(Units_Owners!$H$5:$H$504,MATCH($D443,Units_Owners!$A$5:$A$504,0)),Setup!$B$10))</f>
        <v/>
      </c>
      <c r="L443" s="13">
        <f>IF($D443="","",Setup!$B$11)</f>
        <v/>
      </c>
      <c r="M443" s="13">
        <f>IF($D443="","",IF(AND(TODAY()&gt;=Setup!$B$9,$P443&gt;0),Setup!$B$12,0))</f>
        <v/>
      </c>
      <c r="N443" s="13">
        <f>IF($D443="","",SUM($J443:$M443))</f>
        <v/>
      </c>
      <c r="O443" s="13">
        <f>IF($A443="","",SUMIFS(Payments!$F:$F,Payments!$D:$D,$A443))</f>
        <v/>
      </c>
      <c r="P443" s="13">
        <f>IF($D443="","",MAX(0,$N443-$O443))</f>
        <v/>
      </c>
      <c r="Q443" s="2">
        <f>IF($D443="","",IF(IFERROR(INDEX(Units_Owners!$I$5:$I$504,MATCH($D443,Units_Owners!$A$5:$A$504,0)),"No")&lt;&gt;"Yes","Skip - Inactive",IF($P443=0,"Paid",IF(TODAY()&gt;$I443,"Past Due","Open"))))</f>
        <v/>
      </c>
      <c r="R443" s="12" t="n"/>
      <c r="S443" s="2" t="n"/>
    </row>
    <row r="444">
      <c r="A444" s="2">
        <f>IF($D444="","","INV-"&amp;$B444&amp;"-"&amp;$C444&amp;"-"&amp;TEXT(ROW(A440),"0000"))</f>
        <v/>
      </c>
      <c r="B444" s="2">
        <f>Setup!$B$5</f>
        <v/>
      </c>
      <c r="C444" s="2">
        <f>Setup!$B$6</f>
        <v/>
      </c>
      <c r="D444" s="2">
        <f>IFERROR(INDEX(Units_Owners!$A$5:$A$504,ROWS($A$5:A444)),"")</f>
        <v/>
      </c>
      <c r="E444" s="2">
        <f>IF($D444="","",IFERROR(INDEX(Units_Owners!$B$5:$B$504,MATCH($D444,Units_Owners!$A$5:$A$504,0)),""))</f>
        <v/>
      </c>
      <c r="F444" s="2">
        <f>IF($D444="","",IFERROR(INDEX(Units_Owners!$C$5:$C$504,MATCH($D444,Units_Owners!$A$5:$A$504,0)),""))</f>
        <v/>
      </c>
      <c r="G444" s="2">
        <f>IF($D444="","",IFERROR(INDEX(Units_Owners!$D$5:$D$504,MATCH($D444,Units_Owners!$A$5:$A$504,0)),""))</f>
        <v/>
      </c>
      <c r="H444" s="12">
        <f>Setup!$B$7</f>
        <v/>
      </c>
      <c r="I444" s="12">
        <f>Setup!$B$8</f>
        <v/>
      </c>
      <c r="J444" s="13">
        <f>IF($D444="","",IFERROR(INDEX(Units_Owners!$J$5:$J$504,MATCH($D444,Units_Owners!$A$5:$A$504,0)),0)+SUMIFS(Ledger!$F:$F,Ledger!$B:$B,$D444,Ledger!$D:$D,"&lt;"&amp;$H444)-SUMIFS(Ledger!$G:$G,Ledger!$B:$B,$D444,Ledger!$D:$D,"&lt;"&amp;$H444))</f>
        <v/>
      </c>
      <c r="K444" s="13">
        <f>IF($D444="","",IFERROR(INDEX(Units_Owners!$H$5:$H$504,MATCH($D444,Units_Owners!$A$5:$A$504,0)),Setup!$B$10))</f>
        <v/>
      </c>
      <c r="L444" s="13">
        <f>IF($D444="","",Setup!$B$11)</f>
        <v/>
      </c>
      <c r="M444" s="13">
        <f>IF($D444="","",IF(AND(TODAY()&gt;=Setup!$B$9,$P444&gt;0),Setup!$B$12,0))</f>
        <v/>
      </c>
      <c r="N444" s="13">
        <f>IF($D444="","",SUM($J444:$M444))</f>
        <v/>
      </c>
      <c r="O444" s="13">
        <f>IF($A444="","",SUMIFS(Payments!$F:$F,Payments!$D:$D,$A444))</f>
        <v/>
      </c>
      <c r="P444" s="13">
        <f>IF($D444="","",MAX(0,$N444-$O444))</f>
        <v/>
      </c>
      <c r="Q444" s="2">
        <f>IF($D444="","",IF(IFERROR(INDEX(Units_Owners!$I$5:$I$504,MATCH($D444,Units_Owners!$A$5:$A$504,0)),"No")&lt;&gt;"Yes","Skip - Inactive",IF($P444=0,"Paid",IF(TODAY()&gt;$I444,"Past Due","Open"))))</f>
        <v/>
      </c>
      <c r="R444" s="14" t="n"/>
      <c r="S444" s="6" t="n"/>
    </row>
    <row r="445">
      <c r="A445" s="2">
        <f>IF($D445="","","INV-"&amp;$B445&amp;"-"&amp;$C445&amp;"-"&amp;TEXT(ROW(A441),"0000"))</f>
        <v/>
      </c>
      <c r="B445" s="2">
        <f>Setup!$B$5</f>
        <v/>
      </c>
      <c r="C445" s="2">
        <f>Setup!$B$6</f>
        <v/>
      </c>
      <c r="D445" s="2">
        <f>IFERROR(INDEX(Units_Owners!$A$5:$A$504,ROWS($A$5:A445)),"")</f>
        <v/>
      </c>
      <c r="E445" s="2">
        <f>IF($D445="","",IFERROR(INDEX(Units_Owners!$B$5:$B$504,MATCH($D445,Units_Owners!$A$5:$A$504,0)),""))</f>
        <v/>
      </c>
      <c r="F445" s="2">
        <f>IF($D445="","",IFERROR(INDEX(Units_Owners!$C$5:$C$504,MATCH($D445,Units_Owners!$A$5:$A$504,0)),""))</f>
        <v/>
      </c>
      <c r="G445" s="2">
        <f>IF($D445="","",IFERROR(INDEX(Units_Owners!$D$5:$D$504,MATCH($D445,Units_Owners!$A$5:$A$504,0)),""))</f>
        <v/>
      </c>
      <c r="H445" s="12">
        <f>Setup!$B$7</f>
        <v/>
      </c>
      <c r="I445" s="12">
        <f>Setup!$B$8</f>
        <v/>
      </c>
      <c r="J445" s="13">
        <f>IF($D445="","",IFERROR(INDEX(Units_Owners!$J$5:$J$504,MATCH($D445,Units_Owners!$A$5:$A$504,0)),0)+SUMIFS(Ledger!$F:$F,Ledger!$B:$B,$D445,Ledger!$D:$D,"&lt;"&amp;$H445)-SUMIFS(Ledger!$G:$G,Ledger!$B:$B,$D445,Ledger!$D:$D,"&lt;"&amp;$H445))</f>
        <v/>
      </c>
      <c r="K445" s="13">
        <f>IF($D445="","",IFERROR(INDEX(Units_Owners!$H$5:$H$504,MATCH($D445,Units_Owners!$A$5:$A$504,0)),Setup!$B$10))</f>
        <v/>
      </c>
      <c r="L445" s="13">
        <f>IF($D445="","",Setup!$B$11)</f>
        <v/>
      </c>
      <c r="M445" s="13">
        <f>IF($D445="","",IF(AND(TODAY()&gt;=Setup!$B$9,$P445&gt;0),Setup!$B$12,0))</f>
        <v/>
      </c>
      <c r="N445" s="13">
        <f>IF($D445="","",SUM($J445:$M445))</f>
        <v/>
      </c>
      <c r="O445" s="13">
        <f>IF($A445="","",SUMIFS(Payments!$F:$F,Payments!$D:$D,$A445))</f>
        <v/>
      </c>
      <c r="P445" s="13">
        <f>IF($D445="","",MAX(0,$N445-$O445))</f>
        <v/>
      </c>
      <c r="Q445" s="2">
        <f>IF($D445="","",IF(IFERROR(INDEX(Units_Owners!$I$5:$I$504,MATCH($D445,Units_Owners!$A$5:$A$504,0)),"No")&lt;&gt;"Yes","Skip - Inactive",IF($P445=0,"Paid",IF(TODAY()&gt;$I445,"Past Due","Open"))))</f>
        <v/>
      </c>
      <c r="R445" s="12" t="n"/>
      <c r="S445" s="2" t="n"/>
    </row>
    <row r="446">
      <c r="A446" s="2">
        <f>IF($D446="","","INV-"&amp;$B446&amp;"-"&amp;$C446&amp;"-"&amp;TEXT(ROW(A442),"0000"))</f>
        <v/>
      </c>
      <c r="B446" s="2">
        <f>Setup!$B$5</f>
        <v/>
      </c>
      <c r="C446" s="2">
        <f>Setup!$B$6</f>
        <v/>
      </c>
      <c r="D446" s="2">
        <f>IFERROR(INDEX(Units_Owners!$A$5:$A$504,ROWS($A$5:A446)),"")</f>
        <v/>
      </c>
      <c r="E446" s="2">
        <f>IF($D446="","",IFERROR(INDEX(Units_Owners!$B$5:$B$504,MATCH($D446,Units_Owners!$A$5:$A$504,0)),""))</f>
        <v/>
      </c>
      <c r="F446" s="2">
        <f>IF($D446="","",IFERROR(INDEX(Units_Owners!$C$5:$C$504,MATCH($D446,Units_Owners!$A$5:$A$504,0)),""))</f>
        <v/>
      </c>
      <c r="G446" s="2">
        <f>IF($D446="","",IFERROR(INDEX(Units_Owners!$D$5:$D$504,MATCH($D446,Units_Owners!$A$5:$A$504,0)),""))</f>
        <v/>
      </c>
      <c r="H446" s="12">
        <f>Setup!$B$7</f>
        <v/>
      </c>
      <c r="I446" s="12">
        <f>Setup!$B$8</f>
        <v/>
      </c>
      <c r="J446" s="13">
        <f>IF($D446="","",IFERROR(INDEX(Units_Owners!$J$5:$J$504,MATCH($D446,Units_Owners!$A$5:$A$504,0)),0)+SUMIFS(Ledger!$F:$F,Ledger!$B:$B,$D446,Ledger!$D:$D,"&lt;"&amp;$H446)-SUMIFS(Ledger!$G:$G,Ledger!$B:$B,$D446,Ledger!$D:$D,"&lt;"&amp;$H446))</f>
        <v/>
      </c>
      <c r="K446" s="13">
        <f>IF($D446="","",IFERROR(INDEX(Units_Owners!$H$5:$H$504,MATCH($D446,Units_Owners!$A$5:$A$504,0)),Setup!$B$10))</f>
        <v/>
      </c>
      <c r="L446" s="13">
        <f>IF($D446="","",Setup!$B$11)</f>
        <v/>
      </c>
      <c r="M446" s="13">
        <f>IF($D446="","",IF(AND(TODAY()&gt;=Setup!$B$9,$P446&gt;0),Setup!$B$12,0))</f>
        <v/>
      </c>
      <c r="N446" s="13">
        <f>IF($D446="","",SUM($J446:$M446))</f>
        <v/>
      </c>
      <c r="O446" s="13">
        <f>IF($A446="","",SUMIFS(Payments!$F:$F,Payments!$D:$D,$A446))</f>
        <v/>
      </c>
      <c r="P446" s="13">
        <f>IF($D446="","",MAX(0,$N446-$O446))</f>
        <v/>
      </c>
      <c r="Q446" s="2">
        <f>IF($D446="","",IF(IFERROR(INDEX(Units_Owners!$I$5:$I$504,MATCH($D446,Units_Owners!$A$5:$A$504,0)),"No")&lt;&gt;"Yes","Skip - Inactive",IF($P446=0,"Paid",IF(TODAY()&gt;$I446,"Past Due","Open"))))</f>
        <v/>
      </c>
      <c r="R446" s="14" t="n"/>
      <c r="S446" s="6" t="n"/>
    </row>
    <row r="447">
      <c r="A447" s="2">
        <f>IF($D447="","","INV-"&amp;$B447&amp;"-"&amp;$C447&amp;"-"&amp;TEXT(ROW(A443),"0000"))</f>
        <v/>
      </c>
      <c r="B447" s="2">
        <f>Setup!$B$5</f>
        <v/>
      </c>
      <c r="C447" s="2">
        <f>Setup!$B$6</f>
        <v/>
      </c>
      <c r="D447" s="2">
        <f>IFERROR(INDEX(Units_Owners!$A$5:$A$504,ROWS($A$5:A447)),"")</f>
        <v/>
      </c>
      <c r="E447" s="2">
        <f>IF($D447="","",IFERROR(INDEX(Units_Owners!$B$5:$B$504,MATCH($D447,Units_Owners!$A$5:$A$504,0)),""))</f>
        <v/>
      </c>
      <c r="F447" s="2">
        <f>IF($D447="","",IFERROR(INDEX(Units_Owners!$C$5:$C$504,MATCH($D447,Units_Owners!$A$5:$A$504,0)),""))</f>
        <v/>
      </c>
      <c r="G447" s="2">
        <f>IF($D447="","",IFERROR(INDEX(Units_Owners!$D$5:$D$504,MATCH($D447,Units_Owners!$A$5:$A$504,0)),""))</f>
        <v/>
      </c>
      <c r="H447" s="12">
        <f>Setup!$B$7</f>
        <v/>
      </c>
      <c r="I447" s="12">
        <f>Setup!$B$8</f>
        <v/>
      </c>
      <c r="J447" s="13">
        <f>IF($D447="","",IFERROR(INDEX(Units_Owners!$J$5:$J$504,MATCH($D447,Units_Owners!$A$5:$A$504,0)),0)+SUMIFS(Ledger!$F:$F,Ledger!$B:$B,$D447,Ledger!$D:$D,"&lt;"&amp;$H447)-SUMIFS(Ledger!$G:$G,Ledger!$B:$B,$D447,Ledger!$D:$D,"&lt;"&amp;$H447))</f>
        <v/>
      </c>
      <c r="K447" s="13">
        <f>IF($D447="","",IFERROR(INDEX(Units_Owners!$H$5:$H$504,MATCH($D447,Units_Owners!$A$5:$A$504,0)),Setup!$B$10))</f>
        <v/>
      </c>
      <c r="L447" s="13">
        <f>IF($D447="","",Setup!$B$11)</f>
        <v/>
      </c>
      <c r="M447" s="13">
        <f>IF($D447="","",IF(AND(TODAY()&gt;=Setup!$B$9,$P447&gt;0),Setup!$B$12,0))</f>
        <v/>
      </c>
      <c r="N447" s="13">
        <f>IF($D447="","",SUM($J447:$M447))</f>
        <v/>
      </c>
      <c r="O447" s="13">
        <f>IF($A447="","",SUMIFS(Payments!$F:$F,Payments!$D:$D,$A447))</f>
        <v/>
      </c>
      <c r="P447" s="13">
        <f>IF($D447="","",MAX(0,$N447-$O447))</f>
        <v/>
      </c>
      <c r="Q447" s="2">
        <f>IF($D447="","",IF(IFERROR(INDEX(Units_Owners!$I$5:$I$504,MATCH($D447,Units_Owners!$A$5:$A$504,0)),"No")&lt;&gt;"Yes","Skip - Inactive",IF($P447=0,"Paid",IF(TODAY()&gt;$I447,"Past Due","Open"))))</f>
        <v/>
      </c>
      <c r="R447" s="12" t="n"/>
      <c r="S447" s="2" t="n"/>
    </row>
    <row r="448">
      <c r="A448" s="2">
        <f>IF($D448="","","INV-"&amp;$B448&amp;"-"&amp;$C448&amp;"-"&amp;TEXT(ROW(A444),"0000"))</f>
        <v/>
      </c>
      <c r="B448" s="2">
        <f>Setup!$B$5</f>
        <v/>
      </c>
      <c r="C448" s="2">
        <f>Setup!$B$6</f>
        <v/>
      </c>
      <c r="D448" s="2">
        <f>IFERROR(INDEX(Units_Owners!$A$5:$A$504,ROWS($A$5:A448)),"")</f>
        <v/>
      </c>
      <c r="E448" s="2">
        <f>IF($D448="","",IFERROR(INDEX(Units_Owners!$B$5:$B$504,MATCH($D448,Units_Owners!$A$5:$A$504,0)),""))</f>
        <v/>
      </c>
      <c r="F448" s="2">
        <f>IF($D448="","",IFERROR(INDEX(Units_Owners!$C$5:$C$504,MATCH($D448,Units_Owners!$A$5:$A$504,0)),""))</f>
        <v/>
      </c>
      <c r="G448" s="2">
        <f>IF($D448="","",IFERROR(INDEX(Units_Owners!$D$5:$D$504,MATCH($D448,Units_Owners!$A$5:$A$504,0)),""))</f>
        <v/>
      </c>
      <c r="H448" s="12">
        <f>Setup!$B$7</f>
        <v/>
      </c>
      <c r="I448" s="12">
        <f>Setup!$B$8</f>
        <v/>
      </c>
      <c r="J448" s="13">
        <f>IF($D448="","",IFERROR(INDEX(Units_Owners!$J$5:$J$504,MATCH($D448,Units_Owners!$A$5:$A$504,0)),0)+SUMIFS(Ledger!$F:$F,Ledger!$B:$B,$D448,Ledger!$D:$D,"&lt;"&amp;$H448)-SUMIFS(Ledger!$G:$G,Ledger!$B:$B,$D448,Ledger!$D:$D,"&lt;"&amp;$H448))</f>
        <v/>
      </c>
      <c r="K448" s="13">
        <f>IF($D448="","",IFERROR(INDEX(Units_Owners!$H$5:$H$504,MATCH($D448,Units_Owners!$A$5:$A$504,0)),Setup!$B$10))</f>
        <v/>
      </c>
      <c r="L448" s="13">
        <f>IF($D448="","",Setup!$B$11)</f>
        <v/>
      </c>
      <c r="M448" s="13">
        <f>IF($D448="","",IF(AND(TODAY()&gt;=Setup!$B$9,$P448&gt;0),Setup!$B$12,0))</f>
        <v/>
      </c>
      <c r="N448" s="13">
        <f>IF($D448="","",SUM($J448:$M448))</f>
        <v/>
      </c>
      <c r="O448" s="13">
        <f>IF($A448="","",SUMIFS(Payments!$F:$F,Payments!$D:$D,$A448))</f>
        <v/>
      </c>
      <c r="P448" s="13">
        <f>IF($D448="","",MAX(0,$N448-$O448))</f>
        <v/>
      </c>
      <c r="Q448" s="2">
        <f>IF($D448="","",IF(IFERROR(INDEX(Units_Owners!$I$5:$I$504,MATCH($D448,Units_Owners!$A$5:$A$504,0)),"No")&lt;&gt;"Yes","Skip - Inactive",IF($P448=0,"Paid",IF(TODAY()&gt;$I448,"Past Due","Open"))))</f>
        <v/>
      </c>
      <c r="R448" s="14" t="n"/>
      <c r="S448" s="6" t="n"/>
    </row>
    <row r="449">
      <c r="A449" s="2">
        <f>IF($D449="","","INV-"&amp;$B449&amp;"-"&amp;$C449&amp;"-"&amp;TEXT(ROW(A445),"0000"))</f>
        <v/>
      </c>
      <c r="B449" s="2">
        <f>Setup!$B$5</f>
        <v/>
      </c>
      <c r="C449" s="2">
        <f>Setup!$B$6</f>
        <v/>
      </c>
      <c r="D449" s="2">
        <f>IFERROR(INDEX(Units_Owners!$A$5:$A$504,ROWS($A$5:A449)),"")</f>
        <v/>
      </c>
      <c r="E449" s="2">
        <f>IF($D449="","",IFERROR(INDEX(Units_Owners!$B$5:$B$504,MATCH($D449,Units_Owners!$A$5:$A$504,0)),""))</f>
        <v/>
      </c>
      <c r="F449" s="2">
        <f>IF($D449="","",IFERROR(INDEX(Units_Owners!$C$5:$C$504,MATCH($D449,Units_Owners!$A$5:$A$504,0)),""))</f>
        <v/>
      </c>
      <c r="G449" s="2">
        <f>IF($D449="","",IFERROR(INDEX(Units_Owners!$D$5:$D$504,MATCH($D449,Units_Owners!$A$5:$A$504,0)),""))</f>
        <v/>
      </c>
      <c r="H449" s="12">
        <f>Setup!$B$7</f>
        <v/>
      </c>
      <c r="I449" s="12">
        <f>Setup!$B$8</f>
        <v/>
      </c>
      <c r="J449" s="13">
        <f>IF($D449="","",IFERROR(INDEX(Units_Owners!$J$5:$J$504,MATCH($D449,Units_Owners!$A$5:$A$504,0)),0)+SUMIFS(Ledger!$F:$F,Ledger!$B:$B,$D449,Ledger!$D:$D,"&lt;"&amp;$H449)-SUMIFS(Ledger!$G:$G,Ledger!$B:$B,$D449,Ledger!$D:$D,"&lt;"&amp;$H449))</f>
        <v/>
      </c>
      <c r="K449" s="13">
        <f>IF($D449="","",IFERROR(INDEX(Units_Owners!$H$5:$H$504,MATCH($D449,Units_Owners!$A$5:$A$504,0)),Setup!$B$10))</f>
        <v/>
      </c>
      <c r="L449" s="13">
        <f>IF($D449="","",Setup!$B$11)</f>
        <v/>
      </c>
      <c r="M449" s="13">
        <f>IF($D449="","",IF(AND(TODAY()&gt;=Setup!$B$9,$P449&gt;0),Setup!$B$12,0))</f>
        <v/>
      </c>
      <c r="N449" s="13">
        <f>IF($D449="","",SUM($J449:$M449))</f>
        <v/>
      </c>
      <c r="O449" s="13">
        <f>IF($A449="","",SUMIFS(Payments!$F:$F,Payments!$D:$D,$A449))</f>
        <v/>
      </c>
      <c r="P449" s="13">
        <f>IF($D449="","",MAX(0,$N449-$O449))</f>
        <v/>
      </c>
      <c r="Q449" s="2">
        <f>IF($D449="","",IF(IFERROR(INDEX(Units_Owners!$I$5:$I$504,MATCH($D449,Units_Owners!$A$5:$A$504,0)),"No")&lt;&gt;"Yes","Skip - Inactive",IF($P449=0,"Paid",IF(TODAY()&gt;$I449,"Past Due","Open"))))</f>
        <v/>
      </c>
      <c r="R449" s="12" t="n"/>
      <c r="S449" s="2" t="n"/>
    </row>
    <row r="450">
      <c r="A450" s="2">
        <f>IF($D450="","","INV-"&amp;$B450&amp;"-"&amp;$C450&amp;"-"&amp;TEXT(ROW(A446),"0000"))</f>
        <v/>
      </c>
      <c r="B450" s="2">
        <f>Setup!$B$5</f>
        <v/>
      </c>
      <c r="C450" s="2">
        <f>Setup!$B$6</f>
        <v/>
      </c>
      <c r="D450" s="2">
        <f>IFERROR(INDEX(Units_Owners!$A$5:$A$504,ROWS($A$5:A450)),"")</f>
        <v/>
      </c>
      <c r="E450" s="2">
        <f>IF($D450="","",IFERROR(INDEX(Units_Owners!$B$5:$B$504,MATCH($D450,Units_Owners!$A$5:$A$504,0)),""))</f>
        <v/>
      </c>
      <c r="F450" s="2">
        <f>IF($D450="","",IFERROR(INDEX(Units_Owners!$C$5:$C$504,MATCH($D450,Units_Owners!$A$5:$A$504,0)),""))</f>
        <v/>
      </c>
      <c r="G450" s="2">
        <f>IF($D450="","",IFERROR(INDEX(Units_Owners!$D$5:$D$504,MATCH($D450,Units_Owners!$A$5:$A$504,0)),""))</f>
        <v/>
      </c>
      <c r="H450" s="12">
        <f>Setup!$B$7</f>
        <v/>
      </c>
      <c r="I450" s="12">
        <f>Setup!$B$8</f>
        <v/>
      </c>
      <c r="J450" s="13">
        <f>IF($D450="","",IFERROR(INDEX(Units_Owners!$J$5:$J$504,MATCH($D450,Units_Owners!$A$5:$A$504,0)),0)+SUMIFS(Ledger!$F:$F,Ledger!$B:$B,$D450,Ledger!$D:$D,"&lt;"&amp;$H450)-SUMIFS(Ledger!$G:$G,Ledger!$B:$B,$D450,Ledger!$D:$D,"&lt;"&amp;$H450))</f>
        <v/>
      </c>
      <c r="K450" s="13">
        <f>IF($D450="","",IFERROR(INDEX(Units_Owners!$H$5:$H$504,MATCH($D450,Units_Owners!$A$5:$A$504,0)),Setup!$B$10))</f>
        <v/>
      </c>
      <c r="L450" s="13">
        <f>IF($D450="","",Setup!$B$11)</f>
        <v/>
      </c>
      <c r="M450" s="13">
        <f>IF($D450="","",IF(AND(TODAY()&gt;=Setup!$B$9,$P450&gt;0),Setup!$B$12,0))</f>
        <v/>
      </c>
      <c r="N450" s="13">
        <f>IF($D450="","",SUM($J450:$M450))</f>
        <v/>
      </c>
      <c r="O450" s="13">
        <f>IF($A450="","",SUMIFS(Payments!$F:$F,Payments!$D:$D,$A450))</f>
        <v/>
      </c>
      <c r="P450" s="13">
        <f>IF($D450="","",MAX(0,$N450-$O450))</f>
        <v/>
      </c>
      <c r="Q450" s="2">
        <f>IF($D450="","",IF(IFERROR(INDEX(Units_Owners!$I$5:$I$504,MATCH($D450,Units_Owners!$A$5:$A$504,0)),"No")&lt;&gt;"Yes","Skip - Inactive",IF($P450=0,"Paid",IF(TODAY()&gt;$I450,"Past Due","Open"))))</f>
        <v/>
      </c>
      <c r="R450" s="14" t="n"/>
      <c r="S450" s="6" t="n"/>
    </row>
    <row r="451">
      <c r="A451" s="2">
        <f>IF($D451="","","INV-"&amp;$B451&amp;"-"&amp;$C451&amp;"-"&amp;TEXT(ROW(A447),"0000"))</f>
        <v/>
      </c>
      <c r="B451" s="2">
        <f>Setup!$B$5</f>
        <v/>
      </c>
      <c r="C451" s="2">
        <f>Setup!$B$6</f>
        <v/>
      </c>
      <c r="D451" s="2">
        <f>IFERROR(INDEX(Units_Owners!$A$5:$A$504,ROWS($A$5:A451)),"")</f>
        <v/>
      </c>
      <c r="E451" s="2">
        <f>IF($D451="","",IFERROR(INDEX(Units_Owners!$B$5:$B$504,MATCH($D451,Units_Owners!$A$5:$A$504,0)),""))</f>
        <v/>
      </c>
      <c r="F451" s="2">
        <f>IF($D451="","",IFERROR(INDEX(Units_Owners!$C$5:$C$504,MATCH($D451,Units_Owners!$A$5:$A$504,0)),""))</f>
        <v/>
      </c>
      <c r="G451" s="2">
        <f>IF($D451="","",IFERROR(INDEX(Units_Owners!$D$5:$D$504,MATCH($D451,Units_Owners!$A$5:$A$504,0)),""))</f>
        <v/>
      </c>
      <c r="H451" s="12">
        <f>Setup!$B$7</f>
        <v/>
      </c>
      <c r="I451" s="12">
        <f>Setup!$B$8</f>
        <v/>
      </c>
      <c r="J451" s="13">
        <f>IF($D451="","",IFERROR(INDEX(Units_Owners!$J$5:$J$504,MATCH($D451,Units_Owners!$A$5:$A$504,0)),0)+SUMIFS(Ledger!$F:$F,Ledger!$B:$B,$D451,Ledger!$D:$D,"&lt;"&amp;$H451)-SUMIFS(Ledger!$G:$G,Ledger!$B:$B,$D451,Ledger!$D:$D,"&lt;"&amp;$H451))</f>
        <v/>
      </c>
      <c r="K451" s="13">
        <f>IF($D451="","",IFERROR(INDEX(Units_Owners!$H$5:$H$504,MATCH($D451,Units_Owners!$A$5:$A$504,0)),Setup!$B$10))</f>
        <v/>
      </c>
      <c r="L451" s="13">
        <f>IF($D451="","",Setup!$B$11)</f>
        <v/>
      </c>
      <c r="M451" s="13">
        <f>IF($D451="","",IF(AND(TODAY()&gt;=Setup!$B$9,$P451&gt;0),Setup!$B$12,0))</f>
        <v/>
      </c>
      <c r="N451" s="13">
        <f>IF($D451="","",SUM($J451:$M451))</f>
        <v/>
      </c>
      <c r="O451" s="13">
        <f>IF($A451="","",SUMIFS(Payments!$F:$F,Payments!$D:$D,$A451))</f>
        <v/>
      </c>
      <c r="P451" s="13">
        <f>IF($D451="","",MAX(0,$N451-$O451))</f>
        <v/>
      </c>
      <c r="Q451" s="2">
        <f>IF($D451="","",IF(IFERROR(INDEX(Units_Owners!$I$5:$I$504,MATCH($D451,Units_Owners!$A$5:$A$504,0)),"No")&lt;&gt;"Yes","Skip - Inactive",IF($P451=0,"Paid",IF(TODAY()&gt;$I451,"Past Due","Open"))))</f>
        <v/>
      </c>
      <c r="R451" s="12" t="n"/>
      <c r="S451" s="2" t="n"/>
    </row>
    <row r="452">
      <c r="A452" s="2">
        <f>IF($D452="","","INV-"&amp;$B452&amp;"-"&amp;$C452&amp;"-"&amp;TEXT(ROW(A448),"0000"))</f>
        <v/>
      </c>
      <c r="B452" s="2">
        <f>Setup!$B$5</f>
        <v/>
      </c>
      <c r="C452" s="2">
        <f>Setup!$B$6</f>
        <v/>
      </c>
      <c r="D452" s="2">
        <f>IFERROR(INDEX(Units_Owners!$A$5:$A$504,ROWS($A$5:A452)),"")</f>
        <v/>
      </c>
      <c r="E452" s="2">
        <f>IF($D452="","",IFERROR(INDEX(Units_Owners!$B$5:$B$504,MATCH($D452,Units_Owners!$A$5:$A$504,0)),""))</f>
        <v/>
      </c>
      <c r="F452" s="2">
        <f>IF($D452="","",IFERROR(INDEX(Units_Owners!$C$5:$C$504,MATCH($D452,Units_Owners!$A$5:$A$504,0)),""))</f>
        <v/>
      </c>
      <c r="G452" s="2">
        <f>IF($D452="","",IFERROR(INDEX(Units_Owners!$D$5:$D$504,MATCH($D452,Units_Owners!$A$5:$A$504,0)),""))</f>
        <v/>
      </c>
      <c r="H452" s="12">
        <f>Setup!$B$7</f>
        <v/>
      </c>
      <c r="I452" s="12">
        <f>Setup!$B$8</f>
        <v/>
      </c>
      <c r="J452" s="13">
        <f>IF($D452="","",IFERROR(INDEX(Units_Owners!$J$5:$J$504,MATCH($D452,Units_Owners!$A$5:$A$504,0)),0)+SUMIFS(Ledger!$F:$F,Ledger!$B:$B,$D452,Ledger!$D:$D,"&lt;"&amp;$H452)-SUMIFS(Ledger!$G:$G,Ledger!$B:$B,$D452,Ledger!$D:$D,"&lt;"&amp;$H452))</f>
        <v/>
      </c>
      <c r="K452" s="13">
        <f>IF($D452="","",IFERROR(INDEX(Units_Owners!$H$5:$H$504,MATCH($D452,Units_Owners!$A$5:$A$504,0)),Setup!$B$10))</f>
        <v/>
      </c>
      <c r="L452" s="13">
        <f>IF($D452="","",Setup!$B$11)</f>
        <v/>
      </c>
      <c r="M452" s="13">
        <f>IF($D452="","",IF(AND(TODAY()&gt;=Setup!$B$9,$P452&gt;0),Setup!$B$12,0))</f>
        <v/>
      </c>
      <c r="N452" s="13">
        <f>IF($D452="","",SUM($J452:$M452))</f>
        <v/>
      </c>
      <c r="O452" s="13">
        <f>IF($A452="","",SUMIFS(Payments!$F:$F,Payments!$D:$D,$A452))</f>
        <v/>
      </c>
      <c r="P452" s="13">
        <f>IF($D452="","",MAX(0,$N452-$O452))</f>
        <v/>
      </c>
      <c r="Q452" s="2">
        <f>IF($D452="","",IF(IFERROR(INDEX(Units_Owners!$I$5:$I$504,MATCH($D452,Units_Owners!$A$5:$A$504,0)),"No")&lt;&gt;"Yes","Skip - Inactive",IF($P452=0,"Paid",IF(TODAY()&gt;$I452,"Past Due","Open"))))</f>
        <v/>
      </c>
      <c r="R452" s="14" t="n"/>
      <c r="S452" s="6" t="n"/>
    </row>
    <row r="453">
      <c r="A453" s="2">
        <f>IF($D453="","","INV-"&amp;$B453&amp;"-"&amp;$C453&amp;"-"&amp;TEXT(ROW(A449),"0000"))</f>
        <v/>
      </c>
      <c r="B453" s="2">
        <f>Setup!$B$5</f>
        <v/>
      </c>
      <c r="C453" s="2">
        <f>Setup!$B$6</f>
        <v/>
      </c>
      <c r="D453" s="2">
        <f>IFERROR(INDEX(Units_Owners!$A$5:$A$504,ROWS($A$5:A453)),"")</f>
        <v/>
      </c>
      <c r="E453" s="2">
        <f>IF($D453="","",IFERROR(INDEX(Units_Owners!$B$5:$B$504,MATCH($D453,Units_Owners!$A$5:$A$504,0)),""))</f>
        <v/>
      </c>
      <c r="F453" s="2">
        <f>IF($D453="","",IFERROR(INDEX(Units_Owners!$C$5:$C$504,MATCH($D453,Units_Owners!$A$5:$A$504,0)),""))</f>
        <v/>
      </c>
      <c r="G453" s="2">
        <f>IF($D453="","",IFERROR(INDEX(Units_Owners!$D$5:$D$504,MATCH($D453,Units_Owners!$A$5:$A$504,0)),""))</f>
        <v/>
      </c>
      <c r="H453" s="12">
        <f>Setup!$B$7</f>
        <v/>
      </c>
      <c r="I453" s="12">
        <f>Setup!$B$8</f>
        <v/>
      </c>
      <c r="J453" s="13">
        <f>IF($D453="","",IFERROR(INDEX(Units_Owners!$J$5:$J$504,MATCH($D453,Units_Owners!$A$5:$A$504,0)),0)+SUMIFS(Ledger!$F:$F,Ledger!$B:$B,$D453,Ledger!$D:$D,"&lt;"&amp;$H453)-SUMIFS(Ledger!$G:$G,Ledger!$B:$B,$D453,Ledger!$D:$D,"&lt;"&amp;$H453))</f>
        <v/>
      </c>
      <c r="K453" s="13">
        <f>IF($D453="","",IFERROR(INDEX(Units_Owners!$H$5:$H$504,MATCH($D453,Units_Owners!$A$5:$A$504,0)),Setup!$B$10))</f>
        <v/>
      </c>
      <c r="L453" s="13">
        <f>IF($D453="","",Setup!$B$11)</f>
        <v/>
      </c>
      <c r="M453" s="13">
        <f>IF($D453="","",IF(AND(TODAY()&gt;=Setup!$B$9,$P453&gt;0),Setup!$B$12,0))</f>
        <v/>
      </c>
      <c r="N453" s="13">
        <f>IF($D453="","",SUM($J453:$M453))</f>
        <v/>
      </c>
      <c r="O453" s="13">
        <f>IF($A453="","",SUMIFS(Payments!$F:$F,Payments!$D:$D,$A453))</f>
        <v/>
      </c>
      <c r="P453" s="13">
        <f>IF($D453="","",MAX(0,$N453-$O453))</f>
        <v/>
      </c>
      <c r="Q453" s="2">
        <f>IF($D453="","",IF(IFERROR(INDEX(Units_Owners!$I$5:$I$504,MATCH($D453,Units_Owners!$A$5:$A$504,0)),"No")&lt;&gt;"Yes","Skip - Inactive",IF($P453=0,"Paid",IF(TODAY()&gt;$I453,"Past Due","Open"))))</f>
        <v/>
      </c>
      <c r="R453" s="12" t="n"/>
      <c r="S453" s="2" t="n"/>
    </row>
    <row r="454">
      <c r="A454" s="2">
        <f>IF($D454="","","INV-"&amp;$B454&amp;"-"&amp;$C454&amp;"-"&amp;TEXT(ROW(A450),"0000"))</f>
        <v/>
      </c>
      <c r="B454" s="2">
        <f>Setup!$B$5</f>
        <v/>
      </c>
      <c r="C454" s="2">
        <f>Setup!$B$6</f>
        <v/>
      </c>
      <c r="D454" s="2">
        <f>IFERROR(INDEX(Units_Owners!$A$5:$A$504,ROWS($A$5:A454)),"")</f>
        <v/>
      </c>
      <c r="E454" s="2">
        <f>IF($D454="","",IFERROR(INDEX(Units_Owners!$B$5:$B$504,MATCH($D454,Units_Owners!$A$5:$A$504,0)),""))</f>
        <v/>
      </c>
      <c r="F454" s="2">
        <f>IF($D454="","",IFERROR(INDEX(Units_Owners!$C$5:$C$504,MATCH($D454,Units_Owners!$A$5:$A$504,0)),""))</f>
        <v/>
      </c>
      <c r="G454" s="2">
        <f>IF($D454="","",IFERROR(INDEX(Units_Owners!$D$5:$D$504,MATCH($D454,Units_Owners!$A$5:$A$504,0)),""))</f>
        <v/>
      </c>
      <c r="H454" s="12">
        <f>Setup!$B$7</f>
        <v/>
      </c>
      <c r="I454" s="12">
        <f>Setup!$B$8</f>
        <v/>
      </c>
      <c r="J454" s="13">
        <f>IF($D454="","",IFERROR(INDEX(Units_Owners!$J$5:$J$504,MATCH($D454,Units_Owners!$A$5:$A$504,0)),0)+SUMIFS(Ledger!$F:$F,Ledger!$B:$B,$D454,Ledger!$D:$D,"&lt;"&amp;$H454)-SUMIFS(Ledger!$G:$G,Ledger!$B:$B,$D454,Ledger!$D:$D,"&lt;"&amp;$H454))</f>
        <v/>
      </c>
      <c r="K454" s="13">
        <f>IF($D454="","",IFERROR(INDEX(Units_Owners!$H$5:$H$504,MATCH($D454,Units_Owners!$A$5:$A$504,0)),Setup!$B$10))</f>
        <v/>
      </c>
      <c r="L454" s="13">
        <f>IF($D454="","",Setup!$B$11)</f>
        <v/>
      </c>
      <c r="M454" s="13">
        <f>IF($D454="","",IF(AND(TODAY()&gt;=Setup!$B$9,$P454&gt;0),Setup!$B$12,0))</f>
        <v/>
      </c>
      <c r="N454" s="13">
        <f>IF($D454="","",SUM($J454:$M454))</f>
        <v/>
      </c>
      <c r="O454" s="13">
        <f>IF($A454="","",SUMIFS(Payments!$F:$F,Payments!$D:$D,$A454))</f>
        <v/>
      </c>
      <c r="P454" s="13">
        <f>IF($D454="","",MAX(0,$N454-$O454))</f>
        <v/>
      </c>
      <c r="Q454" s="2">
        <f>IF($D454="","",IF(IFERROR(INDEX(Units_Owners!$I$5:$I$504,MATCH($D454,Units_Owners!$A$5:$A$504,0)),"No")&lt;&gt;"Yes","Skip - Inactive",IF($P454=0,"Paid",IF(TODAY()&gt;$I454,"Past Due","Open"))))</f>
        <v/>
      </c>
      <c r="R454" s="14" t="n"/>
      <c r="S454" s="6" t="n"/>
    </row>
    <row r="455">
      <c r="A455" s="2">
        <f>IF($D455="","","INV-"&amp;$B455&amp;"-"&amp;$C455&amp;"-"&amp;TEXT(ROW(A451),"0000"))</f>
        <v/>
      </c>
      <c r="B455" s="2">
        <f>Setup!$B$5</f>
        <v/>
      </c>
      <c r="C455" s="2">
        <f>Setup!$B$6</f>
        <v/>
      </c>
      <c r="D455" s="2">
        <f>IFERROR(INDEX(Units_Owners!$A$5:$A$504,ROWS($A$5:A455)),"")</f>
        <v/>
      </c>
      <c r="E455" s="2">
        <f>IF($D455="","",IFERROR(INDEX(Units_Owners!$B$5:$B$504,MATCH($D455,Units_Owners!$A$5:$A$504,0)),""))</f>
        <v/>
      </c>
      <c r="F455" s="2">
        <f>IF($D455="","",IFERROR(INDEX(Units_Owners!$C$5:$C$504,MATCH($D455,Units_Owners!$A$5:$A$504,0)),""))</f>
        <v/>
      </c>
      <c r="G455" s="2">
        <f>IF($D455="","",IFERROR(INDEX(Units_Owners!$D$5:$D$504,MATCH($D455,Units_Owners!$A$5:$A$504,0)),""))</f>
        <v/>
      </c>
      <c r="H455" s="12">
        <f>Setup!$B$7</f>
        <v/>
      </c>
      <c r="I455" s="12">
        <f>Setup!$B$8</f>
        <v/>
      </c>
      <c r="J455" s="13">
        <f>IF($D455="","",IFERROR(INDEX(Units_Owners!$J$5:$J$504,MATCH($D455,Units_Owners!$A$5:$A$504,0)),0)+SUMIFS(Ledger!$F:$F,Ledger!$B:$B,$D455,Ledger!$D:$D,"&lt;"&amp;$H455)-SUMIFS(Ledger!$G:$G,Ledger!$B:$B,$D455,Ledger!$D:$D,"&lt;"&amp;$H455))</f>
        <v/>
      </c>
      <c r="K455" s="13">
        <f>IF($D455="","",IFERROR(INDEX(Units_Owners!$H$5:$H$504,MATCH($D455,Units_Owners!$A$5:$A$504,0)),Setup!$B$10))</f>
        <v/>
      </c>
      <c r="L455" s="13">
        <f>IF($D455="","",Setup!$B$11)</f>
        <v/>
      </c>
      <c r="M455" s="13">
        <f>IF($D455="","",IF(AND(TODAY()&gt;=Setup!$B$9,$P455&gt;0),Setup!$B$12,0))</f>
        <v/>
      </c>
      <c r="N455" s="13">
        <f>IF($D455="","",SUM($J455:$M455))</f>
        <v/>
      </c>
      <c r="O455" s="13">
        <f>IF($A455="","",SUMIFS(Payments!$F:$F,Payments!$D:$D,$A455))</f>
        <v/>
      </c>
      <c r="P455" s="13">
        <f>IF($D455="","",MAX(0,$N455-$O455))</f>
        <v/>
      </c>
      <c r="Q455" s="2">
        <f>IF($D455="","",IF(IFERROR(INDEX(Units_Owners!$I$5:$I$504,MATCH($D455,Units_Owners!$A$5:$A$504,0)),"No")&lt;&gt;"Yes","Skip - Inactive",IF($P455=0,"Paid",IF(TODAY()&gt;$I455,"Past Due","Open"))))</f>
        <v/>
      </c>
      <c r="R455" s="12" t="n"/>
      <c r="S455" s="2" t="n"/>
    </row>
    <row r="456">
      <c r="A456" s="2">
        <f>IF($D456="","","INV-"&amp;$B456&amp;"-"&amp;$C456&amp;"-"&amp;TEXT(ROW(A452),"0000"))</f>
        <v/>
      </c>
      <c r="B456" s="2">
        <f>Setup!$B$5</f>
        <v/>
      </c>
      <c r="C456" s="2">
        <f>Setup!$B$6</f>
        <v/>
      </c>
      <c r="D456" s="2">
        <f>IFERROR(INDEX(Units_Owners!$A$5:$A$504,ROWS($A$5:A456)),"")</f>
        <v/>
      </c>
      <c r="E456" s="2">
        <f>IF($D456="","",IFERROR(INDEX(Units_Owners!$B$5:$B$504,MATCH($D456,Units_Owners!$A$5:$A$504,0)),""))</f>
        <v/>
      </c>
      <c r="F456" s="2">
        <f>IF($D456="","",IFERROR(INDEX(Units_Owners!$C$5:$C$504,MATCH($D456,Units_Owners!$A$5:$A$504,0)),""))</f>
        <v/>
      </c>
      <c r="G456" s="2">
        <f>IF($D456="","",IFERROR(INDEX(Units_Owners!$D$5:$D$504,MATCH($D456,Units_Owners!$A$5:$A$504,0)),""))</f>
        <v/>
      </c>
      <c r="H456" s="12">
        <f>Setup!$B$7</f>
        <v/>
      </c>
      <c r="I456" s="12">
        <f>Setup!$B$8</f>
        <v/>
      </c>
      <c r="J456" s="13">
        <f>IF($D456="","",IFERROR(INDEX(Units_Owners!$J$5:$J$504,MATCH($D456,Units_Owners!$A$5:$A$504,0)),0)+SUMIFS(Ledger!$F:$F,Ledger!$B:$B,$D456,Ledger!$D:$D,"&lt;"&amp;$H456)-SUMIFS(Ledger!$G:$G,Ledger!$B:$B,$D456,Ledger!$D:$D,"&lt;"&amp;$H456))</f>
        <v/>
      </c>
      <c r="K456" s="13">
        <f>IF($D456="","",IFERROR(INDEX(Units_Owners!$H$5:$H$504,MATCH($D456,Units_Owners!$A$5:$A$504,0)),Setup!$B$10))</f>
        <v/>
      </c>
      <c r="L456" s="13">
        <f>IF($D456="","",Setup!$B$11)</f>
        <v/>
      </c>
      <c r="M456" s="13">
        <f>IF($D456="","",IF(AND(TODAY()&gt;=Setup!$B$9,$P456&gt;0),Setup!$B$12,0))</f>
        <v/>
      </c>
      <c r="N456" s="13">
        <f>IF($D456="","",SUM($J456:$M456))</f>
        <v/>
      </c>
      <c r="O456" s="13">
        <f>IF($A456="","",SUMIFS(Payments!$F:$F,Payments!$D:$D,$A456))</f>
        <v/>
      </c>
      <c r="P456" s="13">
        <f>IF($D456="","",MAX(0,$N456-$O456))</f>
        <v/>
      </c>
      <c r="Q456" s="2">
        <f>IF($D456="","",IF(IFERROR(INDEX(Units_Owners!$I$5:$I$504,MATCH($D456,Units_Owners!$A$5:$A$504,0)),"No")&lt;&gt;"Yes","Skip - Inactive",IF($P456=0,"Paid",IF(TODAY()&gt;$I456,"Past Due","Open"))))</f>
        <v/>
      </c>
      <c r="R456" s="14" t="n"/>
      <c r="S456" s="6" t="n"/>
    </row>
    <row r="457">
      <c r="A457" s="2">
        <f>IF($D457="","","INV-"&amp;$B457&amp;"-"&amp;$C457&amp;"-"&amp;TEXT(ROW(A453),"0000"))</f>
        <v/>
      </c>
      <c r="B457" s="2">
        <f>Setup!$B$5</f>
        <v/>
      </c>
      <c r="C457" s="2">
        <f>Setup!$B$6</f>
        <v/>
      </c>
      <c r="D457" s="2">
        <f>IFERROR(INDEX(Units_Owners!$A$5:$A$504,ROWS($A$5:A457)),"")</f>
        <v/>
      </c>
      <c r="E457" s="2">
        <f>IF($D457="","",IFERROR(INDEX(Units_Owners!$B$5:$B$504,MATCH($D457,Units_Owners!$A$5:$A$504,0)),""))</f>
        <v/>
      </c>
      <c r="F457" s="2">
        <f>IF($D457="","",IFERROR(INDEX(Units_Owners!$C$5:$C$504,MATCH($D457,Units_Owners!$A$5:$A$504,0)),""))</f>
        <v/>
      </c>
      <c r="G457" s="2">
        <f>IF($D457="","",IFERROR(INDEX(Units_Owners!$D$5:$D$504,MATCH($D457,Units_Owners!$A$5:$A$504,0)),""))</f>
        <v/>
      </c>
      <c r="H457" s="12">
        <f>Setup!$B$7</f>
        <v/>
      </c>
      <c r="I457" s="12">
        <f>Setup!$B$8</f>
        <v/>
      </c>
      <c r="J457" s="13">
        <f>IF($D457="","",IFERROR(INDEX(Units_Owners!$J$5:$J$504,MATCH($D457,Units_Owners!$A$5:$A$504,0)),0)+SUMIFS(Ledger!$F:$F,Ledger!$B:$B,$D457,Ledger!$D:$D,"&lt;"&amp;$H457)-SUMIFS(Ledger!$G:$G,Ledger!$B:$B,$D457,Ledger!$D:$D,"&lt;"&amp;$H457))</f>
        <v/>
      </c>
      <c r="K457" s="13">
        <f>IF($D457="","",IFERROR(INDEX(Units_Owners!$H$5:$H$504,MATCH($D457,Units_Owners!$A$5:$A$504,0)),Setup!$B$10))</f>
        <v/>
      </c>
      <c r="L457" s="13">
        <f>IF($D457="","",Setup!$B$11)</f>
        <v/>
      </c>
      <c r="M457" s="13">
        <f>IF($D457="","",IF(AND(TODAY()&gt;=Setup!$B$9,$P457&gt;0),Setup!$B$12,0))</f>
        <v/>
      </c>
      <c r="N457" s="13">
        <f>IF($D457="","",SUM($J457:$M457))</f>
        <v/>
      </c>
      <c r="O457" s="13">
        <f>IF($A457="","",SUMIFS(Payments!$F:$F,Payments!$D:$D,$A457))</f>
        <v/>
      </c>
      <c r="P457" s="13">
        <f>IF($D457="","",MAX(0,$N457-$O457))</f>
        <v/>
      </c>
      <c r="Q457" s="2">
        <f>IF($D457="","",IF(IFERROR(INDEX(Units_Owners!$I$5:$I$504,MATCH($D457,Units_Owners!$A$5:$A$504,0)),"No")&lt;&gt;"Yes","Skip - Inactive",IF($P457=0,"Paid",IF(TODAY()&gt;$I457,"Past Due","Open"))))</f>
        <v/>
      </c>
      <c r="R457" s="12" t="n"/>
      <c r="S457" s="2" t="n"/>
    </row>
    <row r="458">
      <c r="A458" s="2">
        <f>IF($D458="","","INV-"&amp;$B458&amp;"-"&amp;$C458&amp;"-"&amp;TEXT(ROW(A454),"0000"))</f>
        <v/>
      </c>
      <c r="B458" s="2">
        <f>Setup!$B$5</f>
        <v/>
      </c>
      <c r="C458" s="2">
        <f>Setup!$B$6</f>
        <v/>
      </c>
      <c r="D458" s="2">
        <f>IFERROR(INDEX(Units_Owners!$A$5:$A$504,ROWS($A$5:A458)),"")</f>
        <v/>
      </c>
      <c r="E458" s="2">
        <f>IF($D458="","",IFERROR(INDEX(Units_Owners!$B$5:$B$504,MATCH($D458,Units_Owners!$A$5:$A$504,0)),""))</f>
        <v/>
      </c>
      <c r="F458" s="2">
        <f>IF($D458="","",IFERROR(INDEX(Units_Owners!$C$5:$C$504,MATCH($D458,Units_Owners!$A$5:$A$504,0)),""))</f>
        <v/>
      </c>
      <c r="G458" s="2">
        <f>IF($D458="","",IFERROR(INDEX(Units_Owners!$D$5:$D$504,MATCH($D458,Units_Owners!$A$5:$A$504,0)),""))</f>
        <v/>
      </c>
      <c r="H458" s="12">
        <f>Setup!$B$7</f>
        <v/>
      </c>
      <c r="I458" s="12">
        <f>Setup!$B$8</f>
        <v/>
      </c>
      <c r="J458" s="13">
        <f>IF($D458="","",IFERROR(INDEX(Units_Owners!$J$5:$J$504,MATCH($D458,Units_Owners!$A$5:$A$504,0)),0)+SUMIFS(Ledger!$F:$F,Ledger!$B:$B,$D458,Ledger!$D:$D,"&lt;"&amp;$H458)-SUMIFS(Ledger!$G:$G,Ledger!$B:$B,$D458,Ledger!$D:$D,"&lt;"&amp;$H458))</f>
        <v/>
      </c>
      <c r="K458" s="13">
        <f>IF($D458="","",IFERROR(INDEX(Units_Owners!$H$5:$H$504,MATCH($D458,Units_Owners!$A$5:$A$504,0)),Setup!$B$10))</f>
        <v/>
      </c>
      <c r="L458" s="13">
        <f>IF($D458="","",Setup!$B$11)</f>
        <v/>
      </c>
      <c r="M458" s="13">
        <f>IF($D458="","",IF(AND(TODAY()&gt;=Setup!$B$9,$P458&gt;0),Setup!$B$12,0))</f>
        <v/>
      </c>
      <c r="N458" s="13">
        <f>IF($D458="","",SUM($J458:$M458))</f>
        <v/>
      </c>
      <c r="O458" s="13">
        <f>IF($A458="","",SUMIFS(Payments!$F:$F,Payments!$D:$D,$A458))</f>
        <v/>
      </c>
      <c r="P458" s="13">
        <f>IF($D458="","",MAX(0,$N458-$O458))</f>
        <v/>
      </c>
      <c r="Q458" s="2">
        <f>IF($D458="","",IF(IFERROR(INDEX(Units_Owners!$I$5:$I$504,MATCH($D458,Units_Owners!$A$5:$A$504,0)),"No")&lt;&gt;"Yes","Skip - Inactive",IF($P458=0,"Paid",IF(TODAY()&gt;$I458,"Past Due","Open"))))</f>
        <v/>
      </c>
      <c r="R458" s="14" t="n"/>
      <c r="S458" s="6" t="n"/>
    </row>
    <row r="459">
      <c r="A459" s="2">
        <f>IF($D459="","","INV-"&amp;$B459&amp;"-"&amp;$C459&amp;"-"&amp;TEXT(ROW(A455),"0000"))</f>
        <v/>
      </c>
      <c r="B459" s="2">
        <f>Setup!$B$5</f>
        <v/>
      </c>
      <c r="C459" s="2">
        <f>Setup!$B$6</f>
        <v/>
      </c>
      <c r="D459" s="2">
        <f>IFERROR(INDEX(Units_Owners!$A$5:$A$504,ROWS($A$5:A459)),"")</f>
        <v/>
      </c>
      <c r="E459" s="2">
        <f>IF($D459="","",IFERROR(INDEX(Units_Owners!$B$5:$B$504,MATCH($D459,Units_Owners!$A$5:$A$504,0)),""))</f>
        <v/>
      </c>
      <c r="F459" s="2">
        <f>IF($D459="","",IFERROR(INDEX(Units_Owners!$C$5:$C$504,MATCH($D459,Units_Owners!$A$5:$A$504,0)),""))</f>
        <v/>
      </c>
      <c r="G459" s="2">
        <f>IF($D459="","",IFERROR(INDEX(Units_Owners!$D$5:$D$504,MATCH($D459,Units_Owners!$A$5:$A$504,0)),""))</f>
        <v/>
      </c>
      <c r="H459" s="12">
        <f>Setup!$B$7</f>
        <v/>
      </c>
      <c r="I459" s="12">
        <f>Setup!$B$8</f>
        <v/>
      </c>
      <c r="J459" s="13">
        <f>IF($D459="","",IFERROR(INDEX(Units_Owners!$J$5:$J$504,MATCH($D459,Units_Owners!$A$5:$A$504,0)),0)+SUMIFS(Ledger!$F:$F,Ledger!$B:$B,$D459,Ledger!$D:$D,"&lt;"&amp;$H459)-SUMIFS(Ledger!$G:$G,Ledger!$B:$B,$D459,Ledger!$D:$D,"&lt;"&amp;$H459))</f>
        <v/>
      </c>
      <c r="K459" s="13">
        <f>IF($D459="","",IFERROR(INDEX(Units_Owners!$H$5:$H$504,MATCH($D459,Units_Owners!$A$5:$A$504,0)),Setup!$B$10))</f>
        <v/>
      </c>
      <c r="L459" s="13">
        <f>IF($D459="","",Setup!$B$11)</f>
        <v/>
      </c>
      <c r="M459" s="13">
        <f>IF($D459="","",IF(AND(TODAY()&gt;=Setup!$B$9,$P459&gt;0),Setup!$B$12,0))</f>
        <v/>
      </c>
      <c r="N459" s="13">
        <f>IF($D459="","",SUM($J459:$M459))</f>
        <v/>
      </c>
      <c r="O459" s="13">
        <f>IF($A459="","",SUMIFS(Payments!$F:$F,Payments!$D:$D,$A459))</f>
        <v/>
      </c>
      <c r="P459" s="13">
        <f>IF($D459="","",MAX(0,$N459-$O459))</f>
        <v/>
      </c>
      <c r="Q459" s="2">
        <f>IF($D459="","",IF(IFERROR(INDEX(Units_Owners!$I$5:$I$504,MATCH($D459,Units_Owners!$A$5:$A$504,0)),"No")&lt;&gt;"Yes","Skip - Inactive",IF($P459=0,"Paid",IF(TODAY()&gt;$I459,"Past Due","Open"))))</f>
        <v/>
      </c>
      <c r="R459" s="12" t="n"/>
      <c r="S459" s="2" t="n"/>
    </row>
    <row r="460">
      <c r="A460" s="2">
        <f>IF($D460="","","INV-"&amp;$B460&amp;"-"&amp;$C460&amp;"-"&amp;TEXT(ROW(A456),"0000"))</f>
        <v/>
      </c>
      <c r="B460" s="2">
        <f>Setup!$B$5</f>
        <v/>
      </c>
      <c r="C460" s="2">
        <f>Setup!$B$6</f>
        <v/>
      </c>
      <c r="D460" s="2">
        <f>IFERROR(INDEX(Units_Owners!$A$5:$A$504,ROWS($A$5:A460)),"")</f>
        <v/>
      </c>
      <c r="E460" s="2">
        <f>IF($D460="","",IFERROR(INDEX(Units_Owners!$B$5:$B$504,MATCH($D460,Units_Owners!$A$5:$A$504,0)),""))</f>
        <v/>
      </c>
      <c r="F460" s="2">
        <f>IF($D460="","",IFERROR(INDEX(Units_Owners!$C$5:$C$504,MATCH($D460,Units_Owners!$A$5:$A$504,0)),""))</f>
        <v/>
      </c>
      <c r="G460" s="2">
        <f>IF($D460="","",IFERROR(INDEX(Units_Owners!$D$5:$D$504,MATCH($D460,Units_Owners!$A$5:$A$504,0)),""))</f>
        <v/>
      </c>
      <c r="H460" s="12">
        <f>Setup!$B$7</f>
        <v/>
      </c>
      <c r="I460" s="12">
        <f>Setup!$B$8</f>
        <v/>
      </c>
      <c r="J460" s="13">
        <f>IF($D460="","",IFERROR(INDEX(Units_Owners!$J$5:$J$504,MATCH($D460,Units_Owners!$A$5:$A$504,0)),0)+SUMIFS(Ledger!$F:$F,Ledger!$B:$B,$D460,Ledger!$D:$D,"&lt;"&amp;$H460)-SUMIFS(Ledger!$G:$G,Ledger!$B:$B,$D460,Ledger!$D:$D,"&lt;"&amp;$H460))</f>
        <v/>
      </c>
      <c r="K460" s="13">
        <f>IF($D460="","",IFERROR(INDEX(Units_Owners!$H$5:$H$504,MATCH($D460,Units_Owners!$A$5:$A$504,0)),Setup!$B$10))</f>
        <v/>
      </c>
      <c r="L460" s="13">
        <f>IF($D460="","",Setup!$B$11)</f>
        <v/>
      </c>
      <c r="M460" s="13">
        <f>IF($D460="","",IF(AND(TODAY()&gt;=Setup!$B$9,$P460&gt;0),Setup!$B$12,0))</f>
        <v/>
      </c>
      <c r="N460" s="13">
        <f>IF($D460="","",SUM($J460:$M460))</f>
        <v/>
      </c>
      <c r="O460" s="13">
        <f>IF($A460="","",SUMIFS(Payments!$F:$F,Payments!$D:$D,$A460))</f>
        <v/>
      </c>
      <c r="P460" s="13">
        <f>IF($D460="","",MAX(0,$N460-$O460))</f>
        <v/>
      </c>
      <c r="Q460" s="2">
        <f>IF($D460="","",IF(IFERROR(INDEX(Units_Owners!$I$5:$I$504,MATCH($D460,Units_Owners!$A$5:$A$504,0)),"No")&lt;&gt;"Yes","Skip - Inactive",IF($P460=0,"Paid",IF(TODAY()&gt;$I460,"Past Due","Open"))))</f>
        <v/>
      </c>
      <c r="R460" s="14" t="n"/>
      <c r="S460" s="6" t="n"/>
    </row>
    <row r="461">
      <c r="A461" s="2">
        <f>IF($D461="","","INV-"&amp;$B461&amp;"-"&amp;$C461&amp;"-"&amp;TEXT(ROW(A457),"0000"))</f>
        <v/>
      </c>
      <c r="B461" s="2">
        <f>Setup!$B$5</f>
        <v/>
      </c>
      <c r="C461" s="2">
        <f>Setup!$B$6</f>
        <v/>
      </c>
      <c r="D461" s="2">
        <f>IFERROR(INDEX(Units_Owners!$A$5:$A$504,ROWS($A$5:A461)),"")</f>
        <v/>
      </c>
      <c r="E461" s="2">
        <f>IF($D461="","",IFERROR(INDEX(Units_Owners!$B$5:$B$504,MATCH($D461,Units_Owners!$A$5:$A$504,0)),""))</f>
        <v/>
      </c>
      <c r="F461" s="2">
        <f>IF($D461="","",IFERROR(INDEX(Units_Owners!$C$5:$C$504,MATCH($D461,Units_Owners!$A$5:$A$504,0)),""))</f>
        <v/>
      </c>
      <c r="G461" s="2">
        <f>IF($D461="","",IFERROR(INDEX(Units_Owners!$D$5:$D$504,MATCH($D461,Units_Owners!$A$5:$A$504,0)),""))</f>
        <v/>
      </c>
      <c r="H461" s="12">
        <f>Setup!$B$7</f>
        <v/>
      </c>
      <c r="I461" s="12">
        <f>Setup!$B$8</f>
        <v/>
      </c>
      <c r="J461" s="13">
        <f>IF($D461="","",IFERROR(INDEX(Units_Owners!$J$5:$J$504,MATCH($D461,Units_Owners!$A$5:$A$504,0)),0)+SUMIFS(Ledger!$F:$F,Ledger!$B:$B,$D461,Ledger!$D:$D,"&lt;"&amp;$H461)-SUMIFS(Ledger!$G:$G,Ledger!$B:$B,$D461,Ledger!$D:$D,"&lt;"&amp;$H461))</f>
        <v/>
      </c>
      <c r="K461" s="13">
        <f>IF($D461="","",IFERROR(INDEX(Units_Owners!$H$5:$H$504,MATCH($D461,Units_Owners!$A$5:$A$504,0)),Setup!$B$10))</f>
        <v/>
      </c>
      <c r="L461" s="13">
        <f>IF($D461="","",Setup!$B$11)</f>
        <v/>
      </c>
      <c r="M461" s="13">
        <f>IF($D461="","",IF(AND(TODAY()&gt;=Setup!$B$9,$P461&gt;0),Setup!$B$12,0))</f>
        <v/>
      </c>
      <c r="N461" s="13">
        <f>IF($D461="","",SUM($J461:$M461))</f>
        <v/>
      </c>
      <c r="O461" s="13">
        <f>IF($A461="","",SUMIFS(Payments!$F:$F,Payments!$D:$D,$A461))</f>
        <v/>
      </c>
      <c r="P461" s="13">
        <f>IF($D461="","",MAX(0,$N461-$O461))</f>
        <v/>
      </c>
      <c r="Q461" s="2">
        <f>IF($D461="","",IF(IFERROR(INDEX(Units_Owners!$I$5:$I$504,MATCH($D461,Units_Owners!$A$5:$A$504,0)),"No")&lt;&gt;"Yes","Skip - Inactive",IF($P461=0,"Paid",IF(TODAY()&gt;$I461,"Past Due","Open"))))</f>
        <v/>
      </c>
      <c r="R461" s="12" t="n"/>
      <c r="S461" s="2" t="n"/>
    </row>
    <row r="462">
      <c r="A462" s="2">
        <f>IF($D462="","","INV-"&amp;$B462&amp;"-"&amp;$C462&amp;"-"&amp;TEXT(ROW(A458),"0000"))</f>
        <v/>
      </c>
      <c r="B462" s="2">
        <f>Setup!$B$5</f>
        <v/>
      </c>
      <c r="C462" s="2">
        <f>Setup!$B$6</f>
        <v/>
      </c>
      <c r="D462" s="2">
        <f>IFERROR(INDEX(Units_Owners!$A$5:$A$504,ROWS($A$5:A462)),"")</f>
        <v/>
      </c>
      <c r="E462" s="2">
        <f>IF($D462="","",IFERROR(INDEX(Units_Owners!$B$5:$B$504,MATCH($D462,Units_Owners!$A$5:$A$504,0)),""))</f>
        <v/>
      </c>
      <c r="F462" s="2">
        <f>IF($D462="","",IFERROR(INDEX(Units_Owners!$C$5:$C$504,MATCH($D462,Units_Owners!$A$5:$A$504,0)),""))</f>
        <v/>
      </c>
      <c r="G462" s="2">
        <f>IF($D462="","",IFERROR(INDEX(Units_Owners!$D$5:$D$504,MATCH($D462,Units_Owners!$A$5:$A$504,0)),""))</f>
        <v/>
      </c>
      <c r="H462" s="12">
        <f>Setup!$B$7</f>
        <v/>
      </c>
      <c r="I462" s="12">
        <f>Setup!$B$8</f>
        <v/>
      </c>
      <c r="J462" s="13">
        <f>IF($D462="","",IFERROR(INDEX(Units_Owners!$J$5:$J$504,MATCH($D462,Units_Owners!$A$5:$A$504,0)),0)+SUMIFS(Ledger!$F:$F,Ledger!$B:$B,$D462,Ledger!$D:$D,"&lt;"&amp;$H462)-SUMIFS(Ledger!$G:$G,Ledger!$B:$B,$D462,Ledger!$D:$D,"&lt;"&amp;$H462))</f>
        <v/>
      </c>
      <c r="K462" s="13">
        <f>IF($D462="","",IFERROR(INDEX(Units_Owners!$H$5:$H$504,MATCH($D462,Units_Owners!$A$5:$A$504,0)),Setup!$B$10))</f>
        <v/>
      </c>
      <c r="L462" s="13">
        <f>IF($D462="","",Setup!$B$11)</f>
        <v/>
      </c>
      <c r="M462" s="13">
        <f>IF($D462="","",IF(AND(TODAY()&gt;=Setup!$B$9,$P462&gt;0),Setup!$B$12,0))</f>
        <v/>
      </c>
      <c r="N462" s="13">
        <f>IF($D462="","",SUM($J462:$M462))</f>
        <v/>
      </c>
      <c r="O462" s="13">
        <f>IF($A462="","",SUMIFS(Payments!$F:$F,Payments!$D:$D,$A462))</f>
        <v/>
      </c>
      <c r="P462" s="13">
        <f>IF($D462="","",MAX(0,$N462-$O462))</f>
        <v/>
      </c>
      <c r="Q462" s="2">
        <f>IF($D462="","",IF(IFERROR(INDEX(Units_Owners!$I$5:$I$504,MATCH($D462,Units_Owners!$A$5:$A$504,0)),"No")&lt;&gt;"Yes","Skip - Inactive",IF($P462=0,"Paid",IF(TODAY()&gt;$I462,"Past Due","Open"))))</f>
        <v/>
      </c>
      <c r="R462" s="14" t="n"/>
      <c r="S462" s="6" t="n"/>
    </row>
    <row r="463">
      <c r="A463" s="2">
        <f>IF($D463="","","INV-"&amp;$B463&amp;"-"&amp;$C463&amp;"-"&amp;TEXT(ROW(A459),"0000"))</f>
        <v/>
      </c>
      <c r="B463" s="2">
        <f>Setup!$B$5</f>
        <v/>
      </c>
      <c r="C463" s="2">
        <f>Setup!$B$6</f>
        <v/>
      </c>
      <c r="D463" s="2">
        <f>IFERROR(INDEX(Units_Owners!$A$5:$A$504,ROWS($A$5:A463)),"")</f>
        <v/>
      </c>
      <c r="E463" s="2">
        <f>IF($D463="","",IFERROR(INDEX(Units_Owners!$B$5:$B$504,MATCH($D463,Units_Owners!$A$5:$A$504,0)),""))</f>
        <v/>
      </c>
      <c r="F463" s="2">
        <f>IF($D463="","",IFERROR(INDEX(Units_Owners!$C$5:$C$504,MATCH($D463,Units_Owners!$A$5:$A$504,0)),""))</f>
        <v/>
      </c>
      <c r="G463" s="2">
        <f>IF($D463="","",IFERROR(INDEX(Units_Owners!$D$5:$D$504,MATCH($D463,Units_Owners!$A$5:$A$504,0)),""))</f>
        <v/>
      </c>
      <c r="H463" s="12">
        <f>Setup!$B$7</f>
        <v/>
      </c>
      <c r="I463" s="12">
        <f>Setup!$B$8</f>
        <v/>
      </c>
      <c r="J463" s="13">
        <f>IF($D463="","",IFERROR(INDEX(Units_Owners!$J$5:$J$504,MATCH($D463,Units_Owners!$A$5:$A$504,0)),0)+SUMIFS(Ledger!$F:$F,Ledger!$B:$B,$D463,Ledger!$D:$D,"&lt;"&amp;$H463)-SUMIFS(Ledger!$G:$G,Ledger!$B:$B,$D463,Ledger!$D:$D,"&lt;"&amp;$H463))</f>
        <v/>
      </c>
      <c r="K463" s="13">
        <f>IF($D463="","",IFERROR(INDEX(Units_Owners!$H$5:$H$504,MATCH($D463,Units_Owners!$A$5:$A$504,0)),Setup!$B$10))</f>
        <v/>
      </c>
      <c r="L463" s="13">
        <f>IF($D463="","",Setup!$B$11)</f>
        <v/>
      </c>
      <c r="M463" s="13">
        <f>IF($D463="","",IF(AND(TODAY()&gt;=Setup!$B$9,$P463&gt;0),Setup!$B$12,0))</f>
        <v/>
      </c>
      <c r="N463" s="13">
        <f>IF($D463="","",SUM($J463:$M463))</f>
        <v/>
      </c>
      <c r="O463" s="13">
        <f>IF($A463="","",SUMIFS(Payments!$F:$F,Payments!$D:$D,$A463))</f>
        <v/>
      </c>
      <c r="P463" s="13">
        <f>IF($D463="","",MAX(0,$N463-$O463))</f>
        <v/>
      </c>
      <c r="Q463" s="2">
        <f>IF($D463="","",IF(IFERROR(INDEX(Units_Owners!$I$5:$I$504,MATCH($D463,Units_Owners!$A$5:$A$504,0)),"No")&lt;&gt;"Yes","Skip - Inactive",IF($P463=0,"Paid",IF(TODAY()&gt;$I463,"Past Due","Open"))))</f>
        <v/>
      </c>
      <c r="R463" s="12" t="n"/>
      <c r="S463" s="2" t="n"/>
    </row>
    <row r="464">
      <c r="A464" s="2">
        <f>IF($D464="","","INV-"&amp;$B464&amp;"-"&amp;$C464&amp;"-"&amp;TEXT(ROW(A460),"0000"))</f>
        <v/>
      </c>
      <c r="B464" s="2">
        <f>Setup!$B$5</f>
        <v/>
      </c>
      <c r="C464" s="2">
        <f>Setup!$B$6</f>
        <v/>
      </c>
      <c r="D464" s="2">
        <f>IFERROR(INDEX(Units_Owners!$A$5:$A$504,ROWS($A$5:A464)),"")</f>
        <v/>
      </c>
      <c r="E464" s="2">
        <f>IF($D464="","",IFERROR(INDEX(Units_Owners!$B$5:$B$504,MATCH($D464,Units_Owners!$A$5:$A$504,0)),""))</f>
        <v/>
      </c>
      <c r="F464" s="2">
        <f>IF($D464="","",IFERROR(INDEX(Units_Owners!$C$5:$C$504,MATCH($D464,Units_Owners!$A$5:$A$504,0)),""))</f>
        <v/>
      </c>
      <c r="G464" s="2">
        <f>IF($D464="","",IFERROR(INDEX(Units_Owners!$D$5:$D$504,MATCH($D464,Units_Owners!$A$5:$A$504,0)),""))</f>
        <v/>
      </c>
      <c r="H464" s="12">
        <f>Setup!$B$7</f>
        <v/>
      </c>
      <c r="I464" s="12">
        <f>Setup!$B$8</f>
        <v/>
      </c>
      <c r="J464" s="13">
        <f>IF($D464="","",IFERROR(INDEX(Units_Owners!$J$5:$J$504,MATCH($D464,Units_Owners!$A$5:$A$504,0)),0)+SUMIFS(Ledger!$F:$F,Ledger!$B:$B,$D464,Ledger!$D:$D,"&lt;"&amp;$H464)-SUMIFS(Ledger!$G:$G,Ledger!$B:$B,$D464,Ledger!$D:$D,"&lt;"&amp;$H464))</f>
        <v/>
      </c>
      <c r="K464" s="13">
        <f>IF($D464="","",IFERROR(INDEX(Units_Owners!$H$5:$H$504,MATCH($D464,Units_Owners!$A$5:$A$504,0)),Setup!$B$10))</f>
        <v/>
      </c>
      <c r="L464" s="13">
        <f>IF($D464="","",Setup!$B$11)</f>
        <v/>
      </c>
      <c r="M464" s="13">
        <f>IF($D464="","",IF(AND(TODAY()&gt;=Setup!$B$9,$P464&gt;0),Setup!$B$12,0))</f>
        <v/>
      </c>
      <c r="N464" s="13">
        <f>IF($D464="","",SUM($J464:$M464))</f>
        <v/>
      </c>
      <c r="O464" s="13">
        <f>IF($A464="","",SUMIFS(Payments!$F:$F,Payments!$D:$D,$A464))</f>
        <v/>
      </c>
      <c r="P464" s="13">
        <f>IF($D464="","",MAX(0,$N464-$O464))</f>
        <v/>
      </c>
      <c r="Q464" s="2">
        <f>IF($D464="","",IF(IFERROR(INDEX(Units_Owners!$I$5:$I$504,MATCH($D464,Units_Owners!$A$5:$A$504,0)),"No")&lt;&gt;"Yes","Skip - Inactive",IF($P464=0,"Paid",IF(TODAY()&gt;$I464,"Past Due","Open"))))</f>
        <v/>
      </c>
      <c r="R464" s="14" t="n"/>
      <c r="S464" s="6" t="n"/>
    </row>
    <row r="465">
      <c r="A465" s="2">
        <f>IF($D465="","","INV-"&amp;$B465&amp;"-"&amp;$C465&amp;"-"&amp;TEXT(ROW(A461),"0000"))</f>
        <v/>
      </c>
      <c r="B465" s="2">
        <f>Setup!$B$5</f>
        <v/>
      </c>
      <c r="C465" s="2">
        <f>Setup!$B$6</f>
        <v/>
      </c>
      <c r="D465" s="2">
        <f>IFERROR(INDEX(Units_Owners!$A$5:$A$504,ROWS($A$5:A465)),"")</f>
        <v/>
      </c>
      <c r="E465" s="2">
        <f>IF($D465="","",IFERROR(INDEX(Units_Owners!$B$5:$B$504,MATCH($D465,Units_Owners!$A$5:$A$504,0)),""))</f>
        <v/>
      </c>
      <c r="F465" s="2">
        <f>IF($D465="","",IFERROR(INDEX(Units_Owners!$C$5:$C$504,MATCH($D465,Units_Owners!$A$5:$A$504,0)),""))</f>
        <v/>
      </c>
      <c r="G465" s="2">
        <f>IF($D465="","",IFERROR(INDEX(Units_Owners!$D$5:$D$504,MATCH($D465,Units_Owners!$A$5:$A$504,0)),""))</f>
        <v/>
      </c>
      <c r="H465" s="12">
        <f>Setup!$B$7</f>
        <v/>
      </c>
      <c r="I465" s="12">
        <f>Setup!$B$8</f>
        <v/>
      </c>
      <c r="J465" s="13">
        <f>IF($D465="","",IFERROR(INDEX(Units_Owners!$J$5:$J$504,MATCH($D465,Units_Owners!$A$5:$A$504,0)),0)+SUMIFS(Ledger!$F:$F,Ledger!$B:$B,$D465,Ledger!$D:$D,"&lt;"&amp;$H465)-SUMIFS(Ledger!$G:$G,Ledger!$B:$B,$D465,Ledger!$D:$D,"&lt;"&amp;$H465))</f>
        <v/>
      </c>
      <c r="K465" s="13">
        <f>IF($D465="","",IFERROR(INDEX(Units_Owners!$H$5:$H$504,MATCH($D465,Units_Owners!$A$5:$A$504,0)),Setup!$B$10))</f>
        <v/>
      </c>
      <c r="L465" s="13">
        <f>IF($D465="","",Setup!$B$11)</f>
        <v/>
      </c>
      <c r="M465" s="13">
        <f>IF($D465="","",IF(AND(TODAY()&gt;=Setup!$B$9,$P465&gt;0),Setup!$B$12,0))</f>
        <v/>
      </c>
      <c r="N465" s="13">
        <f>IF($D465="","",SUM($J465:$M465))</f>
        <v/>
      </c>
      <c r="O465" s="13">
        <f>IF($A465="","",SUMIFS(Payments!$F:$F,Payments!$D:$D,$A465))</f>
        <v/>
      </c>
      <c r="P465" s="13">
        <f>IF($D465="","",MAX(0,$N465-$O465))</f>
        <v/>
      </c>
      <c r="Q465" s="2">
        <f>IF($D465="","",IF(IFERROR(INDEX(Units_Owners!$I$5:$I$504,MATCH($D465,Units_Owners!$A$5:$A$504,0)),"No")&lt;&gt;"Yes","Skip - Inactive",IF($P465=0,"Paid",IF(TODAY()&gt;$I465,"Past Due","Open"))))</f>
        <v/>
      </c>
      <c r="R465" s="12" t="n"/>
      <c r="S465" s="2" t="n"/>
    </row>
    <row r="466">
      <c r="A466" s="2">
        <f>IF($D466="","","INV-"&amp;$B466&amp;"-"&amp;$C466&amp;"-"&amp;TEXT(ROW(A462),"0000"))</f>
        <v/>
      </c>
      <c r="B466" s="2">
        <f>Setup!$B$5</f>
        <v/>
      </c>
      <c r="C466" s="2">
        <f>Setup!$B$6</f>
        <v/>
      </c>
      <c r="D466" s="2">
        <f>IFERROR(INDEX(Units_Owners!$A$5:$A$504,ROWS($A$5:A466)),"")</f>
        <v/>
      </c>
      <c r="E466" s="2">
        <f>IF($D466="","",IFERROR(INDEX(Units_Owners!$B$5:$B$504,MATCH($D466,Units_Owners!$A$5:$A$504,0)),""))</f>
        <v/>
      </c>
      <c r="F466" s="2">
        <f>IF($D466="","",IFERROR(INDEX(Units_Owners!$C$5:$C$504,MATCH($D466,Units_Owners!$A$5:$A$504,0)),""))</f>
        <v/>
      </c>
      <c r="G466" s="2">
        <f>IF($D466="","",IFERROR(INDEX(Units_Owners!$D$5:$D$504,MATCH($D466,Units_Owners!$A$5:$A$504,0)),""))</f>
        <v/>
      </c>
      <c r="H466" s="12">
        <f>Setup!$B$7</f>
        <v/>
      </c>
      <c r="I466" s="12">
        <f>Setup!$B$8</f>
        <v/>
      </c>
      <c r="J466" s="13">
        <f>IF($D466="","",IFERROR(INDEX(Units_Owners!$J$5:$J$504,MATCH($D466,Units_Owners!$A$5:$A$504,0)),0)+SUMIFS(Ledger!$F:$F,Ledger!$B:$B,$D466,Ledger!$D:$D,"&lt;"&amp;$H466)-SUMIFS(Ledger!$G:$G,Ledger!$B:$B,$D466,Ledger!$D:$D,"&lt;"&amp;$H466))</f>
        <v/>
      </c>
      <c r="K466" s="13">
        <f>IF($D466="","",IFERROR(INDEX(Units_Owners!$H$5:$H$504,MATCH($D466,Units_Owners!$A$5:$A$504,0)),Setup!$B$10))</f>
        <v/>
      </c>
      <c r="L466" s="13">
        <f>IF($D466="","",Setup!$B$11)</f>
        <v/>
      </c>
      <c r="M466" s="13">
        <f>IF($D466="","",IF(AND(TODAY()&gt;=Setup!$B$9,$P466&gt;0),Setup!$B$12,0))</f>
        <v/>
      </c>
      <c r="N466" s="13">
        <f>IF($D466="","",SUM($J466:$M466))</f>
        <v/>
      </c>
      <c r="O466" s="13">
        <f>IF($A466="","",SUMIFS(Payments!$F:$F,Payments!$D:$D,$A466))</f>
        <v/>
      </c>
      <c r="P466" s="13">
        <f>IF($D466="","",MAX(0,$N466-$O466))</f>
        <v/>
      </c>
      <c r="Q466" s="2">
        <f>IF($D466="","",IF(IFERROR(INDEX(Units_Owners!$I$5:$I$504,MATCH($D466,Units_Owners!$A$5:$A$504,0)),"No")&lt;&gt;"Yes","Skip - Inactive",IF($P466=0,"Paid",IF(TODAY()&gt;$I466,"Past Due","Open"))))</f>
        <v/>
      </c>
      <c r="R466" s="14" t="n"/>
      <c r="S466" s="6" t="n"/>
    </row>
    <row r="467">
      <c r="A467" s="2">
        <f>IF($D467="","","INV-"&amp;$B467&amp;"-"&amp;$C467&amp;"-"&amp;TEXT(ROW(A463),"0000"))</f>
        <v/>
      </c>
      <c r="B467" s="2">
        <f>Setup!$B$5</f>
        <v/>
      </c>
      <c r="C467" s="2">
        <f>Setup!$B$6</f>
        <v/>
      </c>
      <c r="D467" s="2">
        <f>IFERROR(INDEX(Units_Owners!$A$5:$A$504,ROWS($A$5:A467)),"")</f>
        <v/>
      </c>
      <c r="E467" s="2">
        <f>IF($D467="","",IFERROR(INDEX(Units_Owners!$B$5:$B$504,MATCH($D467,Units_Owners!$A$5:$A$504,0)),""))</f>
        <v/>
      </c>
      <c r="F467" s="2">
        <f>IF($D467="","",IFERROR(INDEX(Units_Owners!$C$5:$C$504,MATCH($D467,Units_Owners!$A$5:$A$504,0)),""))</f>
        <v/>
      </c>
      <c r="G467" s="2">
        <f>IF($D467="","",IFERROR(INDEX(Units_Owners!$D$5:$D$504,MATCH($D467,Units_Owners!$A$5:$A$504,0)),""))</f>
        <v/>
      </c>
      <c r="H467" s="12">
        <f>Setup!$B$7</f>
        <v/>
      </c>
      <c r="I467" s="12">
        <f>Setup!$B$8</f>
        <v/>
      </c>
      <c r="J467" s="13">
        <f>IF($D467="","",IFERROR(INDEX(Units_Owners!$J$5:$J$504,MATCH($D467,Units_Owners!$A$5:$A$504,0)),0)+SUMIFS(Ledger!$F:$F,Ledger!$B:$B,$D467,Ledger!$D:$D,"&lt;"&amp;$H467)-SUMIFS(Ledger!$G:$G,Ledger!$B:$B,$D467,Ledger!$D:$D,"&lt;"&amp;$H467))</f>
        <v/>
      </c>
      <c r="K467" s="13">
        <f>IF($D467="","",IFERROR(INDEX(Units_Owners!$H$5:$H$504,MATCH($D467,Units_Owners!$A$5:$A$504,0)),Setup!$B$10))</f>
        <v/>
      </c>
      <c r="L467" s="13">
        <f>IF($D467="","",Setup!$B$11)</f>
        <v/>
      </c>
      <c r="M467" s="13">
        <f>IF($D467="","",IF(AND(TODAY()&gt;=Setup!$B$9,$P467&gt;0),Setup!$B$12,0))</f>
        <v/>
      </c>
      <c r="N467" s="13">
        <f>IF($D467="","",SUM($J467:$M467))</f>
        <v/>
      </c>
      <c r="O467" s="13">
        <f>IF($A467="","",SUMIFS(Payments!$F:$F,Payments!$D:$D,$A467))</f>
        <v/>
      </c>
      <c r="P467" s="13">
        <f>IF($D467="","",MAX(0,$N467-$O467))</f>
        <v/>
      </c>
      <c r="Q467" s="2">
        <f>IF($D467="","",IF(IFERROR(INDEX(Units_Owners!$I$5:$I$504,MATCH($D467,Units_Owners!$A$5:$A$504,0)),"No")&lt;&gt;"Yes","Skip - Inactive",IF($P467=0,"Paid",IF(TODAY()&gt;$I467,"Past Due","Open"))))</f>
        <v/>
      </c>
      <c r="R467" s="12" t="n"/>
      <c r="S467" s="2" t="n"/>
    </row>
    <row r="468">
      <c r="A468" s="2">
        <f>IF($D468="","","INV-"&amp;$B468&amp;"-"&amp;$C468&amp;"-"&amp;TEXT(ROW(A464),"0000"))</f>
        <v/>
      </c>
      <c r="B468" s="2">
        <f>Setup!$B$5</f>
        <v/>
      </c>
      <c r="C468" s="2">
        <f>Setup!$B$6</f>
        <v/>
      </c>
      <c r="D468" s="2">
        <f>IFERROR(INDEX(Units_Owners!$A$5:$A$504,ROWS($A$5:A468)),"")</f>
        <v/>
      </c>
      <c r="E468" s="2">
        <f>IF($D468="","",IFERROR(INDEX(Units_Owners!$B$5:$B$504,MATCH($D468,Units_Owners!$A$5:$A$504,0)),""))</f>
        <v/>
      </c>
      <c r="F468" s="2">
        <f>IF($D468="","",IFERROR(INDEX(Units_Owners!$C$5:$C$504,MATCH($D468,Units_Owners!$A$5:$A$504,0)),""))</f>
        <v/>
      </c>
      <c r="G468" s="2">
        <f>IF($D468="","",IFERROR(INDEX(Units_Owners!$D$5:$D$504,MATCH($D468,Units_Owners!$A$5:$A$504,0)),""))</f>
        <v/>
      </c>
      <c r="H468" s="12">
        <f>Setup!$B$7</f>
        <v/>
      </c>
      <c r="I468" s="12">
        <f>Setup!$B$8</f>
        <v/>
      </c>
      <c r="J468" s="13">
        <f>IF($D468="","",IFERROR(INDEX(Units_Owners!$J$5:$J$504,MATCH($D468,Units_Owners!$A$5:$A$504,0)),0)+SUMIFS(Ledger!$F:$F,Ledger!$B:$B,$D468,Ledger!$D:$D,"&lt;"&amp;$H468)-SUMIFS(Ledger!$G:$G,Ledger!$B:$B,$D468,Ledger!$D:$D,"&lt;"&amp;$H468))</f>
        <v/>
      </c>
      <c r="K468" s="13">
        <f>IF($D468="","",IFERROR(INDEX(Units_Owners!$H$5:$H$504,MATCH($D468,Units_Owners!$A$5:$A$504,0)),Setup!$B$10))</f>
        <v/>
      </c>
      <c r="L468" s="13">
        <f>IF($D468="","",Setup!$B$11)</f>
        <v/>
      </c>
      <c r="M468" s="13">
        <f>IF($D468="","",IF(AND(TODAY()&gt;=Setup!$B$9,$P468&gt;0),Setup!$B$12,0))</f>
        <v/>
      </c>
      <c r="N468" s="13">
        <f>IF($D468="","",SUM($J468:$M468))</f>
        <v/>
      </c>
      <c r="O468" s="13">
        <f>IF($A468="","",SUMIFS(Payments!$F:$F,Payments!$D:$D,$A468))</f>
        <v/>
      </c>
      <c r="P468" s="13">
        <f>IF($D468="","",MAX(0,$N468-$O468))</f>
        <v/>
      </c>
      <c r="Q468" s="2">
        <f>IF($D468="","",IF(IFERROR(INDEX(Units_Owners!$I$5:$I$504,MATCH($D468,Units_Owners!$A$5:$A$504,0)),"No")&lt;&gt;"Yes","Skip - Inactive",IF($P468=0,"Paid",IF(TODAY()&gt;$I468,"Past Due","Open"))))</f>
        <v/>
      </c>
      <c r="R468" s="14" t="n"/>
      <c r="S468" s="6" t="n"/>
    </row>
    <row r="469">
      <c r="A469" s="2">
        <f>IF($D469="","","INV-"&amp;$B469&amp;"-"&amp;$C469&amp;"-"&amp;TEXT(ROW(A465),"0000"))</f>
        <v/>
      </c>
      <c r="B469" s="2">
        <f>Setup!$B$5</f>
        <v/>
      </c>
      <c r="C469" s="2">
        <f>Setup!$B$6</f>
        <v/>
      </c>
      <c r="D469" s="2">
        <f>IFERROR(INDEX(Units_Owners!$A$5:$A$504,ROWS($A$5:A469)),"")</f>
        <v/>
      </c>
      <c r="E469" s="2">
        <f>IF($D469="","",IFERROR(INDEX(Units_Owners!$B$5:$B$504,MATCH($D469,Units_Owners!$A$5:$A$504,0)),""))</f>
        <v/>
      </c>
      <c r="F469" s="2">
        <f>IF($D469="","",IFERROR(INDEX(Units_Owners!$C$5:$C$504,MATCH($D469,Units_Owners!$A$5:$A$504,0)),""))</f>
        <v/>
      </c>
      <c r="G469" s="2">
        <f>IF($D469="","",IFERROR(INDEX(Units_Owners!$D$5:$D$504,MATCH($D469,Units_Owners!$A$5:$A$504,0)),""))</f>
        <v/>
      </c>
      <c r="H469" s="12">
        <f>Setup!$B$7</f>
        <v/>
      </c>
      <c r="I469" s="12">
        <f>Setup!$B$8</f>
        <v/>
      </c>
      <c r="J469" s="13">
        <f>IF($D469="","",IFERROR(INDEX(Units_Owners!$J$5:$J$504,MATCH($D469,Units_Owners!$A$5:$A$504,0)),0)+SUMIFS(Ledger!$F:$F,Ledger!$B:$B,$D469,Ledger!$D:$D,"&lt;"&amp;$H469)-SUMIFS(Ledger!$G:$G,Ledger!$B:$B,$D469,Ledger!$D:$D,"&lt;"&amp;$H469))</f>
        <v/>
      </c>
      <c r="K469" s="13">
        <f>IF($D469="","",IFERROR(INDEX(Units_Owners!$H$5:$H$504,MATCH($D469,Units_Owners!$A$5:$A$504,0)),Setup!$B$10))</f>
        <v/>
      </c>
      <c r="L469" s="13">
        <f>IF($D469="","",Setup!$B$11)</f>
        <v/>
      </c>
      <c r="M469" s="13">
        <f>IF($D469="","",IF(AND(TODAY()&gt;=Setup!$B$9,$P469&gt;0),Setup!$B$12,0))</f>
        <v/>
      </c>
      <c r="N469" s="13">
        <f>IF($D469="","",SUM($J469:$M469))</f>
        <v/>
      </c>
      <c r="O469" s="13">
        <f>IF($A469="","",SUMIFS(Payments!$F:$F,Payments!$D:$D,$A469))</f>
        <v/>
      </c>
      <c r="P469" s="13">
        <f>IF($D469="","",MAX(0,$N469-$O469))</f>
        <v/>
      </c>
      <c r="Q469" s="2">
        <f>IF($D469="","",IF(IFERROR(INDEX(Units_Owners!$I$5:$I$504,MATCH($D469,Units_Owners!$A$5:$A$504,0)),"No")&lt;&gt;"Yes","Skip - Inactive",IF($P469=0,"Paid",IF(TODAY()&gt;$I469,"Past Due","Open"))))</f>
        <v/>
      </c>
      <c r="R469" s="12" t="n"/>
      <c r="S469" s="2" t="n"/>
    </row>
    <row r="470">
      <c r="A470" s="2">
        <f>IF($D470="","","INV-"&amp;$B470&amp;"-"&amp;$C470&amp;"-"&amp;TEXT(ROW(A466),"0000"))</f>
        <v/>
      </c>
      <c r="B470" s="2">
        <f>Setup!$B$5</f>
        <v/>
      </c>
      <c r="C470" s="2">
        <f>Setup!$B$6</f>
        <v/>
      </c>
      <c r="D470" s="2">
        <f>IFERROR(INDEX(Units_Owners!$A$5:$A$504,ROWS($A$5:A470)),"")</f>
        <v/>
      </c>
      <c r="E470" s="2">
        <f>IF($D470="","",IFERROR(INDEX(Units_Owners!$B$5:$B$504,MATCH($D470,Units_Owners!$A$5:$A$504,0)),""))</f>
        <v/>
      </c>
      <c r="F470" s="2">
        <f>IF($D470="","",IFERROR(INDEX(Units_Owners!$C$5:$C$504,MATCH($D470,Units_Owners!$A$5:$A$504,0)),""))</f>
        <v/>
      </c>
      <c r="G470" s="2">
        <f>IF($D470="","",IFERROR(INDEX(Units_Owners!$D$5:$D$504,MATCH($D470,Units_Owners!$A$5:$A$504,0)),""))</f>
        <v/>
      </c>
      <c r="H470" s="12">
        <f>Setup!$B$7</f>
        <v/>
      </c>
      <c r="I470" s="12">
        <f>Setup!$B$8</f>
        <v/>
      </c>
      <c r="J470" s="13">
        <f>IF($D470="","",IFERROR(INDEX(Units_Owners!$J$5:$J$504,MATCH($D470,Units_Owners!$A$5:$A$504,0)),0)+SUMIFS(Ledger!$F:$F,Ledger!$B:$B,$D470,Ledger!$D:$D,"&lt;"&amp;$H470)-SUMIFS(Ledger!$G:$G,Ledger!$B:$B,$D470,Ledger!$D:$D,"&lt;"&amp;$H470))</f>
        <v/>
      </c>
      <c r="K470" s="13">
        <f>IF($D470="","",IFERROR(INDEX(Units_Owners!$H$5:$H$504,MATCH($D470,Units_Owners!$A$5:$A$504,0)),Setup!$B$10))</f>
        <v/>
      </c>
      <c r="L470" s="13">
        <f>IF($D470="","",Setup!$B$11)</f>
        <v/>
      </c>
      <c r="M470" s="13">
        <f>IF($D470="","",IF(AND(TODAY()&gt;=Setup!$B$9,$P470&gt;0),Setup!$B$12,0))</f>
        <v/>
      </c>
      <c r="N470" s="13">
        <f>IF($D470="","",SUM($J470:$M470))</f>
        <v/>
      </c>
      <c r="O470" s="13">
        <f>IF($A470="","",SUMIFS(Payments!$F:$F,Payments!$D:$D,$A470))</f>
        <v/>
      </c>
      <c r="P470" s="13">
        <f>IF($D470="","",MAX(0,$N470-$O470))</f>
        <v/>
      </c>
      <c r="Q470" s="2">
        <f>IF($D470="","",IF(IFERROR(INDEX(Units_Owners!$I$5:$I$504,MATCH($D470,Units_Owners!$A$5:$A$504,0)),"No")&lt;&gt;"Yes","Skip - Inactive",IF($P470=0,"Paid",IF(TODAY()&gt;$I470,"Past Due","Open"))))</f>
        <v/>
      </c>
      <c r="R470" s="14" t="n"/>
      <c r="S470" s="6" t="n"/>
    </row>
    <row r="471">
      <c r="A471" s="2">
        <f>IF($D471="","","INV-"&amp;$B471&amp;"-"&amp;$C471&amp;"-"&amp;TEXT(ROW(A467),"0000"))</f>
        <v/>
      </c>
      <c r="B471" s="2">
        <f>Setup!$B$5</f>
        <v/>
      </c>
      <c r="C471" s="2">
        <f>Setup!$B$6</f>
        <v/>
      </c>
      <c r="D471" s="2">
        <f>IFERROR(INDEX(Units_Owners!$A$5:$A$504,ROWS($A$5:A471)),"")</f>
        <v/>
      </c>
      <c r="E471" s="2">
        <f>IF($D471="","",IFERROR(INDEX(Units_Owners!$B$5:$B$504,MATCH($D471,Units_Owners!$A$5:$A$504,0)),""))</f>
        <v/>
      </c>
      <c r="F471" s="2">
        <f>IF($D471="","",IFERROR(INDEX(Units_Owners!$C$5:$C$504,MATCH($D471,Units_Owners!$A$5:$A$504,0)),""))</f>
        <v/>
      </c>
      <c r="G471" s="2">
        <f>IF($D471="","",IFERROR(INDEX(Units_Owners!$D$5:$D$504,MATCH($D471,Units_Owners!$A$5:$A$504,0)),""))</f>
        <v/>
      </c>
      <c r="H471" s="12">
        <f>Setup!$B$7</f>
        <v/>
      </c>
      <c r="I471" s="12">
        <f>Setup!$B$8</f>
        <v/>
      </c>
      <c r="J471" s="13">
        <f>IF($D471="","",IFERROR(INDEX(Units_Owners!$J$5:$J$504,MATCH($D471,Units_Owners!$A$5:$A$504,0)),0)+SUMIFS(Ledger!$F:$F,Ledger!$B:$B,$D471,Ledger!$D:$D,"&lt;"&amp;$H471)-SUMIFS(Ledger!$G:$G,Ledger!$B:$B,$D471,Ledger!$D:$D,"&lt;"&amp;$H471))</f>
        <v/>
      </c>
      <c r="K471" s="13">
        <f>IF($D471="","",IFERROR(INDEX(Units_Owners!$H$5:$H$504,MATCH($D471,Units_Owners!$A$5:$A$504,0)),Setup!$B$10))</f>
        <v/>
      </c>
      <c r="L471" s="13">
        <f>IF($D471="","",Setup!$B$11)</f>
        <v/>
      </c>
      <c r="M471" s="13">
        <f>IF($D471="","",IF(AND(TODAY()&gt;=Setup!$B$9,$P471&gt;0),Setup!$B$12,0))</f>
        <v/>
      </c>
      <c r="N471" s="13">
        <f>IF($D471="","",SUM($J471:$M471))</f>
        <v/>
      </c>
      <c r="O471" s="13">
        <f>IF($A471="","",SUMIFS(Payments!$F:$F,Payments!$D:$D,$A471))</f>
        <v/>
      </c>
      <c r="P471" s="13">
        <f>IF($D471="","",MAX(0,$N471-$O471))</f>
        <v/>
      </c>
      <c r="Q471" s="2">
        <f>IF($D471="","",IF(IFERROR(INDEX(Units_Owners!$I$5:$I$504,MATCH($D471,Units_Owners!$A$5:$A$504,0)),"No")&lt;&gt;"Yes","Skip - Inactive",IF($P471=0,"Paid",IF(TODAY()&gt;$I471,"Past Due","Open"))))</f>
        <v/>
      </c>
      <c r="R471" s="12" t="n"/>
      <c r="S471" s="2" t="n"/>
    </row>
    <row r="472">
      <c r="A472" s="2">
        <f>IF($D472="","","INV-"&amp;$B472&amp;"-"&amp;$C472&amp;"-"&amp;TEXT(ROW(A468),"0000"))</f>
        <v/>
      </c>
      <c r="B472" s="2">
        <f>Setup!$B$5</f>
        <v/>
      </c>
      <c r="C472" s="2">
        <f>Setup!$B$6</f>
        <v/>
      </c>
      <c r="D472" s="2">
        <f>IFERROR(INDEX(Units_Owners!$A$5:$A$504,ROWS($A$5:A472)),"")</f>
        <v/>
      </c>
      <c r="E472" s="2">
        <f>IF($D472="","",IFERROR(INDEX(Units_Owners!$B$5:$B$504,MATCH($D472,Units_Owners!$A$5:$A$504,0)),""))</f>
        <v/>
      </c>
      <c r="F472" s="2">
        <f>IF($D472="","",IFERROR(INDEX(Units_Owners!$C$5:$C$504,MATCH($D472,Units_Owners!$A$5:$A$504,0)),""))</f>
        <v/>
      </c>
      <c r="G472" s="2">
        <f>IF($D472="","",IFERROR(INDEX(Units_Owners!$D$5:$D$504,MATCH($D472,Units_Owners!$A$5:$A$504,0)),""))</f>
        <v/>
      </c>
      <c r="H472" s="12">
        <f>Setup!$B$7</f>
        <v/>
      </c>
      <c r="I472" s="12">
        <f>Setup!$B$8</f>
        <v/>
      </c>
      <c r="J472" s="13">
        <f>IF($D472="","",IFERROR(INDEX(Units_Owners!$J$5:$J$504,MATCH($D472,Units_Owners!$A$5:$A$504,0)),0)+SUMIFS(Ledger!$F:$F,Ledger!$B:$B,$D472,Ledger!$D:$D,"&lt;"&amp;$H472)-SUMIFS(Ledger!$G:$G,Ledger!$B:$B,$D472,Ledger!$D:$D,"&lt;"&amp;$H472))</f>
        <v/>
      </c>
      <c r="K472" s="13">
        <f>IF($D472="","",IFERROR(INDEX(Units_Owners!$H$5:$H$504,MATCH($D472,Units_Owners!$A$5:$A$504,0)),Setup!$B$10))</f>
        <v/>
      </c>
      <c r="L472" s="13">
        <f>IF($D472="","",Setup!$B$11)</f>
        <v/>
      </c>
      <c r="M472" s="13">
        <f>IF($D472="","",IF(AND(TODAY()&gt;=Setup!$B$9,$P472&gt;0),Setup!$B$12,0))</f>
        <v/>
      </c>
      <c r="N472" s="13">
        <f>IF($D472="","",SUM($J472:$M472))</f>
        <v/>
      </c>
      <c r="O472" s="13">
        <f>IF($A472="","",SUMIFS(Payments!$F:$F,Payments!$D:$D,$A472))</f>
        <v/>
      </c>
      <c r="P472" s="13">
        <f>IF($D472="","",MAX(0,$N472-$O472))</f>
        <v/>
      </c>
      <c r="Q472" s="2">
        <f>IF($D472="","",IF(IFERROR(INDEX(Units_Owners!$I$5:$I$504,MATCH($D472,Units_Owners!$A$5:$A$504,0)),"No")&lt;&gt;"Yes","Skip - Inactive",IF($P472=0,"Paid",IF(TODAY()&gt;$I472,"Past Due","Open"))))</f>
        <v/>
      </c>
      <c r="R472" s="14" t="n"/>
      <c r="S472" s="6" t="n"/>
    </row>
    <row r="473">
      <c r="A473" s="2">
        <f>IF($D473="","","INV-"&amp;$B473&amp;"-"&amp;$C473&amp;"-"&amp;TEXT(ROW(A469),"0000"))</f>
        <v/>
      </c>
      <c r="B473" s="2">
        <f>Setup!$B$5</f>
        <v/>
      </c>
      <c r="C473" s="2">
        <f>Setup!$B$6</f>
        <v/>
      </c>
      <c r="D473" s="2">
        <f>IFERROR(INDEX(Units_Owners!$A$5:$A$504,ROWS($A$5:A473)),"")</f>
        <v/>
      </c>
      <c r="E473" s="2">
        <f>IF($D473="","",IFERROR(INDEX(Units_Owners!$B$5:$B$504,MATCH($D473,Units_Owners!$A$5:$A$504,0)),""))</f>
        <v/>
      </c>
      <c r="F473" s="2">
        <f>IF($D473="","",IFERROR(INDEX(Units_Owners!$C$5:$C$504,MATCH($D473,Units_Owners!$A$5:$A$504,0)),""))</f>
        <v/>
      </c>
      <c r="G473" s="2">
        <f>IF($D473="","",IFERROR(INDEX(Units_Owners!$D$5:$D$504,MATCH($D473,Units_Owners!$A$5:$A$504,0)),""))</f>
        <v/>
      </c>
      <c r="H473" s="12">
        <f>Setup!$B$7</f>
        <v/>
      </c>
      <c r="I473" s="12">
        <f>Setup!$B$8</f>
        <v/>
      </c>
      <c r="J473" s="13">
        <f>IF($D473="","",IFERROR(INDEX(Units_Owners!$J$5:$J$504,MATCH($D473,Units_Owners!$A$5:$A$504,0)),0)+SUMIFS(Ledger!$F:$F,Ledger!$B:$B,$D473,Ledger!$D:$D,"&lt;"&amp;$H473)-SUMIFS(Ledger!$G:$G,Ledger!$B:$B,$D473,Ledger!$D:$D,"&lt;"&amp;$H473))</f>
        <v/>
      </c>
      <c r="K473" s="13">
        <f>IF($D473="","",IFERROR(INDEX(Units_Owners!$H$5:$H$504,MATCH($D473,Units_Owners!$A$5:$A$504,0)),Setup!$B$10))</f>
        <v/>
      </c>
      <c r="L473" s="13">
        <f>IF($D473="","",Setup!$B$11)</f>
        <v/>
      </c>
      <c r="M473" s="13">
        <f>IF($D473="","",IF(AND(TODAY()&gt;=Setup!$B$9,$P473&gt;0),Setup!$B$12,0))</f>
        <v/>
      </c>
      <c r="N473" s="13">
        <f>IF($D473="","",SUM($J473:$M473))</f>
        <v/>
      </c>
      <c r="O473" s="13">
        <f>IF($A473="","",SUMIFS(Payments!$F:$F,Payments!$D:$D,$A473))</f>
        <v/>
      </c>
      <c r="P473" s="13">
        <f>IF($D473="","",MAX(0,$N473-$O473))</f>
        <v/>
      </c>
      <c r="Q473" s="2">
        <f>IF($D473="","",IF(IFERROR(INDEX(Units_Owners!$I$5:$I$504,MATCH($D473,Units_Owners!$A$5:$A$504,0)),"No")&lt;&gt;"Yes","Skip - Inactive",IF($P473=0,"Paid",IF(TODAY()&gt;$I473,"Past Due","Open"))))</f>
        <v/>
      </c>
      <c r="R473" s="12" t="n"/>
      <c r="S473" s="2" t="n"/>
    </row>
    <row r="474">
      <c r="A474" s="2">
        <f>IF($D474="","","INV-"&amp;$B474&amp;"-"&amp;$C474&amp;"-"&amp;TEXT(ROW(A470),"0000"))</f>
        <v/>
      </c>
      <c r="B474" s="2">
        <f>Setup!$B$5</f>
        <v/>
      </c>
      <c r="C474" s="2">
        <f>Setup!$B$6</f>
        <v/>
      </c>
      <c r="D474" s="2">
        <f>IFERROR(INDEX(Units_Owners!$A$5:$A$504,ROWS($A$5:A474)),"")</f>
        <v/>
      </c>
      <c r="E474" s="2">
        <f>IF($D474="","",IFERROR(INDEX(Units_Owners!$B$5:$B$504,MATCH($D474,Units_Owners!$A$5:$A$504,0)),""))</f>
        <v/>
      </c>
      <c r="F474" s="2">
        <f>IF($D474="","",IFERROR(INDEX(Units_Owners!$C$5:$C$504,MATCH($D474,Units_Owners!$A$5:$A$504,0)),""))</f>
        <v/>
      </c>
      <c r="G474" s="2">
        <f>IF($D474="","",IFERROR(INDEX(Units_Owners!$D$5:$D$504,MATCH($D474,Units_Owners!$A$5:$A$504,0)),""))</f>
        <v/>
      </c>
      <c r="H474" s="12">
        <f>Setup!$B$7</f>
        <v/>
      </c>
      <c r="I474" s="12">
        <f>Setup!$B$8</f>
        <v/>
      </c>
      <c r="J474" s="13">
        <f>IF($D474="","",IFERROR(INDEX(Units_Owners!$J$5:$J$504,MATCH($D474,Units_Owners!$A$5:$A$504,0)),0)+SUMIFS(Ledger!$F:$F,Ledger!$B:$B,$D474,Ledger!$D:$D,"&lt;"&amp;$H474)-SUMIFS(Ledger!$G:$G,Ledger!$B:$B,$D474,Ledger!$D:$D,"&lt;"&amp;$H474))</f>
        <v/>
      </c>
      <c r="K474" s="13">
        <f>IF($D474="","",IFERROR(INDEX(Units_Owners!$H$5:$H$504,MATCH($D474,Units_Owners!$A$5:$A$504,0)),Setup!$B$10))</f>
        <v/>
      </c>
      <c r="L474" s="13">
        <f>IF($D474="","",Setup!$B$11)</f>
        <v/>
      </c>
      <c r="M474" s="13">
        <f>IF($D474="","",IF(AND(TODAY()&gt;=Setup!$B$9,$P474&gt;0),Setup!$B$12,0))</f>
        <v/>
      </c>
      <c r="N474" s="13">
        <f>IF($D474="","",SUM($J474:$M474))</f>
        <v/>
      </c>
      <c r="O474" s="13">
        <f>IF($A474="","",SUMIFS(Payments!$F:$F,Payments!$D:$D,$A474))</f>
        <v/>
      </c>
      <c r="P474" s="13">
        <f>IF($D474="","",MAX(0,$N474-$O474))</f>
        <v/>
      </c>
      <c r="Q474" s="2">
        <f>IF($D474="","",IF(IFERROR(INDEX(Units_Owners!$I$5:$I$504,MATCH($D474,Units_Owners!$A$5:$A$504,0)),"No")&lt;&gt;"Yes","Skip - Inactive",IF($P474=0,"Paid",IF(TODAY()&gt;$I474,"Past Due","Open"))))</f>
        <v/>
      </c>
      <c r="R474" s="14" t="n"/>
      <c r="S474" s="6" t="n"/>
    </row>
    <row r="475">
      <c r="A475" s="2">
        <f>IF($D475="","","INV-"&amp;$B475&amp;"-"&amp;$C475&amp;"-"&amp;TEXT(ROW(A471),"0000"))</f>
        <v/>
      </c>
      <c r="B475" s="2">
        <f>Setup!$B$5</f>
        <v/>
      </c>
      <c r="C475" s="2">
        <f>Setup!$B$6</f>
        <v/>
      </c>
      <c r="D475" s="2">
        <f>IFERROR(INDEX(Units_Owners!$A$5:$A$504,ROWS($A$5:A475)),"")</f>
        <v/>
      </c>
      <c r="E475" s="2">
        <f>IF($D475="","",IFERROR(INDEX(Units_Owners!$B$5:$B$504,MATCH($D475,Units_Owners!$A$5:$A$504,0)),""))</f>
        <v/>
      </c>
      <c r="F475" s="2">
        <f>IF($D475="","",IFERROR(INDEX(Units_Owners!$C$5:$C$504,MATCH($D475,Units_Owners!$A$5:$A$504,0)),""))</f>
        <v/>
      </c>
      <c r="G475" s="2">
        <f>IF($D475="","",IFERROR(INDEX(Units_Owners!$D$5:$D$504,MATCH($D475,Units_Owners!$A$5:$A$504,0)),""))</f>
        <v/>
      </c>
      <c r="H475" s="12">
        <f>Setup!$B$7</f>
        <v/>
      </c>
      <c r="I475" s="12">
        <f>Setup!$B$8</f>
        <v/>
      </c>
      <c r="J475" s="13">
        <f>IF($D475="","",IFERROR(INDEX(Units_Owners!$J$5:$J$504,MATCH($D475,Units_Owners!$A$5:$A$504,0)),0)+SUMIFS(Ledger!$F:$F,Ledger!$B:$B,$D475,Ledger!$D:$D,"&lt;"&amp;$H475)-SUMIFS(Ledger!$G:$G,Ledger!$B:$B,$D475,Ledger!$D:$D,"&lt;"&amp;$H475))</f>
        <v/>
      </c>
      <c r="K475" s="13">
        <f>IF($D475="","",IFERROR(INDEX(Units_Owners!$H$5:$H$504,MATCH($D475,Units_Owners!$A$5:$A$504,0)),Setup!$B$10))</f>
        <v/>
      </c>
      <c r="L475" s="13">
        <f>IF($D475="","",Setup!$B$11)</f>
        <v/>
      </c>
      <c r="M475" s="13">
        <f>IF($D475="","",IF(AND(TODAY()&gt;=Setup!$B$9,$P475&gt;0),Setup!$B$12,0))</f>
        <v/>
      </c>
      <c r="N475" s="13">
        <f>IF($D475="","",SUM($J475:$M475))</f>
        <v/>
      </c>
      <c r="O475" s="13">
        <f>IF($A475="","",SUMIFS(Payments!$F:$F,Payments!$D:$D,$A475))</f>
        <v/>
      </c>
      <c r="P475" s="13">
        <f>IF($D475="","",MAX(0,$N475-$O475))</f>
        <v/>
      </c>
      <c r="Q475" s="2">
        <f>IF($D475="","",IF(IFERROR(INDEX(Units_Owners!$I$5:$I$504,MATCH($D475,Units_Owners!$A$5:$A$504,0)),"No")&lt;&gt;"Yes","Skip - Inactive",IF($P475=0,"Paid",IF(TODAY()&gt;$I475,"Past Due","Open"))))</f>
        <v/>
      </c>
      <c r="R475" s="12" t="n"/>
      <c r="S475" s="2" t="n"/>
    </row>
    <row r="476">
      <c r="A476" s="2">
        <f>IF($D476="","","INV-"&amp;$B476&amp;"-"&amp;$C476&amp;"-"&amp;TEXT(ROW(A472),"0000"))</f>
        <v/>
      </c>
      <c r="B476" s="2">
        <f>Setup!$B$5</f>
        <v/>
      </c>
      <c r="C476" s="2">
        <f>Setup!$B$6</f>
        <v/>
      </c>
      <c r="D476" s="2">
        <f>IFERROR(INDEX(Units_Owners!$A$5:$A$504,ROWS($A$5:A476)),"")</f>
        <v/>
      </c>
      <c r="E476" s="2">
        <f>IF($D476="","",IFERROR(INDEX(Units_Owners!$B$5:$B$504,MATCH($D476,Units_Owners!$A$5:$A$504,0)),""))</f>
        <v/>
      </c>
      <c r="F476" s="2">
        <f>IF($D476="","",IFERROR(INDEX(Units_Owners!$C$5:$C$504,MATCH($D476,Units_Owners!$A$5:$A$504,0)),""))</f>
        <v/>
      </c>
      <c r="G476" s="2">
        <f>IF($D476="","",IFERROR(INDEX(Units_Owners!$D$5:$D$504,MATCH($D476,Units_Owners!$A$5:$A$504,0)),""))</f>
        <v/>
      </c>
      <c r="H476" s="12">
        <f>Setup!$B$7</f>
        <v/>
      </c>
      <c r="I476" s="12">
        <f>Setup!$B$8</f>
        <v/>
      </c>
      <c r="J476" s="13">
        <f>IF($D476="","",IFERROR(INDEX(Units_Owners!$J$5:$J$504,MATCH($D476,Units_Owners!$A$5:$A$504,0)),0)+SUMIFS(Ledger!$F:$F,Ledger!$B:$B,$D476,Ledger!$D:$D,"&lt;"&amp;$H476)-SUMIFS(Ledger!$G:$G,Ledger!$B:$B,$D476,Ledger!$D:$D,"&lt;"&amp;$H476))</f>
        <v/>
      </c>
      <c r="K476" s="13">
        <f>IF($D476="","",IFERROR(INDEX(Units_Owners!$H$5:$H$504,MATCH($D476,Units_Owners!$A$5:$A$504,0)),Setup!$B$10))</f>
        <v/>
      </c>
      <c r="L476" s="13">
        <f>IF($D476="","",Setup!$B$11)</f>
        <v/>
      </c>
      <c r="M476" s="13">
        <f>IF($D476="","",IF(AND(TODAY()&gt;=Setup!$B$9,$P476&gt;0),Setup!$B$12,0))</f>
        <v/>
      </c>
      <c r="N476" s="13">
        <f>IF($D476="","",SUM($J476:$M476))</f>
        <v/>
      </c>
      <c r="O476" s="13">
        <f>IF($A476="","",SUMIFS(Payments!$F:$F,Payments!$D:$D,$A476))</f>
        <v/>
      </c>
      <c r="P476" s="13">
        <f>IF($D476="","",MAX(0,$N476-$O476))</f>
        <v/>
      </c>
      <c r="Q476" s="2">
        <f>IF($D476="","",IF(IFERROR(INDEX(Units_Owners!$I$5:$I$504,MATCH($D476,Units_Owners!$A$5:$A$504,0)),"No")&lt;&gt;"Yes","Skip - Inactive",IF($P476=0,"Paid",IF(TODAY()&gt;$I476,"Past Due","Open"))))</f>
        <v/>
      </c>
      <c r="R476" s="14" t="n"/>
      <c r="S476" s="6" t="n"/>
    </row>
    <row r="477">
      <c r="A477" s="2">
        <f>IF($D477="","","INV-"&amp;$B477&amp;"-"&amp;$C477&amp;"-"&amp;TEXT(ROW(A473),"0000"))</f>
        <v/>
      </c>
      <c r="B477" s="2">
        <f>Setup!$B$5</f>
        <v/>
      </c>
      <c r="C477" s="2">
        <f>Setup!$B$6</f>
        <v/>
      </c>
      <c r="D477" s="2">
        <f>IFERROR(INDEX(Units_Owners!$A$5:$A$504,ROWS($A$5:A477)),"")</f>
        <v/>
      </c>
      <c r="E477" s="2">
        <f>IF($D477="","",IFERROR(INDEX(Units_Owners!$B$5:$B$504,MATCH($D477,Units_Owners!$A$5:$A$504,0)),""))</f>
        <v/>
      </c>
      <c r="F477" s="2">
        <f>IF($D477="","",IFERROR(INDEX(Units_Owners!$C$5:$C$504,MATCH($D477,Units_Owners!$A$5:$A$504,0)),""))</f>
        <v/>
      </c>
      <c r="G477" s="2">
        <f>IF($D477="","",IFERROR(INDEX(Units_Owners!$D$5:$D$504,MATCH($D477,Units_Owners!$A$5:$A$504,0)),""))</f>
        <v/>
      </c>
      <c r="H477" s="12">
        <f>Setup!$B$7</f>
        <v/>
      </c>
      <c r="I477" s="12">
        <f>Setup!$B$8</f>
        <v/>
      </c>
      <c r="J477" s="13">
        <f>IF($D477="","",IFERROR(INDEX(Units_Owners!$J$5:$J$504,MATCH($D477,Units_Owners!$A$5:$A$504,0)),0)+SUMIFS(Ledger!$F:$F,Ledger!$B:$B,$D477,Ledger!$D:$D,"&lt;"&amp;$H477)-SUMIFS(Ledger!$G:$G,Ledger!$B:$B,$D477,Ledger!$D:$D,"&lt;"&amp;$H477))</f>
        <v/>
      </c>
      <c r="K477" s="13">
        <f>IF($D477="","",IFERROR(INDEX(Units_Owners!$H$5:$H$504,MATCH($D477,Units_Owners!$A$5:$A$504,0)),Setup!$B$10))</f>
        <v/>
      </c>
      <c r="L477" s="13">
        <f>IF($D477="","",Setup!$B$11)</f>
        <v/>
      </c>
      <c r="M477" s="13">
        <f>IF($D477="","",IF(AND(TODAY()&gt;=Setup!$B$9,$P477&gt;0),Setup!$B$12,0))</f>
        <v/>
      </c>
      <c r="N477" s="13">
        <f>IF($D477="","",SUM($J477:$M477))</f>
        <v/>
      </c>
      <c r="O477" s="13">
        <f>IF($A477="","",SUMIFS(Payments!$F:$F,Payments!$D:$D,$A477))</f>
        <v/>
      </c>
      <c r="P477" s="13">
        <f>IF($D477="","",MAX(0,$N477-$O477))</f>
        <v/>
      </c>
      <c r="Q477" s="2">
        <f>IF($D477="","",IF(IFERROR(INDEX(Units_Owners!$I$5:$I$504,MATCH($D477,Units_Owners!$A$5:$A$504,0)),"No")&lt;&gt;"Yes","Skip - Inactive",IF($P477=0,"Paid",IF(TODAY()&gt;$I477,"Past Due","Open"))))</f>
        <v/>
      </c>
      <c r="R477" s="12" t="n"/>
      <c r="S477" s="2" t="n"/>
    </row>
    <row r="478">
      <c r="A478" s="2">
        <f>IF($D478="","","INV-"&amp;$B478&amp;"-"&amp;$C478&amp;"-"&amp;TEXT(ROW(A474),"0000"))</f>
        <v/>
      </c>
      <c r="B478" s="2">
        <f>Setup!$B$5</f>
        <v/>
      </c>
      <c r="C478" s="2">
        <f>Setup!$B$6</f>
        <v/>
      </c>
      <c r="D478" s="2">
        <f>IFERROR(INDEX(Units_Owners!$A$5:$A$504,ROWS($A$5:A478)),"")</f>
        <v/>
      </c>
      <c r="E478" s="2">
        <f>IF($D478="","",IFERROR(INDEX(Units_Owners!$B$5:$B$504,MATCH($D478,Units_Owners!$A$5:$A$504,0)),""))</f>
        <v/>
      </c>
      <c r="F478" s="2">
        <f>IF($D478="","",IFERROR(INDEX(Units_Owners!$C$5:$C$504,MATCH($D478,Units_Owners!$A$5:$A$504,0)),""))</f>
        <v/>
      </c>
      <c r="G478" s="2">
        <f>IF($D478="","",IFERROR(INDEX(Units_Owners!$D$5:$D$504,MATCH($D478,Units_Owners!$A$5:$A$504,0)),""))</f>
        <v/>
      </c>
      <c r="H478" s="12">
        <f>Setup!$B$7</f>
        <v/>
      </c>
      <c r="I478" s="12">
        <f>Setup!$B$8</f>
        <v/>
      </c>
      <c r="J478" s="13">
        <f>IF($D478="","",IFERROR(INDEX(Units_Owners!$J$5:$J$504,MATCH($D478,Units_Owners!$A$5:$A$504,0)),0)+SUMIFS(Ledger!$F:$F,Ledger!$B:$B,$D478,Ledger!$D:$D,"&lt;"&amp;$H478)-SUMIFS(Ledger!$G:$G,Ledger!$B:$B,$D478,Ledger!$D:$D,"&lt;"&amp;$H478))</f>
        <v/>
      </c>
      <c r="K478" s="13">
        <f>IF($D478="","",IFERROR(INDEX(Units_Owners!$H$5:$H$504,MATCH($D478,Units_Owners!$A$5:$A$504,0)),Setup!$B$10))</f>
        <v/>
      </c>
      <c r="L478" s="13">
        <f>IF($D478="","",Setup!$B$11)</f>
        <v/>
      </c>
      <c r="M478" s="13">
        <f>IF($D478="","",IF(AND(TODAY()&gt;=Setup!$B$9,$P478&gt;0),Setup!$B$12,0))</f>
        <v/>
      </c>
      <c r="N478" s="13">
        <f>IF($D478="","",SUM($J478:$M478))</f>
        <v/>
      </c>
      <c r="O478" s="13">
        <f>IF($A478="","",SUMIFS(Payments!$F:$F,Payments!$D:$D,$A478))</f>
        <v/>
      </c>
      <c r="P478" s="13">
        <f>IF($D478="","",MAX(0,$N478-$O478))</f>
        <v/>
      </c>
      <c r="Q478" s="2">
        <f>IF($D478="","",IF(IFERROR(INDEX(Units_Owners!$I$5:$I$504,MATCH($D478,Units_Owners!$A$5:$A$504,0)),"No")&lt;&gt;"Yes","Skip - Inactive",IF($P478=0,"Paid",IF(TODAY()&gt;$I478,"Past Due","Open"))))</f>
        <v/>
      </c>
      <c r="R478" s="14" t="n"/>
      <c r="S478" s="6" t="n"/>
    </row>
    <row r="479">
      <c r="A479" s="2">
        <f>IF($D479="","","INV-"&amp;$B479&amp;"-"&amp;$C479&amp;"-"&amp;TEXT(ROW(A475),"0000"))</f>
        <v/>
      </c>
      <c r="B479" s="2">
        <f>Setup!$B$5</f>
        <v/>
      </c>
      <c r="C479" s="2">
        <f>Setup!$B$6</f>
        <v/>
      </c>
      <c r="D479" s="2">
        <f>IFERROR(INDEX(Units_Owners!$A$5:$A$504,ROWS($A$5:A479)),"")</f>
        <v/>
      </c>
      <c r="E479" s="2">
        <f>IF($D479="","",IFERROR(INDEX(Units_Owners!$B$5:$B$504,MATCH($D479,Units_Owners!$A$5:$A$504,0)),""))</f>
        <v/>
      </c>
      <c r="F479" s="2">
        <f>IF($D479="","",IFERROR(INDEX(Units_Owners!$C$5:$C$504,MATCH($D479,Units_Owners!$A$5:$A$504,0)),""))</f>
        <v/>
      </c>
      <c r="G479" s="2">
        <f>IF($D479="","",IFERROR(INDEX(Units_Owners!$D$5:$D$504,MATCH($D479,Units_Owners!$A$5:$A$504,0)),""))</f>
        <v/>
      </c>
      <c r="H479" s="12">
        <f>Setup!$B$7</f>
        <v/>
      </c>
      <c r="I479" s="12">
        <f>Setup!$B$8</f>
        <v/>
      </c>
      <c r="J479" s="13">
        <f>IF($D479="","",IFERROR(INDEX(Units_Owners!$J$5:$J$504,MATCH($D479,Units_Owners!$A$5:$A$504,0)),0)+SUMIFS(Ledger!$F:$F,Ledger!$B:$B,$D479,Ledger!$D:$D,"&lt;"&amp;$H479)-SUMIFS(Ledger!$G:$G,Ledger!$B:$B,$D479,Ledger!$D:$D,"&lt;"&amp;$H479))</f>
        <v/>
      </c>
      <c r="K479" s="13">
        <f>IF($D479="","",IFERROR(INDEX(Units_Owners!$H$5:$H$504,MATCH($D479,Units_Owners!$A$5:$A$504,0)),Setup!$B$10))</f>
        <v/>
      </c>
      <c r="L479" s="13">
        <f>IF($D479="","",Setup!$B$11)</f>
        <v/>
      </c>
      <c r="M479" s="13">
        <f>IF($D479="","",IF(AND(TODAY()&gt;=Setup!$B$9,$P479&gt;0),Setup!$B$12,0))</f>
        <v/>
      </c>
      <c r="N479" s="13">
        <f>IF($D479="","",SUM($J479:$M479))</f>
        <v/>
      </c>
      <c r="O479" s="13">
        <f>IF($A479="","",SUMIFS(Payments!$F:$F,Payments!$D:$D,$A479))</f>
        <v/>
      </c>
      <c r="P479" s="13">
        <f>IF($D479="","",MAX(0,$N479-$O479))</f>
        <v/>
      </c>
      <c r="Q479" s="2">
        <f>IF($D479="","",IF(IFERROR(INDEX(Units_Owners!$I$5:$I$504,MATCH($D479,Units_Owners!$A$5:$A$504,0)),"No")&lt;&gt;"Yes","Skip - Inactive",IF($P479=0,"Paid",IF(TODAY()&gt;$I479,"Past Due","Open"))))</f>
        <v/>
      </c>
      <c r="R479" s="12" t="n"/>
      <c r="S479" s="2" t="n"/>
    </row>
    <row r="480">
      <c r="A480" s="2">
        <f>IF($D480="","","INV-"&amp;$B480&amp;"-"&amp;$C480&amp;"-"&amp;TEXT(ROW(A476),"0000"))</f>
        <v/>
      </c>
      <c r="B480" s="2">
        <f>Setup!$B$5</f>
        <v/>
      </c>
      <c r="C480" s="2">
        <f>Setup!$B$6</f>
        <v/>
      </c>
      <c r="D480" s="2">
        <f>IFERROR(INDEX(Units_Owners!$A$5:$A$504,ROWS($A$5:A480)),"")</f>
        <v/>
      </c>
      <c r="E480" s="2">
        <f>IF($D480="","",IFERROR(INDEX(Units_Owners!$B$5:$B$504,MATCH($D480,Units_Owners!$A$5:$A$504,0)),""))</f>
        <v/>
      </c>
      <c r="F480" s="2">
        <f>IF($D480="","",IFERROR(INDEX(Units_Owners!$C$5:$C$504,MATCH($D480,Units_Owners!$A$5:$A$504,0)),""))</f>
        <v/>
      </c>
      <c r="G480" s="2">
        <f>IF($D480="","",IFERROR(INDEX(Units_Owners!$D$5:$D$504,MATCH($D480,Units_Owners!$A$5:$A$504,0)),""))</f>
        <v/>
      </c>
      <c r="H480" s="12">
        <f>Setup!$B$7</f>
        <v/>
      </c>
      <c r="I480" s="12">
        <f>Setup!$B$8</f>
        <v/>
      </c>
      <c r="J480" s="13">
        <f>IF($D480="","",IFERROR(INDEX(Units_Owners!$J$5:$J$504,MATCH($D480,Units_Owners!$A$5:$A$504,0)),0)+SUMIFS(Ledger!$F:$F,Ledger!$B:$B,$D480,Ledger!$D:$D,"&lt;"&amp;$H480)-SUMIFS(Ledger!$G:$G,Ledger!$B:$B,$D480,Ledger!$D:$D,"&lt;"&amp;$H480))</f>
        <v/>
      </c>
      <c r="K480" s="13">
        <f>IF($D480="","",IFERROR(INDEX(Units_Owners!$H$5:$H$504,MATCH($D480,Units_Owners!$A$5:$A$504,0)),Setup!$B$10))</f>
        <v/>
      </c>
      <c r="L480" s="13">
        <f>IF($D480="","",Setup!$B$11)</f>
        <v/>
      </c>
      <c r="M480" s="13">
        <f>IF($D480="","",IF(AND(TODAY()&gt;=Setup!$B$9,$P480&gt;0),Setup!$B$12,0))</f>
        <v/>
      </c>
      <c r="N480" s="13">
        <f>IF($D480="","",SUM($J480:$M480))</f>
        <v/>
      </c>
      <c r="O480" s="13">
        <f>IF($A480="","",SUMIFS(Payments!$F:$F,Payments!$D:$D,$A480))</f>
        <v/>
      </c>
      <c r="P480" s="13">
        <f>IF($D480="","",MAX(0,$N480-$O480))</f>
        <v/>
      </c>
      <c r="Q480" s="2">
        <f>IF($D480="","",IF(IFERROR(INDEX(Units_Owners!$I$5:$I$504,MATCH($D480,Units_Owners!$A$5:$A$504,0)),"No")&lt;&gt;"Yes","Skip - Inactive",IF($P480=0,"Paid",IF(TODAY()&gt;$I480,"Past Due","Open"))))</f>
        <v/>
      </c>
      <c r="R480" s="14" t="n"/>
      <c r="S480" s="6" t="n"/>
    </row>
    <row r="481">
      <c r="A481" s="2">
        <f>IF($D481="","","INV-"&amp;$B481&amp;"-"&amp;$C481&amp;"-"&amp;TEXT(ROW(A477),"0000"))</f>
        <v/>
      </c>
      <c r="B481" s="2">
        <f>Setup!$B$5</f>
        <v/>
      </c>
      <c r="C481" s="2">
        <f>Setup!$B$6</f>
        <v/>
      </c>
      <c r="D481" s="2">
        <f>IFERROR(INDEX(Units_Owners!$A$5:$A$504,ROWS($A$5:A481)),"")</f>
        <v/>
      </c>
      <c r="E481" s="2">
        <f>IF($D481="","",IFERROR(INDEX(Units_Owners!$B$5:$B$504,MATCH($D481,Units_Owners!$A$5:$A$504,0)),""))</f>
        <v/>
      </c>
      <c r="F481" s="2">
        <f>IF($D481="","",IFERROR(INDEX(Units_Owners!$C$5:$C$504,MATCH($D481,Units_Owners!$A$5:$A$504,0)),""))</f>
        <v/>
      </c>
      <c r="G481" s="2">
        <f>IF($D481="","",IFERROR(INDEX(Units_Owners!$D$5:$D$504,MATCH($D481,Units_Owners!$A$5:$A$504,0)),""))</f>
        <v/>
      </c>
      <c r="H481" s="12">
        <f>Setup!$B$7</f>
        <v/>
      </c>
      <c r="I481" s="12">
        <f>Setup!$B$8</f>
        <v/>
      </c>
      <c r="J481" s="13">
        <f>IF($D481="","",IFERROR(INDEX(Units_Owners!$J$5:$J$504,MATCH($D481,Units_Owners!$A$5:$A$504,0)),0)+SUMIFS(Ledger!$F:$F,Ledger!$B:$B,$D481,Ledger!$D:$D,"&lt;"&amp;$H481)-SUMIFS(Ledger!$G:$G,Ledger!$B:$B,$D481,Ledger!$D:$D,"&lt;"&amp;$H481))</f>
        <v/>
      </c>
      <c r="K481" s="13">
        <f>IF($D481="","",IFERROR(INDEX(Units_Owners!$H$5:$H$504,MATCH($D481,Units_Owners!$A$5:$A$504,0)),Setup!$B$10))</f>
        <v/>
      </c>
      <c r="L481" s="13">
        <f>IF($D481="","",Setup!$B$11)</f>
        <v/>
      </c>
      <c r="M481" s="13">
        <f>IF($D481="","",IF(AND(TODAY()&gt;=Setup!$B$9,$P481&gt;0),Setup!$B$12,0))</f>
        <v/>
      </c>
      <c r="N481" s="13">
        <f>IF($D481="","",SUM($J481:$M481))</f>
        <v/>
      </c>
      <c r="O481" s="13">
        <f>IF($A481="","",SUMIFS(Payments!$F:$F,Payments!$D:$D,$A481))</f>
        <v/>
      </c>
      <c r="P481" s="13">
        <f>IF($D481="","",MAX(0,$N481-$O481))</f>
        <v/>
      </c>
      <c r="Q481" s="2">
        <f>IF($D481="","",IF(IFERROR(INDEX(Units_Owners!$I$5:$I$504,MATCH($D481,Units_Owners!$A$5:$A$504,0)),"No")&lt;&gt;"Yes","Skip - Inactive",IF($P481=0,"Paid",IF(TODAY()&gt;$I481,"Past Due","Open"))))</f>
        <v/>
      </c>
      <c r="R481" s="12" t="n"/>
      <c r="S481" s="2" t="n"/>
    </row>
    <row r="482">
      <c r="A482" s="2">
        <f>IF($D482="","","INV-"&amp;$B482&amp;"-"&amp;$C482&amp;"-"&amp;TEXT(ROW(A478),"0000"))</f>
        <v/>
      </c>
      <c r="B482" s="2">
        <f>Setup!$B$5</f>
        <v/>
      </c>
      <c r="C482" s="2">
        <f>Setup!$B$6</f>
        <v/>
      </c>
      <c r="D482" s="2">
        <f>IFERROR(INDEX(Units_Owners!$A$5:$A$504,ROWS($A$5:A482)),"")</f>
        <v/>
      </c>
      <c r="E482" s="2">
        <f>IF($D482="","",IFERROR(INDEX(Units_Owners!$B$5:$B$504,MATCH($D482,Units_Owners!$A$5:$A$504,0)),""))</f>
        <v/>
      </c>
      <c r="F482" s="2">
        <f>IF($D482="","",IFERROR(INDEX(Units_Owners!$C$5:$C$504,MATCH($D482,Units_Owners!$A$5:$A$504,0)),""))</f>
        <v/>
      </c>
      <c r="G482" s="2">
        <f>IF($D482="","",IFERROR(INDEX(Units_Owners!$D$5:$D$504,MATCH($D482,Units_Owners!$A$5:$A$504,0)),""))</f>
        <v/>
      </c>
      <c r="H482" s="12">
        <f>Setup!$B$7</f>
        <v/>
      </c>
      <c r="I482" s="12">
        <f>Setup!$B$8</f>
        <v/>
      </c>
      <c r="J482" s="13">
        <f>IF($D482="","",IFERROR(INDEX(Units_Owners!$J$5:$J$504,MATCH($D482,Units_Owners!$A$5:$A$504,0)),0)+SUMIFS(Ledger!$F:$F,Ledger!$B:$B,$D482,Ledger!$D:$D,"&lt;"&amp;$H482)-SUMIFS(Ledger!$G:$G,Ledger!$B:$B,$D482,Ledger!$D:$D,"&lt;"&amp;$H482))</f>
        <v/>
      </c>
      <c r="K482" s="13">
        <f>IF($D482="","",IFERROR(INDEX(Units_Owners!$H$5:$H$504,MATCH($D482,Units_Owners!$A$5:$A$504,0)),Setup!$B$10))</f>
        <v/>
      </c>
      <c r="L482" s="13">
        <f>IF($D482="","",Setup!$B$11)</f>
        <v/>
      </c>
      <c r="M482" s="13">
        <f>IF($D482="","",IF(AND(TODAY()&gt;=Setup!$B$9,$P482&gt;0),Setup!$B$12,0))</f>
        <v/>
      </c>
      <c r="N482" s="13">
        <f>IF($D482="","",SUM($J482:$M482))</f>
        <v/>
      </c>
      <c r="O482" s="13">
        <f>IF($A482="","",SUMIFS(Payments!$F:$F,Payments!$D:$D,$A482))</f>
        <v/>
      </c>
      <c r="P482" s="13">
        <f>IF($D482="","",MAX(0,$N482-$O482))</f>
        <v/>
      </c>
      <c r="Q482" s="2">
        <f>IF($D482="","",IF(IFERROR(INDEX(Units_Owners!$I$5:$I$504,MATCH($D482,Units_Owners!$A$5:$A$504,0)),"No")&lt;&gt;"Yes","Skip - Inactive",IF($P482=0,"Paid",IF(TODAY()&gt;$I482,"Past Due","Open"))))</f>
        <v/>
      </c>
      <c r="R482" s="14" t="n"/>
      <c r="S482" s="6" t="n"/>
    </row>
    <row r="483">
      <c r="A483" s="2">
        <f>IF($D483="","","INV-"&amp;$B483&amp;"-"&amp;$C483&amp;"-"&amp;TEXT(ROW(A479),"0000"))</f>
        <v/>
      </c>
      <c r="B483" s="2">
        <f>Setup!$B$5</f>
        <v/>
      </c>
      <c r="C483" s="2">
        <f>Setup!$B$6</f>
        <v/>
      </c>
      <c r="D483" s="2">
        <f>IFERROR(INDEX(Units_Owners!$A$5:$A$504,ROWS($A$5:A483)),"")</f>
        <v/>
      </c>
      <c r="E483" s="2">
        <f>IF($D483="","",IFERROR(INDEX(Units_Owners!$B$5:$B$504,MATCH($D483,Units_Owners!$A$5:$A$504,0)),""))</f>
        <v/>
      </c>
      <c r="F483" s="2">
        <f>IF($D483="","",IFERROR(INDEX(Units_Owners!$C$5:$C$504,MATCH($D483,Units_Owners!$A$5:$A$504,0)),""))</f>
        <v/>
      </c>
      <c r="G483" s="2">
        <f>IF($D483="","",IFERROR(INDEX(Units_Owners!$D$5:$D$504,MATCH($D483,Units_Owners!$A$5:$A$504,0)),""))</f>
        <v/>
      </c>
      <c r="H483" s="12">
        <f>Setup!$B$7</f>
        <v/>
      </c>
      <c r="I483" s="12">
        <f>Setup!$B$8</f>
        <v/>
      </c>
      <c r="J483" s="13">
        <f>IF($D483="","",IFERROR(INDEX(Units_Owners!$J$5:$J$504,MATCH($D483,Units_Owners!$A$5:$A$504,0)),0)+SUMIFS(Ledger!$F:$F,Ledger!$B:$B,$D483,Ledger!$D:$D,"&lt;"&amp;$H483)-SUMIFS(Ledger!$G:$G,Ledger!$B:$B,$D483,Ledger!$D:$D,"&lt;"&amp;$H483))</f>
        <v/>
      </c>
      <c r="K483" s="13">
        <f>IF($D483="","",IFERROR(INDEX(Units_Owners!$H$5:$H$504,MATCH($D483,Units_Owners!$A$5:$A$504,0)),Setup!$B$10))</f>
        <v/>
      </c>
      <c r="L483" s="13">
        <f>IF($D483="","",Setup!$B$11)</f>
        <v/>
      </c>
      <c r="M483" s="13">
        <f>IF($D483="","",IF(AND(TODAY()&gt;=Setup!$B$9,$P483&gt;0),Setup!$B$12,0))</f>
        <v/>
      </c>
      <c r="N483" s="13">
        <f>IF($D483="","",SUM($J483:$M483))</f>
        <v/>
      </c>
      <c r="O483" s="13">
        <f>IF($A483="","",SUMIFS(Payments!$F:$F,Payments!$D:$D,$A483))</f>
        <v/>
      </c>
      <c r="P483" s="13">
        <f>IF($D483="","",MAX(0,$N483-$O483))</f>
        <v/>
      </c>
      <c r="Q483" s="2">
        <f>IF($D483="","",IF(IFERROR(INDEX(Units_Owners!$I$5:$I$504,MATCH($D483,Units_Owners!$A$5:$A$504,0)),"No")&lt;&gt;"Yes","Skip - Inactive",IF($P483=0,"Paid",IF(TODAY()&gt;$I483,"Past Due","Open"))))</f>
        <v/>
      </c>
      <c r="R483" s="12" t="n"/>
      <c r="S483" s="2" t="n"/>
    </row>
    <row r="484">
      <c r="A484" s="2">
        <f>IF($D484="","","INV-"&amp;$B484&amp;"-"&amp;$C484&amp;"-"&amp;TEXT(ROW(A480),"0000"))</f>
        <v/>
      </c>
      <c r="B484" s="2">
        <f>Setup!$B$5</f>
        <v/>
      </c>
      <c r="C484" s="2">
        <f>Setup!$B$6</f>
        <v/>
      </c>
      <c r="D484" s="2">
        <f>IFERROR(INDEX(Units_Owners!$A$5:$A$504,ROWS($A$5:A484)),"")</f>
        <v/>
      </c>
      <c r="E484" s="2">
        <f>IF($D484="","",IFERROR(INDEX(Units_Owners!$B$5:$B$504,MATCH($D484,Units_Owners!$A$5:$A$504,0)),""))</f>
        <v/>
      </c>
      <c r="F484" s="2">
        <f>IF($D484="","",IFERROR(INDEX(Units_Owners!$C$5:$C$504,MATCH($D484,Units_Owners!$A$5:$A$504,0)),""))</f>
        <v/>
      </c>
      <c r="G484" s="2">
        <f>IF($D484="","",IFERROR(INDEX(Units_Owners!$D$5:$D$504,MATCH($D484,Units_Owners!$A$5:$A$504,0)),""))</f>
        <v/>
      </c>
      <c r="H484" s="12">
        <f>Setup!$B$7</f>
        <v/>
      </c>
      <c r="I484" s="12">
        <f>Setup!$B$8</f>
        <v/>
      </c>
      <c r="J484" s="13">
        <f>IF($D484="","",IFERROR(INDEX(Units_Owners!$J$5:$J$504,MATCH($D484,Units_Owners!$A$5:$A$504,0)),0)+SUMIFS(Ledger!$F:$F,Ledger!$B:$B,$D484,Ledger!$D:$D,"&lt;"&amp;$H484)-SUMIFS(Ledger!$G:$G,Ledger!$B:$B,$D484,Ledger!$D:$D,"&lt;"&amp;$H484))</f>
        <v/>
      </c>
      <c r="K484" s="13">
        <f>IF($D484="","",IFERROR(INDEX(Units_Owners!$H$5:$H$504,MATCH($D484,Units_Owners!$A$5:$A$504,0)),Setup!$B$10))</f>
        <v/>
      </c>
      <c r="L484" s="13">
        <f>IF($D484="","",Setup!$B$11)</f>
        <v/>
      </c>
      <c r="M484" s="13">
        <f>IF($D484="","",IF(AND(TODAY()&gt;=Setup!$B$9,$P484&gt;0),Setup!$B$12,0))</f>
        <v/>
      </c>
      <c r="N484" s="13">
        <f>IF($D484="","",SUM($J484:$M484))</f>
        <v/>
      </c>
      <c r="O484" s="13">
        <f>IF($A484="","",SUMIFS(Payments!$F:$F,Payments!$D:$D,$A484))</f>
        <v/>
      </c>
      <c r="P484" s="13">
        <f>IF($D484="","",MAX(0,$N484-$O484))</f>
        <v/>
      </c>
      <c r="Q484" s="2">
        <f>IF($D484="","",IF(IFERROR(INDEX(Units_Owners!$I$5:$I$504,MATCH($D484,Units_Owners!$A$5:$A$504,0)),"No")&lt;&gt;"Yes","Skip - Inactive",IF($P484=0,"Paid",IF(TODAY()&gt;$I484,"Past Due","Open"))))</f>
        <v/>
      </c>
      <c r="R484" s="14" t="n"/>
      <c r="S484" s="6" t="n"/>
    </row>
    <row r="485">
      <c r="A485" s="2">
        <f>IF($D485="","","INV-"&amp;$B485&amp;"-"&amp;$C485&amp;"-"&amp;TEXT(ROW(A481),"0000"))</f>
        <v/>
      </c>
      <c r="B485" s="2">
        <f>Setup!$B$5</f>
        <v/>
      </c>
      <c r="C485" s="2">
        <f>Setup!$B$6</f>
        <v/>
      </c>
      <c r="D485" s="2">
        <f>IFERROR(INDEX(Units_Owners!$A$5:$A$504,ROWS($A$5:A485)),"")</f>
        <v/>
      </c>
      <c r="E485" s="2">
        <f>IF($D485="","",IFERROR(INDEX(Units_Owners!$B$5:$B$504,MATCH($D485,Units_Owners!$A$5:$A$504,0)),""))</f>
        <v/>
      </c>
      <c r="F485" s="2">
        <f>IF($D485="","",IFERROR(INDEX(Units_Owners!$C$5:$C$504,MATCH($D485,Units_Owners!$A$5:$A$504,0)),""))</f>
        <v/>
      </c>
      <c r="G485" s="2">
        <f>IF($D485="","",IFERROR(INDEX(Units_Owners!$D$5:$D$504,MATCH($D485,Units_Owners!$A$5:$A$504,0)),""))</f>
        <v/>
      </c>
      <c r="H485" s="12">
        <f>Setup!$B$7</f>
        <v/>
      </c>
      <c r="I485" s="12">
        <f>Setup!$B$8</f>
        <v/>
      </c>
      <c r="J485" s="13">
        <f>IF($D485="","",IFERROR(INDEX(Units_Owners!$J$5:$J$504,MATCH($D485,Units_Owners!$A$5:$A$504,0)),0)+SUMIFS(Ledger!$F:$F,Ledger!$B:$B,$D485,Ledger!$D:$D,"&lt;"&amp;$H485)-SUMIFS(Ledger!$G:$G,Ledger!$B:$B,$D485,Ledger!$D:$D,"&lt;"&amp;$H485))</f>
        <v/>
      </c>
      <c r="K485" s="13">
        <f>IF($D485="","",IFERROR(INDEX(Units_Owners!$H$5:$H$504,MATCH($D485,Units_Owners!$A$5:$A$504,0)),Setup!$B$10))</f>
        <v/>
      </c>
      <c r="L485" s="13">
        <f>IF($D485="","",Setup!$B$11)</f>
        <v/>
      </c>
      <c r="M485" s="13">
        <f>IF($D485="","",IF(AND(TODAY()&gt;=Setup!$B$9,$P485&gt;0),Setup!$B$12,0))</f>
        <v/>
      </c>
      <c r="N485" s="13">
        <f>IF($D485="","",SUM($J485:$M485))</f>
        <v/>
      </c>
      <c r="O485" s="13">
        <f>IF($A485="","",SUMIFS(Payments!$F:$F,Payments!$D:$D,$A485))</f>
        <v/>
      </c>
      <c r="P485" s="13">
        <f>IF($D485="","",MAX(0,$N485-$O485))</f>
        <v/>
      </c>
      <c r="Q485" s="2">
        <f>IF($D485="","",IF(IFERROR(INDEX(Units_Owners!$I$5:$I$504,MATCH($D485,Units_Owners!$A$5:$A$504,0)),"No")&lt;&gt;"Yes","Skip - Inactive",IF($P485=0,"Paid",IF(TODAY()&gt;$I485,"Past Due","Open"))))</f>
        <v/>
      </c>
      <c r="R485" s="12" t="n"/>
      <c r="S485" s="2" t="n"/>
    </row>
    <row r="486">
      <c r="A486" s="2">
        <f>IF($D486="","","INV-"&amp;$B486&amp;"-"&amp;$C486&amp;"-"&amp;TEXT(ROW(A482),"0000"))</f>
        <v/>
      </c>
      <c r="B486" s="2">
        <f>Setup!$B$5</f>
        <v/>
      </c>
      <c r="C486" s="2">
        <f>Setup!$B$6</f>
        <v/>
      </c>
      <c r="D486" s="2">
        <f>IFERROR(INDEX(Units_Owners!$A$5:$A$504,ROWS($A$5:A486)),"")</f>
        <v/>
      </c>
      <c r="E486" s="2">
        <f>IF($D486="","",IFERROR(INDEX(Units_Owners!$B$5:$B$504,MATCH($D486,Units_Owners!$A$5:$A$504,0)),""))</f>
        <v/>
      </c>
      <c r="F486" s="2">
        <f>IF($D486="","",IFERROR(INDEX(Units_Owners!$C$5:$C$504,MATCH($D486,Units_Owners!$A$5:$A$504,0)),""))</f>
        <v/>
      </c>
      <c r="G486" s="2">
        <f>IF($D486="","",IFERROR(INDEX(Units_Owners!$D$5:$D$504,MATCH($D486,Units_Owners!$A$5:$A$504,0)),""))</f>
        <v/>
      </c>
      <c r="H486" s="12">
        <f>Setup!$B$7</f>
        <v/>
      </c>
      <c r="I486" s="12">
        <f>Setup!$B$8</f>
        <v/>
      </c>
      <c r="J486" s="13">
        <f>IF($D486="","",IFERROR(INDEX(Units_Owners!$J$5:$J$504,MATCH($D486,Units_Owners!$A$5:$A$504,0)),0)+SUMIFS(Ledger!$F:$F,Ledger!$B:$B,$D486,Ledger!$D:$D,"&lt;"&amp;$H486)-SUMIFS(Ledger!$G:$G,Ledger!$B:$B,$D486,Ledger!$D:$D,"&lt;"&amp;$H486))</f>
        <v/>
      </c>
      <c r="K486" s="13">
        <f>IF($D486="","",IFERROR(INDEX(Units_Owners!$H$5:$H$504,MATCH($D486,Units_Owners!$A$5:$A$504,0)),Setup!$B$10))</f>
        <v/>
      </c>
      <c r="L486" s="13">
        <f>IF($D486="","",Setup!$B$11)</f>
        <v/>
      </c>
      <c r="M486" s="13">
        <f>IF($D486="","",IF(AND(TODAY()&gt;=Setup!$B$9,$P486&gt;0),Setup!$B$12,0))</f>
        <v/>
      </c>
      <c r="N486" s="13">
        <f>IF($D486="","",SUM($J486:$M486))</f>
        <v/>
      </c>
      <c r="O486" s="13">
        <f>IF($A486="","",SUMIFS(Payments!$F:$F,Payments!$D:$D,$A486))</f>
        <v/>
      </c>
      <c r="P486" s="13">
        <f>IF($D486="","",MAX(0,$N486-$O486))</f>
        <v/>
      </c>
      <c r="Q486" s="2">
        <f>IF($D486="","",IF(IFERROR(INDEX(Units_Owners!$I$5:$I$504,MATCH($D486,Units_Owners!$A$5:$A$504,0)),"No")&lt;&gt;"Yes","Skip - Inactive",IF($P486=0,"Paid",IF(TODAY()&gt;$I486,"Past Due","Open"))))</f>
        <v/>
      </c>
      <c r="R486" s="14" t="n"/>
      <c r="S486" s="6" t="n"/>
    </row>
    <row r="487">
      <c r="A487" s="2">
        <f>IF($D487="","","INV-"&amp;$B487&amp;"-"&amp;$C487&amp;"-"&amp;TEXT(ROW(A483),"0000"))</f>
        <v/>
      </c>
      <c r="B487" s="2">
        <f>Setup!$B$5</f>
        <v/>
      </c>
      <c r="C487" s="2">
        <f>Setup!$B$6</f>
        <v/>
      </c>
      <c r="D487" s="2">
        <f>IFERROR(INDEX(Units_Owners!$A$5:$A$504,ROWS($A$5:A487)),"")</f>
        <v/>
      </c>
      <c r="E487" s="2">
        <f>IF($D487="","",IFERROR(INDEX(Units_Owners!$B$5:$B$504,MATCH($D487,Units_Owners!$A$5:$A$504,0)),""))</f>
        <v/>
      </c>
      <c r="F487" s="2">
        <f>IF($D487="","",IFERROR(INDEX(Units_Owners!$C$5:$C$504,MATCH($D487,Units_Owners!$A$5:$A$504,0)),""))</f>
        <v/>
      </c>
      <c r="G487" s="2">
        <f>IF($D487="","",IFERROR(INDEX(Units_Owners!$D$5:$D$504,MATCH($D487,Units_Owners!$A$5:$A$504,0)),""))</f>
        <v/>
      </c>
      <c r="H487" s="12">
        <f>Setup!$B$7</f>
        <v/>
      </c>
      <c r="I487" s="12">
        <f>Setup!$B$8</f>
        <v/>
      </c>
      <c r="J487" s="13">
        <f>IF($D487="","",IFERROR(INDEX(Units_Owners!$J$5:$J$504,MATCH($D487,Units_Owners!$A$5:$A$504,0)),0)+SUMIFS(Ledger!$F:$F,Ledger!$B:$B,$D487,Ledger!$D:$D,"&lt;"&amp;$H487)-SUMIFS(Ledger!$G:$G,Ledger!$B:$B,$D487,Ledger!$D:$D,"&lt;"&amp;$H487))</f>
        <v/>
      </c>
      <c r="K487" s="13">
        <f>IF($D487="","",IFERROR(INDEX(Units_Owners!$H$5:$H$504,MATCH($D487,Units_Owners!$A$5:$A$504,0)),Setup!$B$10))</f>
        <v/>
      </c>
      <c r="L487" s="13">
        <f>IF($D487="","",Setup!$B$11)</f>
        <v/>
      </c>
      <c r="M487" s="13">
        <f>IF($D487="","",IF(AND(TODAY()&gt;=Setup!$B$9,$P487&gt;0),Setup!$B$12,0))</f>
        <v/>
      </c>
      <c r="N487" s="13">
        <f>IF($D487="","",SUM($J487:$M487))</f>
        <v/>
      </c>
      <c r="O487" s="13">
        <f>IF($A487="","",SUMIFS(Payments!$F:$F,Payments!$D:$D,$A487))</f>
        <v/>
      </c>
      <c r="P487" s="13">
        <f>IF($D487="","",MAX(0,$N487-$O487))</f>
        <v/>
      </c>
      <c r="Q487" s="2">
        <f>IF($D487="","",IF(IFERROR(INDEX(Units_Owners!$I$5:$I$504,MATCH($D487,Units_Owners!$A$5:$A$504,0)),"No")&lt;&gt;"Yes","Skip - Inactive",IF($P487=0,"Paid",IF(TODAY()&gt;$I487,"Past Due","Open"))))</f>
        <v/>
      </c>
      <c r="R487" s="12" t="n"/>
      <c r="S487" s="2" t="n"/>
    </row>
    <row r="488">
      <c r="A488" s="2">
        <f>IF($D488="","","INV-"&amp;$B488&amp;"-"&amp;$C488&amp;"-"&amp;TEXT(ROW(A484),"0000"))</f>
        <v/>
      </c>
      <c r="B488" s="2">
        <f>Setup!$B$5</f>
        <v/>
      </c>
      <c r="C488" s="2">
        <f>Setup!$B$6</f>
        <v/>
      </c>
      <c r="D488" s="2">
        <f>IFERROR(INDEX(Units_Owners!$A$5:$A$504,ROWS($A$5:A488)),"")</f>
        <v/>
      </c>
      <c r="E488" s="2">
        <f>IF($D488="","",IFERROR(INDEX(Units_Owners!$B$5:$B$504,MATCH($D488,Units_Owners!$A$5:$A$504,0)),""))</f>
        <v/>
      </c>
      <c r="F488" s="2">
        <f>IF($D488="","",IFERROR(INDEX(Units_Owners!$C$5:$C$504,MATCH($D488,Units_Owners!$A$5:$A$504,0)),""))</f>
        <v/>
      </c>
      <c r="G488" s="2">
        <f>IF($D488="","",IFERROR(INDEX(Units_Owners!$D$5:$D$504,MATCH($D488,Units_Owners!$A$5:$A$504,0)),""))</f>
        <v/>
      </c>
      <c r="H488" s="12">
        <f>Setup!$B$7</f>
        <v/>
      </c>
      <c r="I488" s="12">
        <f>Setup!$B$8</f>
        <v/>
      </c>
      <c r="J488" s="13">
        <f>IF($D488="","",IFERROR(INDEX(Units_Owners!$J$5:$J$504,MATCH($D488,Units_Owners!$A$5:$A$504,0)),0)+SUMIFS(Ledger!$F:$F,Ledger!$B:$B,$D488,Ledger!$D:$D,"&lt;"&amp;$H488)-SUMIFS(Ledger!$G:$G,Ledger!$B:$B,$D488,Ledger!$D:$D,"&lt;"&amp;$H488))</f>
        <v/>
      </c>
      <c r="K488" s="13">
        <f>IF($D488="","",IFERROR(INDEX(Units_Owners!$H$5:$H$504,MATCH($D488,Units_Owners!$A$5:$A$504,0)),Setup!$B$10))</f>
        <v/>
      </c>
      <c r="L488" s="13">
        <f>IF($D488="","",Setup!$B$11)</f>
        <v/>
      </c>
      <c r="M488" s="13">
        <f>IF($D488="","",IF(AND(TODAY()&gt;=Setup!$B$9,$P488&gt;0),Setup!$B$12,0))</f>
        <v/>
      </c>
      <c r="N488" s="13">
        <f>IF($D488="","",SUM($J488:$M488))</f>
        <v/>
      </c>
      <c r="O488" s="13">
        <f>IF($A488="","",SUMIFS(Payments!$F:$F,Payments!$D:$D,$A488))</f>
        <v/>
      </c>
      <c r="P488" s="13">
        <f>IF($D488="","",MAX(0,$N488-$O488))</f>
        <v/>
      </c>
      <c r="Q488" s="2">
        <f>IF($D488="","",IF(IFERROR(INDEX(Units_Owners!$I$5:$I$504,MATCH($D488,Units_Owners!$A$5:$A$504,0)),"No")&lt;&gt;"Yes","Skip - Inactive",IF($P488=0,"Paid",IF(TODAY()&gt;$I488,"Past Due","Open"))))</f>
        <v/>
      </c>
      <c r="R488" s="14" t="n"/>
      <c r="S488" s="6" t="n"/>
    </row>
    <row r="489">
      <c r="A489" s="2">
        <f>IF($D489="","","INV-"&amp;$B489&amp;"-"&amp;$C489&amp;"-"&amp;TEXT(ROW(A485),"0000"))</f>
        <v/>
      </c>
      <c r="B489" s="2">
        <f>Setup!$B$5</f>
        <v/>
      </c>
      <c r="C489" s="2">
        <f>Setup!$B$6</f>
        <v/>
      </c>
      <c r="D489" s="2">
        <f>IFERROR(INDEX(Units_Owners!$A$5:$A$504,ROWS($A$5:A489)),"")</f>
        <v/>
      </c>
      <c r="E489" s="2">
        <f>IF($D489="","",IFERROR(INDEX(Units_Owners!$B$5:$B$504,MATCH($D489,Units_Owners!$A$5:$A$504,0)),""))</f>
        <v/>
      </c>
      <c r="F489" s="2">
        <f>IF($D489="","",IFERROR(INDEX(Units_Owners!$C$5:$C$504,MATCH($D489,Units_Owners!$A$5:$A$504,0)),""))</f>
        <v/>
      </c>
      <c r="G489" s="2">
        <f>IF($D489="","",IFERROR(INDEX(Units_Owners!$D$5:$D$504,MATCH($D489,Units_Owners!$A$5:$A$504,0)),""))</f>
        <v/>
      </c>
      <c r="H489" s="12">
        <f>Setup!$B$7</f>
        <v/>
      </c>
      <c r="I489" s="12">
        <f>Setup!$B$8</f>
        <v/>
      </c>
      <c r="J489" s="13">
        <f>IF($D489="","",IFERROR(INDEX(Units_Owners!$J$5:$J$504,MATCH($D489,Units_Owners!$A$5:$A$504,0)),0)+SUMIFS(Ledger!$F:$F,Ledger!$B:$B,$D489,Ledger!$D:$D,"&lt;"&amp;$H489)-SUMIFS(Ledger!$G:$G,Ledger!$B:$B,$D489,Ledger!$D:$D,"&lt;"&amp;$H489))</f>
        <v/>
      </c>
      <c r="K489" s="13">
        <f>IF($D489="","",IFERROR(INDEX(Units_Owners!$H$5:$H$504,MATCH($D489,Units_Owners!$A$5:$A$504,0)),Setup!$B$10))</f>
        <v/>
      </c>
      <c r="L489" s="13">
        <f>IF($D489="","",Setup!$B$11)</f>
        <v/>
      </c>
      <c r="M489" s="13">
        <f>IF($D489="","",IF(AND(TODAY()&gt;=Setup!$B$9,$P489&gt;0),Setup!$B$12,0))</f>
        <v/>
      </c>
      <c r="N489" s="13">
        <f>IF($D489="","",SUM($J489:$M489))</f>
        <v/>
      </c>
      <c r="O489" s="13">
        <f>IF($A489="","",SUMIFS(Payments!$F:$F,Payments!$D:$D,$A489))</f>
        <v/>
      </c>
      <c r="P489" s="13">
        <f>IF($D489="","",MAX(0,$N489-$O489))</f>
        <v/>
      </c>
      <c r="Q489" s="2">
        <f>IF($D489="","",IF(IFERROR(INDEX(Units_Owners!$I$5:$I$504,MATCH($D489,Units_Owners!$A$5:$A$504,0)),"No")&lt;&gt;"Yes","Skip - Inactive",IF($P489=0,"Paid",IF(TODAY()&gt;$I489,"Past Due","Open"))))</f>
        <v/>
      </c>
      <c r="R489" s="12" t="n"/>
      <c r="S489" s="2" t="n"/>
    </row>
    <row r="490">
      <c r="A490" s="2">
        <f>IF($D490="","","INV-"&amp;$B490&amp;"-"&amp;$C490&amp;"-"&amp;TEXT(ROW(A486),"0000"))</f>
        <v/>
      </c>
      <c r="B490" s="2">
        <f>Setup!$B$5</f>
        <v/>
      </c>
      <c r="C490" s="2">
        <f>Setup!$B$6</f>
        <v/>
      </c>
      <c r="D490" s="2">
        <f>IFERROR(INDEX(Units_Owners!$A$5:$A$504,ROWS($A$5:A490)),"")</f>
        <v/>
      </c>
      <c r="E490" s="2">
        <f>IF($D490="","",IFERROR(INDEX(Units_Owners!$B$5:$B$504,MATCH($D490,Units_Owners!$A$5:$A$504,0)),""))</f>
        <v/>
      </c>
      <c r="F490" s="2">
        <f>IF($D490="","",IFERROR(INDEX(Units_Owners!$C$5:$C$504,MATCH($D490,Units_Owners!$A$5:$A$504,0)),""))</f>
        <v/>
      </c>
      <c r="G490" s="2">
        <f>IF($D490="","",IFERROR(INDEX(Units_Owners!$D$5:$D$504,MATCH($D490,Units_Owners!$A$5:$A$504,0)),""))</f>
        <v/>
      </c>
      <c r="H490" s="12">
        <f>Setup!$B$7</f>
        <v/>
      </c>
      <c r="I490" s="12">
        <f>Setup!$B$8</f>
        <v/>
      </c>
      <c r="J490" s="13">
        <f>IF($D490="","",IFERROR(INDEX(Units_Owners!$J$5:$J$504,MATCH($D490,Units_Owners!$A$5:$A$504,0)),0)+SUMIFS(Ledger!$F:$F,Ledger!$B:$B,$D490,Ledger!$D:$D,"&lt;"&amp;$H490)-SUMIFS(Ledger!$G:$G,Ledger!$B:$B,$D490,Ledger!$D:$D,"&lt;"&amp;$H490))</f>
        <v/>
      </c>
      <c r="K490" s="13">
        <f>IF($D490="","",IFERROR(INDEX(Units_Owners!$H$5:$H$504,MATCH($D490,Units_Owners!$A$5:$A$504,0)),Setup!$B$10))</f>
        <v/>
      </c>
      <c r="L490" s="13">
        <f>IF($D490="","",Setup!$B$11)</f>
        <v/>
      </c>
      <c r="M490" s="13">
        <f>IF($D490="","",IF(AND(TODAY()&gt;=Setup!$B$9,$P490&gt;0),Setup!$B$12,0))</f>
        <v/>
      </c>
      <c r="N490" s="13">
        <f>IF($D490="","",SUM($J490:$M490))</f>
        <v/>
      </c>
      <c r="O490" s="13">
        <f>IF($A490="","",SUMIFS(Payments!$F:$F,Payments!$D:$D,$A490))</f>
        <v/>
      </c>
      <c r="P490" s="13">
        <f>IF($D490="","",MAX(0,$N490-$O490))</f>
        <v/>
      </c>
      <c r="Q490" s="2">
        <f>IF($D490="","",IF(IFERROR(INDEX(Units_Owners!$I$5:$I$504,MATCH($D490,Units_Owners!$A$5:$A$504,0)),"No")&lt;&gt;"Yes","Skip - Inactive",IF($P490=0,"Paid",IF(TODAY()&gt;$I490,"Past Due","Open"))))</f>
        <v/>
      </c>
      <c r="R490" s="14" t="n"/>
      <c r="S490" s="6" t="n"/>
    </row>
    <row r="491">
      <c r="A491" s="2">
        <f>IF($D491="","","INV-"&amp;$B491&amp;"-"&amp;$C491&amp;"-"&amp;TEXT(ROW(A487),"0000"))</f>
        <v/>
      </c>
      <c r="B491" s="2">
        <f>Setup!$B$5</f>
        <v/>
      </c>
      <c r="C491" s="2">
        <f>Setup!$B$6</f>
        <v/>
      </c>
      <c r="D491" s="2">
        <f>IFERROR(INDEX(Units_Owners!$A$5:$A$504,ROWS($A$5:A491)),"")</f>
        <v/>
      </c>
      <c r="E491" s="2">
        <f>IF($D491="","",IFERROR(INDEX(Units_Owners!$B$5:$B$504,MATCH($D491,Units_Owners!$A$5:$A$504,0)),""))</f>
        <v/>
      </c>
      <c r="F491" s="2">
        <f>IF($D491="","",IFERROR(INDEX(Units_Owners!$C$5:$C$504,MATCH($D491,Units_Owners!$A$5:$A$504,0)),""))</f>
        <v/>
      </c>
      <c r="G491" s="2">
        <f>IF($D491="","",IFERROR(INDEX(Units_Owners!$D$5:$D$504,MATCH($D491,Units_Owners!$A$5:$A$504,0)),""))</f>
        <v/>
      </c>
      <c r="H491" s="12">
        <f>Setup!$B$7</f>
        <v/>
      </c>
      <c r="I491" s="12">
        <f>Setup!$B$8</f>
        <v/>
      </c>
      <c r="J491" s="13">
        <f>IF($D491="","",IFERROR(INDEX(Units_Owners!$J$5:$J$504,MATCH($D491,Units_Owners!$A$5:$A$504,0)),0)+SUMIFS(Ledger!$F:$F,Ledger!$B:$B,$D491,Ledger!$D:$D,"&lt;"&amp;$H491)-SUMIFS(Ledger!$G:$G,Ledger!$B:$B,$D491,Ledger!$D:$D,"&lt;"&amp;$H491))</f>
        <v/>
      </c>
      <c r="K491" s="13">
        <f>IF($D491="","",IFERROR(INDEX(Units_Owners!$H$5:$H$504,MATCH($D491,Units_Owners!$A$5:$A$504,0)),Setup!$B$10))</f>
        <v/>
      </c>
      <c r="L491" s="13">
        <f>IF($D491="","",Setup!$B$11)</f>
        <v/>
      </c>
      <c r="M491" s="13">
        <f>IF($D491="","",IF(AND(TODAY()&gt;=Setup!$B$9,$P491&gt;0),Setup!$B$12,0))</f>
        <v/>
      </c>
      <c r="N491" s="13">
        <f>IF($D491="","",SUM($J491:$M491))</f>
        <v/>
      </c>
      <c r="O491" s="13">
        <f>IF($A491="","",SUMIFS(Payments!$F:$F,Payments!$D:$D,$A491))</f>
        <v/>
      </c>
      <c r="P491" s="13">
        <f>IF($D491="","",MAX(0,$N491-$O491))</f>
        <v/>
      </c>
      <c r="Q491" s="2">
        <f>IF($D491="","",IF(IFERROR(INDEX(Units_Owners!$I$5:$I$504,MATCH($D491,Units_Owners!$A$5:$A$504,0)),"No")&lt;&gt;"Yes","Skip - Inactive",IF($P491=0,"Paid",IF(TODAY()&gt;$I491,"Past Due","Open"))))</f>
        <v/>
      </c>
      <c r="R491" s="12" t="n"/>
      <c r="S491" s="2" t="n"/>
    </row>
    <row r="492">
      <c r="A492" s="2">
        <f>IF($D492="","","INV-"&amp;$B492&amp;"-"&amp;$C492&amp;"-"&amp;TEXT(ROW(A488),"0000"))</f>
        <v/>
      </c>
      <c r="B492" s="2">
        <f>Setup!$B$5</f>
        <v/>
      </c>
      <c r="C492" s="2">
        <f>Setup!$B$6</f>
        <v/>
      </c>
      <c r="D492" s="2">
        <f>IFERROR(INDEX(Units_Owners!$A$5:$A$504,ROWS($A$5:A492)),"")</f>
        <v/>
      </c>
      <c r="E492" s="2">
        <f>IF($D492="","",IFERROR(INDEX(Units_Owners!$B$5:$B$504,MATCH($D492,Units_Owners!$A$5:$A$504,0)),""))</f>
        <v/>
      </c>
      <c r="F492" s="2">
        <f>IF($D492="","",IFERROR(INDEX(Units_Owners!$C$5:$C$504,MATCH($D492,Units_Owners!$A$5:$A$504,0)),""))</f>
        <v/>
      </c>
      <c r="G492" s="2">
        <f>IF($D492="","",IFERROR(INDEX(Units_Owners!$D$5:$D$504,MATCH($D492,Units_Owners!$A$5:$A$504,0)),""))</f>
        <v/>
      </c>
      <c r="H492" s="12">
        <f>Setup!$B$7</f>
        <v/>
      </c>
      <c r="I492" s="12">
        <f>Setup!$B$8</f>
        <v/>
      </c>
      <c r="J492" s="13">
        <f>IF($D492="","",IFERROR(INDEX(Units_Owners!$J$5:$J$504,MATCH($D492,Units_Owners!$A$5:$A$504,0)),0)+SUMIFS(Ledger!$F:$F,Ledger!$B:$B,$D492,Ledger!$D:$D,"&lt;"&amp;$H492)-SUMIFS(Ledger!$G:$G,Ledger!$B:$B,$D492,Ledger!$D:$D,"&lt;"&amp;$H492))</f>
        <v/>
      </c>
      <c r="K492" s="13">
        <f>IF($D492="","",IFERROR(INDEX(Units_Owners!$H$5:$H$504,MATCH($D492,Units_Owners!$A$5:$A$504,0)),Setup!$B$10))</f>
        <v/>
      </c>
      <c r="L492" s="13">
        <f>IF($D492="","",Setup!$B$11)</f>
        <v/>
      </c>
      <c r="M492" s="13">
        <f>IF($D492="","",IF(AND(TODAY()&gt;=Setup!$B$9,$P492&gt;0),Setup!$B$12,0))</f>
        <v/>
      </c>
      <c r="N492" s="13">
        <f>IF($D492="","",SUM($J492:$M492))</f>
        <v/>
      </c>
      <c r="O492" s="13">
        <f>IF($A492="","",SUMIFS(Payments!$F:$F,Payments!$D:$D,$A492))</f>
        <v/>
      </c>
      <c r="P492" s="13">
        <f>IF($D492="","",MAX(0,$N492-$O492))</f>
        <v/>
      </c>
      <c r="Q492" s="2">
        <f>IF($D492="","",IF(IFERROR(INDEX(Units_Owners!$I$5:$I$504,MATCH($D492,Units_Owners!$A$5:$A$504,0)),"No")&lt;&gt;"Yes","Skip - Inactive",IF($P492=0,"Paid",IF(TODAY()&gt;$I492,"Past Due","Open"))))</f>
        <v/>
      </c>
      <c r="R492" s="14" t="n"/>
      <c r="S492" s="6" t="n"/>
    </row>
    <row r="493">
      <c r="A493" s="2">
        <f>IF($D493="","","INV-"&amp;$B493&amp;"-"&amp;$C493&amp;"-"&amp;TEXT(ROW(A489),"0000"))</f>
        <v/>
      </c>
      <c r="B493" s="2">
        <f>Setup!$B$5</f>
        <v/>
      </c>
      <c r="C493" s="2">
        <f>Setup!$B$6</f>
        <v/>
      </c>
      <c r="D493" s="2">
        <f>IFERROR(INDEX(Units_Owners!$A$5:$A$504,ROWS($A$5:A493)),"")</f>
        <v/>
      </c>
      <c r="E493" s="2">
        <f>IF($D493="","",IFERROR(INDEX(Units_Owners!$B$5:$B$504,MATCH($D493,Units_Owners!$A$5:$A$504,0)),""))</f>
        <v/>
      </c>
      <c r="F493" s="2">
        <f>IF($D493="","",IFERROR(INDEX(Units_Owners!$C$5:$C$504,MATCH($D493,Units_Owners!$A$5:$A$504,0)),""))</f>
        <v/>
      </c>
      <c r="G493" s="2">
        <f>IF($D493="","",IFERROR(INDEX(Units_Owners!$D$5:$D$504,MATCH($D493,Units_Owners!$A$5:$A$504,0)),""))</f>
        <v/>
      </c>
      <c r="H493" s="12">
        <f>Setup!$B$7</f>
        <v/>
      </c>
      <c r="I493" s="12">
        <f>Setup!$B$8</f>
        <v/>
      </c>
      <c r="J493" s="13">
        <f>IF($D493="","",IFERROR(INDEX(Units_Owners!$J$5:$J$504,MATCH($D493,Units_Owners!$A$5:$A$504,0)),0)+SUMIFS(Ledger!$F:$F,Ledger!$B:$B,$D493,Ledger!$D:$D,"&lt;"&amp;$H493)-SUMIFS(Ledger!$G:$G,Ledger!$B:$B,$D493,Ledger!$D:$D,"&lt;"&amp;$H493))</f>
        <v/>
      </c>
      <c r="K493" s="13">
        <f>IF($D493="","",IFERROR(INDEX(Units_Owners!$H$5:$H$504,MATCH($D493,Units_Owners!$A$5:$A$504,0)),Setup!$B$10))</f>
        <v/>
      </c>
      <c r="L493" s="13">
        <f>IF($D493="","",Setup!$B$11)</f>
        <v/>
      </c>
      <c r="M493" s="13">
        <f>IF($D493="","",IF(AND(TODAY()&gt;=Setup!$B$9,$P493&gt;0),Setup!$B$12,0))</f>
        <v/>
      </c>
      <c r="N493" s="13">
        <f>IF($D493="","",SUM($J493:$M493))</f>
        <v/>
      </c>
      <c r="O493" s="13">
        <f>IF($A493="","",SUMIFS(Payments!$F:$F,Payments!$D:$D,$A493))</f>
        <v/>
      </c>
      <c r="P493" s="13">
        <f>IF($D493="","",MAX(0,$N493-$O493))</f>
        <v/>
      </c>
      <c r="Q493" s="2">
        <f>IF($D493="","",IF(IFERROR(INDEX(Units_Owners!$I$5:$I$504,MATCH($D493,Units_Owners!$A$5:$A$504,0)),"No")&lt;&gt;"Yes","Skip - Inactive",IF($P493=0,"Paid",IF(TODAY()&gt;$I493,"Past Due","Open"))))</f>
        <v/>
      </c>
      <c r="R493" s="12" t="n"/>
      <c r="S493" s="2" t="n"/>
    </row>
    <row r="494">
      <c r="A494" s="2">
        <f>IF($D494="","","INV-"&amp;$B494&amp;"-"&amp;$C494&amp;"-"&amp;TEXT(ROW(A490),"0000"))</f>
        <v/>
      </c>
      <c r="B494" s="2">
        <f>Setup!$B$5</f>
        <v/>
      </c>
      <c r="C494" s="2">
        <f>Setup!$B$6</f>
        <v/>
      </c>
      <c r="D494" s="2">
        <f>IFERROR(INDEX(Units_Owners!$A$5:$A$504,ROWS($A$5:A494)),"")</f>
        <v/>
      </c>
      <c r="E494" s="2">
        <f>IF($D494="","",IFERROR(INDEX(Units_Owners!$B$5:$B$504,MATCH($D494,Units_Owners!$A$5:$A$504,0)),""))</f>
        <v/>
      </c>
      <c r="F494" s="2">
        <f>IF($D494="","",IFERROR(INDEX(Units_Owners!$C$5:$C$504,MATCH($D494,Units_Owners!$A$5:$A$504,0)),""))</f>
        <v/>
      </c>
      <c r="G494" s="2">
        <f>IF($D494="","",IFERROR(INDEX(Units_Owners!$D$5:$D$504,MATCH($D494,Units_Owners!$A$5:$A$504,0)),""))</f>
        <v/>
      </c>
      <c r="H494" s="12">
        <f>Setup!$B$7</f>
        <v/>
      </c>
      <c r="I494" s="12">
        <f>Setup!$B$8</f>
        <v/>
      </c>
      <c r="J494" s="13">
        <f>IF($D494="","",IFERROR(INDEX(Units_Owners!$J$5:$J$504,MATCH($D494,Units_Owners!$A$5:$A$504,0)),0)+SUMIFS(Ledger!$F:$F,Ledger!$B:$B,$D494,Ledger!$D:$D,"&lt;"&amp;$H494)-SUMIFS(Ledger!$G:$G,Ledger!$B:$B,$D494,Ledger!$D:$D,"&lt;"&amp;$H494))</f>
        <v/>
      </c>
      <c r="K494" s="13">
        <f>IF($D494="","",IFERROR(INDEX(Units_Owners!$H$5:$H$504,MATCH($D494,Units_Owners!$A$5:$A$504,0)),Setup!$B$10))</f>
        <v/>
      </c>
      <c r="L494" s="13">
        <f>IF($D494="","",Setup!$B$11)</f>
        <v/>
      </c>
      <c r="M494" s="13">
        <f>IF($D494="","",IF(AND(TODAY()&gt;=Setup!$B$9,$P494&gt;0),Setup!$B$12,0))</f>
        <v/>
      </c>
      <c r="N494" s="13">
        <f>IF($D494="","",SUM($J494:$M494))</f>
        <v/>
      </c>
      <c r="O494" s="13">
        <f>IF($A494="","",SUMIFS(Payments!$F:$F,Payments!$D:$D,$A494))</f>
        <v/>
      </c>
      <c r="P494" s="13">
        <f>IF($D494="","",MAX(0,$N494-$O494))</f>
        <v/>
      </c>
      <c r="Q494" s="2">
        <f>IF($D494="","",IF(IFERROR(INDEX(Units_Owners!$I$5:$I$504,MATCH($D494,Units_Owners!$A$5:$A$504,0)),"No")&lt;&gt;"Yes","Skip - Inactive",IF($P494=0,"Paid",IF(TODAY()&gt;$I494,"Past Due","Open"))))</f>
        <v/>
      </c>
      <c r="R494" s="14" t="n"/>
      <c r="S494" s="6" t="n"/>
    </row>
    <row r="495">
      <c r="A495" s="2">
        <f>IF($D495="","","INV-"&amp;$B495&amp;"-"&amp;$C495&amp;"-"&amp;TEXT(ROW(A491),"0000"))</f>
        <v/>
      </c>
      <c r="B495" s="2">
        <f>Setup!$B$5</f>
        <v/>
      </c>
      <c r="C495" s="2">
        <f>Setup!$B$6</f>
        <v/>
      </c>
      <c r="D495" s="2">
        <f>IFERROR(INDEX(Units_Owners!$A$5:$A$504,ROWS($A$5:A495)),"")</f>
        <v/>
      </c>
      <c r="E495" s="2">
        <f>IF($D495="","",IFERROR(INDEX(Units_Owners!$B$5:$B$504,MATCH($D495,Units_Owners!$A$5:$A$504,0)),""))</f>
        <v/>
      </c>
      <c r="F495" s="2">
        <f>IF($D495="","",IFERROR(INDEX(Units_Owners!$C$5:$C$504,MATCH($D495,Units_Owners!$A$5:$A$504,0)),""))</f>
        <v/>
      </c>
      <c r="G495" s="2">
        <f>IF($D495="","",IFERROR(INDEX(Units_Owners!$D$5:$D$504,MATCH($D495,Units_Owners!$A$5:$A$504,0)),""))</f>
        <v/>
      </c>
      <c r="H495" s="12">
        <f>Setup!$B$7</f>
        <v/>
      </c>
      <c r="I495" s="12">
        <f>Setup!$B$8</f>
        <v/>
      </c>
      <c r="J495" s="13">
        <f>IF($D495="","",IFERROR(INDEX(Units_Owners!$J$5:$J$504,MATCH($D495,Units_Owners!$A$5:$A$504,0)),0)+SUMIFS(Ledger!$F:$F,Ledger!$B:$B,$D495,Ledger!$D:$D,"&lt;"&amp;$H495)-SUMIFS(Ledger!$G:$G,Ledger!$B:$B,$D495,Ledger!$D:$D,"&lt;"&amp;$H495))</f>
        <v/>
      </c>
      <c r="K495" s="13">
        <f>IF($D495="","",IFERROR(INDEX(Units_Owners!$H$5:$H$504,MATCH($D495,Units_Owners!$A$5:$A$504,0)),Setup!$B$10))</f>
        <v/>
      </c>
      <c r="L495" s="13">
        <f>IF($D495="","",Setup!$B$11)</f>
        <v/>
      </c>
      <c r="M495" s="13">
        <f>IF($D495="","",IF(AND(TODAY()&gt;=Setup!$B$9,$P495&gt;0),Setup!$B$12,0))</f>
        <v/>
      </c>
      <c r="N495" s="13">
        <f>IF($D495="","",SUM($J495:$M495))</f>
        <v/>
      </c>
      <c r="O495" s="13">
        <f>IF($A495="","",SUMIFS(Payments!$F:$F,Payments!$D:$D,$A495))</f>
        <v/>
      </c>
      <c r="P495" s="13">
        <f>IF($D495="","",MAX(0,$N495-$O495))</f>
        <v/>
      </c>
      <c r="Q495" s="2">
        <f>IF($D495="","",IF(IFERROR(INDEX(Units_Owners!$I$5:$I$504,MATCH($D495,Units_Owners!$A$5:$A$504,0)),"No")&lt;&gt;"Yes","Skip - Inactive",IF($P495=0,"Paid",IF(TODAY()&gt;$I495,"Past Due","Open"))))</f>
        <v/>
      </c>
      <c r="R495" s="12" t="n"/>
      <c r="S495" s="2" t="n"/>
    </row>
    <row r="496">
      <c r="A496" s="2">
        <f>IF($D496="","","INV-"&amp;$B496&amp;"-"&amp;$C496&amp;"-"&amp;TEXT(ROW(A492),"0000"))</f>
        <v/>
      </c>
      <c r="B496" s="2">
        <f>Setup!$B$5</f>
        <v/>
      </c>
      <c r="C496" s="2">
        <f>Setup!$B$6</f>
        <v/>
      </c>
      <c r="D496" s="2">
        <f>IFERROR(INDEX(Units_Owners!$A$5:$A$504,ROWS($A$5:A496)),"")</f>
        <v/>
      </c>
      <c r="E496" s="2">
        <f>IF($D496="","",IFERROR(INDEX(Units_Owners!$B$5:$B$504,MATCH($D496,Units_Owners!$A$5:$A$504,0)),""))</f>
        <v/>
      </c>
      <c r="F496" s="2">
        <f>IF($D496="","",IFERROR(INDEX(Units_Owners!$C$5:$C$504,MATCH($D496,Units_Owners!$A$5:$A$504,0)),""))</f>
        <v/>
      </c>
      <c r="G496" s="2">
        <f>IF($D496="","",IFERROR(INDEX(Units_Owners!$D$5:$D$504,MATCH($D496,Units_Owners!$A$5:$A$504,0)),""))</f>
        <v/>
      </c>
      <c r="H496" s="12">
        <f>Setup!$B$7</f>
        <v/>
      </c>
      <c r="I496" s="12">
        <f>Setup!$B$8</f>
        <v/>
      </c>
      <c r="J496" s="13">
        <f>IF($D496="","",IFERROR(INDEX(Units_Owners!$J$5:$J$504,MATCH($D496,Units_Owners!$A$5:$A$504,0)),0)+SUMIFS(Ledger!$F:$F,Ledger!$B:$B,$D496,Ledger!$D:$D,"&lt;"&amp;$H496)-SUMIFS(Ledger!$G:$G,Ledger!$B:$B,$D496,Ledger!$D:$D,"&lt;"&amp;$H496))</f>
        <v/>
      </c>
      <c r="K496" s="13">
        <f>IF($D496="","",IFERROR(INDEX(Units_Owners!$H$5:$H$504,MATCH($D496,Units_Owners!$A$5:$A$504,0)),Setup!$B$10))</f>
        <v/>
      </c>
      <c r="L496" s="13">
        <f>IF($D496="","",Setup!$B$11)</f>
        <v/>
      </c>
      <c r="M496" s="13">
        <f>IF($D496="","",IF(AND(TODAY()&gt;=Setup!$B$9,$P496&gt;0),Setup!$B$12,0))</f>
        <v/>
      </c>
      <c r="N496" s="13">
        <f>IF($D496="","",SUM($J496:$M496))</f>
        <v/>
      </c>
      <c r="O496" s="13">
        <f>IF($A496="","",SUMIFS(Payments!$F:$F,Payments!$D:$D,$A496))</f>
        <v/>
      </c>
      <c r="P496" s="13">
        <f>IF($D496="","",MAX(0,$N496-$O496))</f>
        <v/>
      </c>
      <c r="Q496" s="2">
        <f>IF($D496="","",IF(IFERROR(INDEX(Units_Owners!$I$5:$I$504,MATCH($D496,Units_Owners!$A$5:$A$504,0)),"No")&lt;&gt;"Yes","Skip - Inactive",IF($P496=0,"Paid",IF(TODAY()&gt;$I496,"Past Due","Open"))))</f>
        <v/>
      </c>
      <c r="R496" s="14" t="n"/>
      <c r="S496" s="6" t="n"/>
    </row>
    <row r="497">
      <c r="A497" s="2">
        <f>IF($D497="","","INV-"&amp;$B497&amp;"-"&amp;$C497&amp;"-"&amp;TEXT(ROW(A493),"0000"))</f>
        <v/>
      </c>
      <c r="B497" s="2">
        <f>Setup!$B$5</f>
        <v/>
      </c>
      <c r="C497" s="2">
        <f>Setup!$B$6</f>
        <v/>
      </c>
      <c r="D497" s="2">
        <f>IFERROR(INDEX(Units_Owners!$A$5:$A$504,ROWS($A$5:A497)),"")</f>
        <v/>
      </c>
      <c r="E497" s="2">
        <f>IF($D497="","",IFERROR(INDEX(Units_Owners!$B$5:$B$504,MATCH($D497,Units_Owners!$A$5:$A$504,0)),""))</f>
        <v/>
      </c>
      <c r="F497" s="2">
        <f>IF($D497="","",IFERROR(INDEX(Units_Owners!$C$5:$C$504,MATCH($D497,Units_Owners!$A$5:$A$504,0)),""))</f>
        <v/>
      </c>
      <c r="G497" s="2">
        <f>IF($D497="","",IFERROR(INDEX(Units_Owners!$D$5:$D$504,MATCH($D497,Units_Owners!$A$5:$A$504,0)),""))</f>
        <v/>
      </c>
      <c r="H497" s="12">
        <f>Setup!$B$7</f>
        <v/>
      </c>
      <c r="I497" s="12">
        <f>Setup!$B$8</f>
        <v/>
      </c>
      <c r="J497" s="13">
        <f>IF($D497="","",IFERROR(INDEX(Units_Owners!$J$5:$J$504,MATCH($D497,Units_Owners!$A$5:$A$504,0)),0)+SUMIFS(Ledger!$F:$F,Ledger!$B:$B,$D497,Ledger!$D:$D,"&lt;"&amp;$H497)-SUMIFS(Ledger!$G:$G,Ledger!$B:$B,$D497,Ledger!$D:$D,"&lt;"&amp;$H497))</f>
        <v/>
      </c>
      <c r="K497" s="13">
        <f>IF($D497="","",IFERROR(INDEX(Units_Owners!$H$5:$H$504,MATCH($D497,Units_Owners!$A$5:$A$504,0)),Setup!$B$10))</f>
        <v/>
      </c>
      <c r="L497" s="13">
        <f>IF($D497="","",Setup!$B$11)</f>
        <v/>
      </c>
      <c r="M497" s="13">
        <f>IF($D497="","",IF(AND(TODAY()&gt;=Setup!$B$9,$P497&gt;0),Setup!$B$12,0))</f>
        <v/>
      </c>
      <c r="N497" s="13">
        <f>IF($D497="","",SUM($J497:$M497))</f>
        <v/>
      </c>
      <c r="O497" s="13">
        <f>IF($A497="","",SUMIFS(Payments!$F:$F,Payments!$D:$D,$A497))</f>
        <v/>
      </c>
      <c r="P497" s="13">
        <f>IF($D497="","",MAX(0,$N497-$O497))</f>
        <v/>
      </c>
      <c r="Q497" s="2">
        <f>IF($D497="","",IF(IFERROR(INDEX(Units_Owners!$I$5:$I$504,MATCH($D497,Units_Owners!$A$5:$A$504,0)),"No")&lt;&gt;"Yes","Skip - Inactive",IF($P497=0,"Paid",IF(TODAY()&gt;$I497,"Past Due","Open"))))</f>
        <v/>
      </c>
      <c r="R497" s="12" t="n"/>
      <c r="S497" s="2" t="n"/>
    </row>
    <row r="498">
      <c r="A498" s="2">
        <f>IF($D498="","","INV-"&amp;$B498&amp;"-"&amp;$C498&amp;"-"&amp;TEXT(ROW(A494),"0000"))</f>
        <v/>
      </c>
      <c r="B498" s="2">
        <f>Setup!$B$5</f>
        <v/>
      </c>
      <c r="C498" s="2">
        <f>Setup!$B$6</f>
        <v/>
      </c>
      <c r="D498" s="2">
        <f>IFERROR(INDEX(Units_Owners!$A$5:$A$504,ROWS($A$5:A498)),"")</f>
        <v/>
      </c>
      <c r="E498" s="2">
        <f>IF($D498="","",IFERROR(INDEX(Units_Owners!$B$5:$B$504,MATCH($D498,Units_Owners!$A$5:$A$504,0)),""))</f>
        <v/>
      </c>
      <c r="F498" s="2">
        <f>IF($D498="","",IFERROR(INDEX(Units_Owners!$C$5:$C$504,MATCH($D498,Units_Owners!$A$5:$A$504,0)),""))</f>
        <v/>
      </c>
      <c r="G498" s="2">
        <f>IF($D498="","",IFERROR(INDEX(Units_Owners!$D$5:$D$504,MATCH($D498,Units_Owners!$A$5:$A$504,0)),""))</f>
        <v/>
      </c>
      <c r="H498" s="12">
        <f>Setup!$B$7</f>
        <v/>
      </c>
      <c r="I498" s="12">
        <f>Setup!$B$8</f>
        <v/>
      </c>
      <c r="J498" s="13">
        <f>IF($D498="","",IFERROR(INDEX(Units_Owners!$J$5:$J$504,MATCH($D498,Units_Owners!$A$5:$A$504,0)),0)+SUMIFS(Ledger!$F:$F,Ledger!$B:$B,$D498,Ledger!$D:$D,"&lt;"&amp;$H498)-SUMIFS(Ledger!$G:$G,Ledger!$B:$B,$D498,Ledger!$D:$D,"&lt;"&amp;$H498))</f>
        <v/>
      </c>
      <c r="K498" s="13">
        <f>IF($D498="","",IFERROR(INDEX(Units_Owners!$H$5:$H$504,MATCH($D498,Units_Owners!$A$5:$A$504,0)),Setup!$B$10))</f>
        <v/>
      </c>
      <c r="L498" s="13">
        <f>IF($D498="","",Setup!$B$11)</f>
        <v/>
      </c>
      <c r="M498" s="13">
        <f>IF($D498="","",IF(AND(TODAY()&gt;=Setup!$B$9,$P498&gt;0),Setup!$B$12,0))</f>
        <v/>
      </c>
      <c r="N498" s="13">
        <f>IF($D498="","",SUM($J498:$M498))</f>
        <v/>
      </c>
      <c r="O498" s="13">
        <f>IF($A498="","",SUMIFS(Payments!$F:$F,Payments!$D:$D,$A498))</f>
        <v/>
      </c>
      <c r="P498" s="13">
        <f>IF($D498="","",MAX(0,$N498-$O498))</f>
        <v/>
      </c>
      <c r="Q498" s="2">
        <f>IF($D498="","",IF(IFERROR(INDEX(Units_Owners!$I$5:$I$504,MATCH($D498,Units_Owners!$A$5:$A$504,0)),"No")&lt;&gt;"Yes","Skip - Inactive",IF($P498=0,"Paid",IF(TODAY()&gt;$I498,"Past Due","Open"))))</f>
        <v/>
      </c>
      <c r="R498" s="14" t="n"/>
      <c r="S498" s="6" t="n"/>
    </row>
    <row r="499">
      <c r="A499" s="2">
        <f>IF($D499="","","INV-"&amp;$B499&amp;"-"&amp;$C499&amp;"-"&amp;TEXT(ROW(A495),"0000"))</f>
        <v/>
      </c>
      <c r="B499" s="2">
        <f>Setup!$B$5</f>
        <v/>
      </c>
      <c r="C499" s="2">
        <f>Setup!$B$6</f>
        <v/>
      </c>
      <c r="D499" s="2">
        <f>IFERROR(INDEX(Units_Owners!$A$5:$A$504,ROWS($A$5:A499)),"")</f>
        <v/>
      </c>
      <c r="E499" s="2">
        <f>IF($D499="","",IFERROR(INDEX(Units_Owners!$B$5:$B$504,MATCH($D499,Units_Owners!$A$5:$A$504,0)),""))</f>
        <v/>
      </c>
      <c r="F499" s="2">
        <f>IF($D499="","",IFERROR(INDEX(Units_Owners!$C$5:$C$504,MATCH($D499,Units_Owners!$A$5:$A$504,0)),""))</f>
        <v/>
      </c>
      <c r="G499" s="2">
        <f>IF($D499="","",IFERROR(INDEX(Units_Owners!$D$5:$D$504,MATCH($D499,Units_Owners!$A$5:$A$504,0)),""))</f>
        <v/>
      </c>
      <c r="H499" s="12">
        <f>Setup!$B$7</f>
        <v/>
      </c>
      <c r="I499" s="12">
        <f>Setup!$B$8</f>
        <v/>
      </c>
      <c r="J499" s="13">
        <f>IF($D499="","",IFERROR(INDEX(Units_Owners!$J$5:$J$504,MATCH($D499,Units_Owners!$A$5:$A$504,0)),0)+SUMIFS(Ledger!$F:$F,Ledger!$B:$B,$D499,Ledger!$D:$D,"&lt;"&amp;$H499)-SUMIFS(Ledger!$G:$G,Ledger!$B:$B,$D499,Ledger!$D:$D,"&lt;"&amp;$H499))</f>
        <v/>
      </c>
      <c r="K499" s="13">
        <f>IF($D499="","",IFERROR(INDEX(Units_Owners!$H$5:$H$504,MATCH($D499,Units_Owners!$A$5:$A$504,0)),Setup!$B$10))</f>
        <v/>
      </c>
      <c r="L499" s="13">
        <f>IF($D499="","",Setup!$B$11)</f>
        <v/>
      </c>
      <c r="M499" s="13">
        <f>IF($D499="","",IF(AND(TODAY()&gt;=Setup!$B$9,$P499&gt;0),Setup!$B$12,0))</f>
        <v/>
      </c>
      <c r="N499" s="13">
        <f>IF($D499="","",SUM($J499:$M499))</f>
        <v/>
      </c>
      <c r="O499" s="13">
        <f>IF($A499="","",SUMIFS(Payments!$F:$F,Payments!$D:$D,$A499))</f>
        <v/>
      </c>
      <c r="P499" s="13">
        <f>IF($D499="","",MAX(0,$N499-$O499))</f>
        <v/>
      </c>
      <c r="Q499" s="2">
        <f>IF($D499="","",IF(IFERROR(INDEX(Units_Owners!$I$5:$I$504,MATCH($D499,Units_Owners!$A$5:$A$504,0)),"No")&lt;&gt;"Yes","Skip - Inactive",IF($P499=0,"Paid",IF(TODAY()&gt;$I499,"Past Due","Open"))))</f>
        <v/>
      </c>
      <c r="R499" s="12" t="n"/>
      <c r="S499" s="2" t="n"/>
    </row>
    <row r="500">
      <c r="A500" s="2">
        <f>IF($D500="","","INV-"&amp;$B500&amp;"-"&amp;$C500&amp;"-"&amp;TEXT(ROW(A496),"0000"))</f>
        <v/>
      </c>
      <c r="B500" s="2">
        <f>Setup!$B$5</f>
        <v/>
      </c>
      <c r="C500" s="2">
        <f>Setup!$B$6</f>
        <v/>
      </c>
      <c r="D500" s="2">
        <f>IFERROR(INDEX(Units_Owners!$A$5:$A$504,ROWS($A$5:A500)),"")</f>
        <v/>
      </c>
      <c r="E500" s="2">
        <f>IF($D500="","",IFERROR(INDEX(Units_Owners!$B$5:$B$504,MATCH($D500,Units_Owners!$A$5:$A$504,0)),""))</f>
        <v/>
      </c>
      <c r="F500" s="2">
        <f>IF($D500="","",IFERROR(INDEX(Units_Owners!$C$5:$C$504,MATCH($D500,Units_Owners!$A$5:$A$504,0)),""))</f>
        <v/>
      </c>
      <c r="G500" s="2">
        <f>IF($D500="","",IFERROR(INDEX(Units_Owners!$D$5:$D$504,MATCH($D500,Units_Owners!$A$5:$A$504,0)),""))</f>
        <v/>
      </c>
      <c r="H500" s="12">
        <f>Setup!$B$7</f>
        <v/>
      </c>
      <c r="I500" s="12">
        <f>Setup!$B$8</f>
        <v/>
      </c>
      <c r="J500" s="13">
        <f>IF($D500="","",IFERROR(INDEX(Units_Owners!$J$5:$J$504,MATCH($D500,Units_Owners!$A$5:$A$504,0)),0)+SUMIFS(Ledger!$F:$F,Ledger!$B:$B,$D500,Ledger!$D:$D,"&lt;"&amp;$H500)-SUMIFS(Ledger!$G:$G,Ledger!$B:$B,$D500,Ledger!$D:$D,"&lt;"&amp;$H500))</f>
        <v/>
      </c>
      <c r="K500" s="13">
        <f>IF($D500="","",IFERROR(INDEX(Units_Owners!$H$5:$H$504,MATCH($D500,Units_Owners!$A$5:$A$504,0)),Setup!$B$10))</f>
        <v/>
      </c>
      <c r="L500" s="13">
        <f>IF($D500="","",Setup!$B$11)</f>
        <v/>
      </c>
      <c r="M500" s="13">
        <f>IF($D500="","",IF(AND(TODAY()&gt;=Setup!$B$9,$P500&gt;0),Setup!$B$12,0))</f>
        <v/>
      </c>
      <c r="N500" s="13">
        <f>IF($D500="","",SUM($J500:$M500))</f>
        <v/>
      </c>
      <c r="O500" s="13">
        <f>IF($A500="","",SUMIFS(Payments!$F:$F,Payments!$D:$D,$A500))</f>
        <v/>
      </c>
      <c r="P500" s="13">
        <f>IF($D500="","",MAX(0,$N500-$O500))</f>
        <v/>
      </c>
      <c r="Q500" s="2">
        <f>IF($D500="","",IF(IFERROR(INDEX(Units_Owners!$I$5:$I$504,MATCH($D500,Units_Owners!$A$5:$A$504,0)),"No")&lt;&gt;"Yes","Skip - Inactive",IF($P500=0,"Paid",IF(TODAY()&gt;$I500,"Past Due","Open"))))</f>
        <v/>
      </c>
      <c r="R500" s="14" t="n"/>
      <c r="S500" s="6" t="n"/>
    </row>
    <row r="501">
      <c r="A501" s="2">
        <f>IF($D501="","","INV-"&amp;$B501&amp;"-"&amp;$C501&amp;"-"&amp;TEXT(ROW(A497),"0000"))</f>
        <v/>
      </c>
      <c r="B501" s="2">
        <f>Setup!$B$5</f>
        <v/>
      </c>
      <c r="C501" s="2">
        <f>Setup!$B$6</f>
        <v/>
      </c>
      <c r="D501" s="2">
        <f>IFERROR(INDEX(Units_Owners!$A$5:$A$504,ROWS($A$5:A501)),"")</f>
        <v/>
      </c>
      <c r="E501" s="2">
        <f>IF($D501="","",IFERROR(INDEX(Units_Owners!$B$5:$B$504,MATCH($D501,Units_Owners!$A$5:$A$504,0)),""))</f>
        <v/>
      </c>
      <c r="F501" s="2">
        <f>IF($D501="","",IFERROR(INDEX(Units_Owners!$C$5:$C$504,MATCH($D501,Units_Owners!$A$5:$A$504,0)),""))</f>
        <v/>
      </c>
      <c r="G501" s="2">
        <f>IF($D501="","",IFERROR(INDEX(Units_Owners!$D$5:$D$504,MATCH($D501,Units_Owners!$A$5:$A$504,0)),""))</f>
        <v/>
      </c>
      <c r="H501" s="12">
        <f>Setup!$B$7</f>
        <v/>
      </c>
      <c r="I501" s="12">
        <f>Setup!$B$8</f>
        <v/>
      </c>
      <c r="J501" s="13">
        <f>IF($D501="","",IFERROR(INDEX(Units_Owners!$J$5:$J$504,MATCH($D501,Units_Owners!$A$5:$A$504,0)),0)+SUMIFS(Ledger!$F:$F,Ledger!$B:$B,$D501,Ledger!$D:$D,"&lt;"&amp;$H501)-SUMIFS(Ledger!$G:$G,Ledger!$B:$B,$D501,Ledger!$D:$D,"&lt;"&amp;$H501))</f>
        <v/>
      </c>
      <c r="K501" s="13">
        <f>IF($D501="","",IFERROR(INDEX(Units_Owners!$H$5:$H$504,MATCH($D501,Units_Owners!$A$5:$A$504,0)),Setup!$B$10))</f>
        <v/>
      </c>
      <c r="L501" s="13">
        <f>IF($D501="","",Setup!$B$11)</f>
        <v/>
      </c>
      <c r="M501" s="13">
        <f>IF($D501="","",IF(AND(TODAY()&gt;=Setup!$B$9,$P501&gt;0),Setup!$B$12,0))</f>
        <v/>
      </c>
      <c r="N501" s="13">
        <f>IF($D501="","",SUM($J501:$M501))</f>
        <v/>
      </c>
      <c r="O501" s="13">
        <f>IF($A501="","",SUMIFS(Payments!$F:$F,Payments!$D:$D,$A501))</f>
        <v/>
      </c>
      <c r="P501" s="13">
        <f>IF($D501="","",MAX(0,$N501-$O501))</f>
        <v/>
      </c>
      <c r="Q501" s="2">
        <f>IF($D501="","",IF(IFERROR(INDEX(Units_Owners!$I$5:$I$504,MATCH($D501,Units_Owners!$A$5:$A$504,0)),"No")&lt;&gt;"Yes","Skip - Inactive",IF($P501=0,"Paid",IF(TODAY()&gt;$I501,"Past Due","Open"))))</f>
        <v/>
      </c>
      <c r="R501" s="12" t="n"/>
      <c r="S501" s="2" t="n"/>
    </row>
    <row r="502">
      <c r="A502" s="2">
        <f>IF($D502="","","INV-"&amp;$B502&amp;"-"&amp;$C502&amp;"-"&amp;TEXT(ROW(A498),"0000"))</f>
        <v/>
      </c>
      <c r="B502" s="2">
        <f>Setup!$B$5</f>
        <v/>
      </c>
      <c r="C502" s="2">
        <f>Setup!$B$6</f>
        <v/>
      </c>
      <c r="D502" s="2">
        <f>IFERROR(INDEX(Units_Owners!$A$5:$A$504,ROWS($A$5:A502)),"")</f>
        <v/>
      </c>
      <c r="E502" s="2">
        <f>IF($D502="","",IFERROR(INDEX(Units_Owners!$B$5:$B$504,MATCH($D502,Units_Owners!$A$5:$A$504,0)),""))</f>
        <v/>
      </c>
      <c r="F502" s="2">
        <f>IF($D502="","",IFERROR(INDEX(Units_Owners!$C$5:$C$504,MATCH($D502,Units_Owners!$A$5:$A$504,0)),""))</f>
        <v/>
      </c>
      <c r="G502" s="2">
        <f>IF($D502="","",IFERROR(INDEX(Units_Owners!$D$5:$D$504,MATCH($D502,Units_Owners!$A$5:$A$504,0)),""))</f>
        <v/>
      </c>
      <c r="H502" s="12">
        <f>Setup!$B$7</f>
        <v/>
      </c>
      <c r="I502" s="12">
        <f>Setup!$B$8</f>
        <v/>
      </c>
      <c r="J502" s="13">
        <f>IF($D502="","",IFERROR(INDEX(Units_Owners!$J$5:$J$504,MATCH($D502,Units_Owners!$A$5:$A$504,0)),0)+SUMIFS(Ledger!$F:$F,Ledger!$B:$B,$D502,Ledger!$D:$D,"&lt;"&amp;$H502)-SUMIFS(Ledger!$G:$G,Ledger!$B:$B,$D502,Ledger!$D:$D,"&lt;"&amp;$H502))</f>
        <v/>
      </c>
      <c r="K502" s="13">
        <f>IF($D502="","",IFERROR(INDEX(Units_Owners!$H$5:$H$504,MATCH($D502,Units_Owners!$A$5:$A$504,0)),Setup!$B$10))</f>
        <v/>
      </c>
      <c r="L502" s="13">
        <f>IF($D502="","",Setup!$B$11)</f>
        <v/>
      </c>
      <c r="M502" s="13">
        <f>IF($D502="","",IF(AND(TODAY()&gt;=Setup!$B$9,$P502&gt;0),Setup!$B$12,0))</f>
        <v/>
      </c>
      <c r="N502" s="13">
        <f>IF($D502="","",SUM($J502:$M502))</f>
        <v/>
      </c>
      <c r="O502" s="13">
        <f>IF($A502="","",SUMIFS(Payments!$F:$F,Payments!$D:$D,$A502))</f>
        <v/>
      </c>
      <c r="P502" s="13">
        <f>IF($D502="","",MAX(0,$N502-$O502))</f>
        <v/>
      </c>
      <c r="Q502" s="2">
        <f>IF($D502="","",IF(IFERROR(INDEX(Units_Owners!$I$5:$I$504,MATCH($D502,Units_Owners!$A$5:$A$504,0)),"No")&lt;&gt;"Yes","Skip - Inactive",IF($P502=0,"Paid",IF(TODAY()&gt;$I502,"Past Due","Open"))))</f>
        <v/>
      </c>
      <c r="R502" s="14" t="n"/>
      <c r="S502" s="6" t="n"/>
    </row>
    <row r="503">
      <c r="A503" s="2">
        <f>IF($D503="","","INV-"&amp;$B503&amp;"-"&amp;$C503&amp;"-"&amp;TEXT(ROW(A499),"0000"))</f>
        <v/>
      </c>
      <c r="B503" s="2">
        <f>Setup!$B$5</f>
        <v/>
      </c>
      <c r="C503" s="2">
        <f>Setup!$B$6</f>
        <v/>
      </c>
      <c r="D503" s="2">
        <f>IFERROR(INDEX(Units_Owners!$A$5:$A$504,ROWS($A$5:A503)),"")</f>
        <v/>
      </c>
      <c r="E503" s="2">
        <f>IF($D503="","",IFERROR(INDEX(Units_Owners!$B$5:$B$504,MATCH($D503,Units_Owners!$A$5:$A$504,0)),""))</f>
        <v/>
      </c>
      <c r="F503" s="2">
        <f>IF($D503="","",IFERROR(INDEX(Units_Owners!$C$5:$C$504,MATCH($D503,Units_Owners!$A$5:$A$504,0)),""))</f>
        <v/>
      </c>
      <c r="G503" s="2">
        <f>IF($D503="","",IFERROR(INDEX(Units_Owners!$D$5:$D$504,MATCH($D503,Units_Owners!$A$5:$A$504,0)),""))</f>
        <v/>
      </c>
      <c r="H503" s="12">
        <f>Setup!$B$7</f>
        <v/>
      </c>
      <c r="I503" s="12">
        <f>Setup!$B$8</f>
        <v/>
      </c>
      <c r="J503" s="13">
        <f>IF($D503="","",IFERROR(INDEX(Units_Owners!$J$5:$J$504,MATCH($D503,Units_Owners!$A$5:$A$504,0)),0)+SUMIFS(Ledger!$F:$F,Ledger!$B:$B,$D503,Ledger!$D:$D,"&lt;"&amp;$H503)-SUMIFS(Ledger!$G:$G,Ledger!$B:$B,$D503,Ledger!$D:$D,"&lt;"&amp;$H503))</f>
        <v/>
      </c>
      <c r="K503" s="13">
        <f>IF($D503="","",IFERROR(INDEX(Units_Owners!$H$5:$H$504,MATCH($D503,Units_Owners!$A$5:$A$504,0)),Setup!$B$10))</f>
        <v/>
      </c>
      <c r="L503" s="13">
        <f>IF($D503="","",Setup!$B$11)</f>
        <v/>
      </c>
      <c r="M503" s="13">
        <f>IF($D503="","",IF(AND(TODAY()&gt;=Setup!$B$9,$P503&gt;0),Setup!$B$12,0))</f>
        <v/>
      </c>
      <c r="N503" s="13">
        <f>IF($D503="","",SUM($J503:$M503))</f>
        <v/>
      </c>
      <c r="O503" s="13">
        <f>IF($A503="","",SUMIFS(Payments!$F:$F,Payments!$D:$D,$A503))</f>
        <v/>
      </c>
      <c r="P503" s="13">
        <f>IF($D503="","",MAX(0,$N503-$O503))</f>
        <v/>
      </c>
      <c r="Q503" s="2">
        <f>IF($D503="","",IF(IFERROR(INDEX(Units_Owners!$I$5:$I$504,MATCH($D503,Units_Owners!$A$5:$A$504,0)),"No")&lt;&gt;"Yes","Skip - Inactive",IF($P503=0,"Paid",IF(TODAY()&gt;$I503,"Past Due","Open"))))</f>
        <v/>
      </c>
      <c r="R503" s="12" t="n"/>
      <c r="S503" s="2" t="n"/>
    </row>
    <row r="504">
      <c r="A504" s="2">
        <f>IF($D504="","","INV-"&amp;$B504&amp;"-"&amp;$C504&amp;"-"&amp;TEXT(ROW(A500),"0000"))</f>
        <v/>
      </c>
      <c r="B504" s="2">
        <f>Setup!$B$5</f>
        <v/>
      </c>
      <c r="C504" s="2">
        <f>Setup!$B$6</f>
        <v/>
      </c>
      <c r="D504" s="2">
        <f>IFERROR(INDEX(Units_Owners!$A$5:$A$504,ROWS($A$5:A504)),"")</f>
        <v/>
      </c>
      <c r="E504" s="2">
        <f>IF($D504="","",IFERROR(INDEX(Units_Owners!$B$5:$B$504,MATCH($D504,Units_Owners!$A$5:$A$504,0)),""))</f>
        <v/>
      </c>
      <c r="F504" s="2">
        <f>IF($D504="","",IFERROR(INDEX(Units_Owners!$C$5:$C$504,MATCH($D504,Units_Owners!$A$5:$A$504,0)),""))</f>
        <v/>
      </c>
      <c r="G504" s="2">
        <f>IF($D504="","",IFERROR(INDEX(Units_Owners!$D$5:$D$504,MATCH($D504,Units_Owners!$A$5:$A$504,0)),""))</f>
        <v/>
      </c>
      <c r="H504" s="12">
        <f>Setup!$B$7</f>
        <v/>
      </c>
      <c r="I504" s="12">
        <f>Setup!$B$8</f>
        <v/>
      </c>
      <c r="J504" s="13">
        <f>IF($D504="","",IFERROR(INDEX(Units_Owners!$J$5:$J$504,MATCH($D504,Units_Owners!$A$5:$A$504,0)),0)+SUMIFS(Ledger!$F:$F,Ledger!$B:$B,$D504,Ledger!$D:$D,"&lt;"&amp;$H504)-SUMIFS(Ledger!$G:$G,Ledger!$B:$B,$D504,Ledger!$D:$D,"&lt;"&amp;$H504))</f>
        <v/>
      </c>
      <c r="K504" s="13">
        <f>IF($D504="","",IFERROR(INDEX(Units_Owners!$H$5:$H$504,MATCH($D504,Units_Owners!$A$5:$A$504,0)),Setup!$B$10))</f>
        <v/>
      </c>
      <c r="L504" s="13">
        <f>IF($D504="","",Setup!$B$11)</f>
        <v/>
      </c>
      <c r="M504" s="13">
        <f>IF($D504="","",IF(AND(TODAY()&gt;=Setup!$B$9,$P504&gt;0),Setup!$B$12,0))</f>
        <v/>
      </c>
      <c r="N504" s="13">
        <f>IF($D504="","",SUM($J504:$M504))</f>
        <v/>
      </c>
      <c r="O504" s="13">
        <f>IF($A504="","",SUMIFS(Payments!$F:$F,Payments!$D:$D,$A504))</f>
        <v/>
      </c>
      <c r="P504" s="13">
        <f>IF($D504="","",MAX(0,$N504-$O504))</f>
        <v/>
      </c>
      <c r="Q504" s="2">
        <f>IF($D504="","",IF(IFERROR(INDEX(Units_Owners!$I$5:$I$504,MATCH($D504,Units_Owners!$A$5:$A$504,0)),"No")&lt;&gt;"Yes","Skip - Inactive",IF($P504=0,"Paid",IF(TODAY()&gt;$I504,"Past Due","Open"))))</f>
        <v/>
      </c>
      <c r="R504" s="14" t="n"/>
      <c r="S504" s="6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12" t="n"/>
      <c r="I505" s="12" t="n"/>
      <c r="J505" s="13" t="n"/>
      <c r="K505" s="13" t="n"/>
      <c r="L505" s="13" t="n"/>
      <c r="M505" s="13" t="n"/>
      <c r="N505" s="13" t="n"/>
      <c r="O505" s="13" t="n"/>
      <c r="P505" s="13" t="n"/>
      <c r="Q505" s="2" t="n"/>
      <c r="R505" s="12" t="n"/>
      <c r="S505" s="2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14" t="n"/>
      <c r="I506" s="14" t="n"/>
      <c r="J506" s="15" t="n"/>
      <c r="K506" s="15" t="n"/>
      <c r="L506" s="15" t="n"/>
      <c r="M506" s="15" t="n"/>
      <c r="N506" s="15" t="n"/>
      <c r="O506" s="15" t="n"/>
      <c r="P506" s="15" t="n"/>
      <c r="Q506" s="6" t="n"/>
      <c r="R506" s="14" t="n"/>
      <c r="S506" s="6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12" t="n"/>
      <c r="I507" s="12" t="n"/>
      <c r="J507" s="13" t="n"/>
      <c r="K507" s="13" t="n"/>
      <c r="L507" s="13" t="n"/>
      <c r="M507" s="13" t="n"/>
      <c r="N507" s="13" t="n"/>
      <c r="O507" s="13" t="n"/>
      <c r="P507" s="13" t="n"/>
      <c r="Q507" s="2" t="n"/>
      <c r="R507" s="12" t="n"/>
      <c r="S507" s="2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14" t="n"/>
      <c r="I508" s="14" t="n"/>
      <c r="J508" s="15" t="n"/>
      <c r="K508" s="15" t="n"/>
      <c r="L508" s="15" t="n"/>
      <c r="M508" s="15" t="n"/>
      <c r="N508" s="15" t="n"/>
      <c r="O508" s="15" t="n"/>
      <c r="P508" s="15" t="n"/>
      <c r="Q508" s="6" t="n"/>
      <c r="R508" s="14" t="n"/>
      <c r="S508" s="6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12" t="n"/>
      <c r="I509" s="12" t="n"/>
      <c r="J509" s="13" t="n"/>
      <c r="K509" s="13" t="n"/>
      <c r="L509" s="13" t="n"/>
      <c r="M509" s="13" t="n"/>
      <c r="N509" s="13" t="n"/>
      <c r="O509" s="13" t="n"/>
      <c r="P509" s="13" t="n"/>
      <c r="Q509" s="2" t="n"/>
      <c r="R509" s="12" t="n"/>
      <c r="S509" s="2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14" t="n"/>
      <c r="I510" s="14" t="n"/>
      <c r="J510" s="15" t="n"/>
      <c r="K510" s="15" t="n"/>
      <c r="L510" s="15" t="n"/>
      <c r="M510" s="15" t="n"/>
      <c r="N510" s="15" t="n"/>
      <c r="O510" s="15" t="n"/>
      <c r="P510" s="15" t="n"/>
      <c r="Q510" s="6" t="n"/>
      <c r="R510" s="14" t="n"/>
      <c r="S510" s="6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12" t="n"/>
      <c r="I511" s="12" t="n"/>
      <c r="J511" s="13" t="n"/>
      <c r="K511" s="13" t="n"/>
      <c r="L511" s="13" t="n"/>
      <c r="M511" s="13" t="n"/>
      <c r="N511" s="13" t="n"/>
      <c r="O511" s="13" t="n"/>
      <c r="P511" s="13" t="n"/>
      <c r="Q511" s="2" t="n"/>
      <c r="R511" s="12" t="n"/>
      <c r="S511" s="2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14" t="n"/>
      <c r="I512" s="14" t="n"/>
      <c r="J512" s="15" t="n"/>
      <c r="K512" s="15" t="n"/>
      <c r="L512" s="15" t="n"/>
      <c r="M512" s="15" t="n"/>
      <c r="N512" s="15" t="n"/>
      <c r="O512" s="15" t="n"/>
      <c r="P512" s="15" t="n"/>
      <c r="Q512" s="6" t="n"/>
      <c r="R512" s="14" t="n"/>
      <c r="S512" s="6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12" t="n"/>
      <c r="I513" s="12" t="n"/>
      <c r="J513" s="13" t="n"/>
      <c r="K513" s="13" t="n"/>
      <c r="L513" s="13" t="n"/>
      <c r="M513" s="13" t="n"/>
      <c r="N513" s="13" t="n"/>
      <c r="O513" s="13" t="n"/>
      <c r="P513" s="13" t="n"/>
      <c r="Q513" s="2" t="n"/>
      <c r="R513" s="12" t="n"/>
      <c r="S513" s="2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14" t="n"/>
      <c r="I514" s="14" t="n"/>
      <c r="J514" s="15" t="n"/>
      <c r="K514" s="15" t="n"/>
      <c r="L514" s="15" t="n"/>
      <c r="M514" s="15" t="n"/>
      <c r="N514" s="15" t="n"/>
      <c r="O514" s="15" t="n"/>
      <c r="P514" s="15" t="n"/>
      <c r="Q514" s="6" t="n"/>
      <c r="R514" s="14" t="n"/>
      <c r="S514" s="6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12" t="n"/>
      <c r="I515" s="12" t="n"/>
      <c r="J515" s="13" t="n"/>
      <c r="K515" s="13" t="n"/>
      <c r="L515" s="13" t="n"/>
      <c r="M515" s="13" t="n"/>
      <c r="N515" s="13" t="n"/>
      <c r="O515" s="13" t="n"/>
      <c r="P515" s="13" t="n"/>
      <c r="Q515" s="2" t="n"/>
      <c r="R515" s="12" t="n"/>
      <c r="S515" s="2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14" t="n"/>
      <c r="I516" s="14" t="n"/>
      <c r="J516" s="15" t="n"/>
      <c r="K516" s="15" t="n"/>
      <c r="L516" s="15" t="n"/>
      <c r="M516" s="15" t="n"/>
      <c r="N516" s="15" t="n"/>
      <c r="O516" s="15" t="n"/>
      <c r="P516" s="15" t="n"/>
      <c r="Q516" s="6" t="n"/>
      <c r="R516" s="14" t="n"/>
      <c r="S516" s="6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12" t="n"/>
      <c r="I517" s="12" t="n"/>
      <c r="J517" s="13" t="n"/>
      <c r="K517" s="13" t="n"/>
      <c r="L517" s="13" t="n"/>
      <c r="M517" s="13" t="n"/>
      <c r="N517" s="13" t="n"/>
      <c r="O517" s="13" t="n"/>
      <c r="P517" s="13" t="n"/>
      <c r="Q517" s="2" t="n"/>
      <c r="R517" s="12" t="n"/>
      <c r="S517" s="2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14" t="n"/>
      <c r="I518" s="14" t="n"/>
      <c r="J518" s="15" t="n"/>
      <c r="K518" s="15" t="n"/>
      <c r="L518" s="15" t="n"/>
      <c r="M518" s="15" t="n"/>
      <c r="N518" s="15" t="n"/>
      <c r="O518" s="15" t="n"/>
      <c r="P518" s="15" t="n"/>
      <c r="Q518" s="6" t="n"/>
      <c r="R518" s="14" t="n"/>
      <c r="S518" s="6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12" t="n"/>
      <c r="I519" s="12" t="n"/>
      <c r="J519" s="13" t="n"/>
      <c r="K519" s="13" t="n"/>
      <c r="L519" s="13" t="n"/>
      <c r="M519" s="13" t="n"/>
      <c r="N519" s="13" t="n"/>
      <c r="O519" s="13" t="n"/>
      <c r="P519" s="13" t="n"/>
      <c r="Q519" s="2" t="n"/>
      <c r="R519" s="12" t="n"/>
      <c r="S519" s="2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14" t="n"/>
      <c r="I520" s="14" t="n"/>
      <c r="J520" s="15" t="n"/>
      <c r="K520" s="15" t="n"/>
      <c r="L520" s="15" t="n"/>
      <c r="M520" s="15" t="n"/>
      <c r="N520" s="15" t="n"/>
      <c r="O520" s="15" t="n"/>
      <c r="P520" s="15" t="n"/>
      <c r="Q520" s="6" t="n"/>
      <c r="R520" s="14" t="n"/>
      <c r="S520" s="6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12" t="n"/>
      <c r="I521" s="12" t="n"/>
      <c r="J521" s="13" t="n"/>
      <c r="K521" s="13" t="n"/>
      <c r="L521" s="13" t="n"/>
      <c r="M521" s="13" t="n"/>
      <c r="N521" s="13" t="n"/>
      <c r="O521" s="13" t="n"/>
      <c r="P521" s="13" t="n"/>
      <c r="Q521" s="2" t="n"/>
      <c r="R521" s="12" t="n"/>
      <c r="S521" s="2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14" t="n"/>
      <c r="I522" s="14" t="n"/>
      <c r="J522" s="15" t="n"/>
      <c r="K522" s="15" t="n"/>
      <c r="L522" s="15" t="n"/>
      <c r="M522" s="15" t="n"/>
      <c r="N522" s="15" t="n"/>
      <c r="O522" s="15" t="n"/>
      <c r="P522" s="15" t="n"/>
      <c r="Q522" s="6" t="n"/>
      <c r="R522" s="14" t="n"/>
      <c r="S522" s="6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12" t="n"/>
      <c r="I523" s="12" t="n"/>
      <c r="J523" s="13" t="n"/>
      <c r="K523" s="13" t="n"/>
      <c r="L523" s="13" t="n"/>
      <c r="M523" s="13" t="n"/>
      <c r="N523" s="13" t="n"/>
      <c r="O523" s="13" t="n"/>
      <c r="P523" s="13" t="n"/>
      <c r="Q523" s="2" t="n"/>
      <c r="R523" s="12" t="n"/>
      <c r="S523" s="2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14" t="n"/>
      <c r="I524" s="14" t="n"/>
      <c r="J524" s="15" t="n"/>
      <c r="K524" s="15" t="n"/>
      <c r="L524" s="15" t="n"/>
      <c r="M524" s="15" t="n"/>
      <c r="N524" s="15" t="n"/>
      <c r="O524" s="15" t="n"/>
      <c r="P524" s="15" t="n"/>
      <c r="Q524" s="6" t="n"/>
      <c r="R524" s="14" t="n"/>
      <c r="S524" s="6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12" t="n"/>
      <c r="I525" s="12" t="n"/>
      <c r="J525" s="13" t="n"/>
      <c r="K525" s="13" t="n"/>
      <c r="L525" s="13" t="n"/>
      <c r="M525" s="13" t="n"/>
      <c r="N525" s="13" t="n"/>
      <c r="O525" s="13" t="n"/>
      <c r="P525" s="13" t="n"/>
      <c r="Q525" s="2" t="n"/>
      <c r="R525" s="12" t="n"/>
      <c r="S525" s="2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14" t="n"/>
      <c r="I526" s="14" t="n"/>
      <c r="J526" s="15" t="n"/>
      <c r="K526" s="15" t="n"/>
      <c r="L526" s="15" t="n"/>
      <c r="M526" s="15" t="n"/>
      <c r="N526" s="15" t="n"/>
      <c r="O526" s="15" t="n"/>
      <c r="P526" s="15" t="n"/>
      <c r="Q526" s="6" t="n"/>
      <c r="R526" s="14" t="n"/>
      <c r="S526" s="6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12" t="n"/>
      <c r="I527" s="12" t="n"/>
      <c r="J527" s="13" t="n"/>
      <c r="K527" s="13" t="n"/>
      <c r="L527" s="13" t="n"/>
      <c r="M527" s="13" t="n"/>
      <c r="N527" s="13" t="n"/>
      <c r="O527" s="13" t="n"/>
      <c r="P527" s="13" t="n"/>
      <c r="Q527" s="2" t="n"/>
      <c r="R527" s="12" t="n"/>
      <c r="S527" s="2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14" t="n"/>
      <c r="I528" s="14" t="n"/>
      <c r="J528" s="15" t="n"/>
      <c r="K528" s="15" t="n"/>
      <c r="L528" s="15" t="n"/>
      <c r="M528" s="15" t="n"/>
      <c r="N528" s="15" t="n"/>
      <c r="O528" s="15" t="n"/>
      <c r="P528" s="15" t="n"/>
      <c r="Q528" s="6" t="n"/>
      <c r="R528" s="14" t="n"/>
      <c r="S528" s="6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12" t="n"/>
      <c r="I529" s="12" t="n"/>
      <c r="J529" s="13" t="n"/>
      <c r="K529" s="13" t="n"/>
      <c r="L529" s="13" t="n"/>
      <c r="M529" s="13" t="n"/>
      <c r="N529" s="13" t="n"/>
      <c r="O529" s="13" t="n"/>
      <c r="P529" s="13" t="n"/>
      <c r="Q529" s="2" t="n"/>
      <c r="R529" s="12" t="n"/>
      <c r="S529" s="2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14" t="n"/>
      <c r="I530" s="14" t="n"/>
      <c r="J530" s="15" t="n"/>
      <c r="K530" s="15" t="n"/>
      <c r="L530" s="15" t="n"/>
      <c r="M530" s="15" t="n"/>
      <c r="N530" s="15" t="n"/>
      <c r="O530" s="15" t="n"/>
      <c r="P530" s="15" t="n"/>
      <c r="Q530" s="6" t="n"/>
      <c r="R530" s="14" t="n"/>
      <c r="S530" s="6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12" t="n"/>
      <c r="I531" s="12" t="n"/>
      <c r="J531" s="13" t="n"/>
      <c r="K531" s="13" t="n"/>
      <c r="L531" s="13" t="n"/>
      <c r="M531" s="13" t="n"/>
      <c r="N531" s="13" t="n"/>
      <c r="O531" s="13" t="n"/>
      <c r="P531" s="13" t="n"/>
      <c r="Q531" s="2" t="n"/>
      <c r="R531" s="12" t="n"/>
      <c r="S531" s="2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14" t="n"/>
      <c r="I532" s="14" t="n"/>
      <c r="J532" s="15" t="n"/>
      <c r="K532" s="15" t="n"/>
      <c r="L532" s="15" t="n"/>
      <c r="M532" s="15" t="n"/>
      <c r="N532" s="15" t="n"/>
      <c r="O532" s="15" t="n"/>
      <c r="P532" s="15" t="n"/>
      <c r="Q532" s="6" t="n"/>
      <c r="R532" s="14" t="n"/>
      <c r="S532" s="6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12" t="n"/>
      <c r="I533" s="12" t="n"/>
      <c r="J533" s="13" t="n"/>
      <c r="K533" s="13" t="n"/>
      <c r="L533" s="13" t="n"/>
      <c r="M533" s="13" t="n"/>
      <c r="N533" s="13" t="n"/>
      <c r="O533" s="13" t="n"/>
      <c r="P533" s="13" t="n"/>
      <c r="Q533" s="2" t="n"/>
      <c r="R533" s="12" t="n"/>
      <c r="S533" s="2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14" t="n"/>
      <c r="I534" s="14" t="n"/>
      <c r="J534" s="15" t="n"/>
      <c r="K534" s="15" t="n"/>
      <c r="L534" s="15" t="n"/>
      <c r="M534" s="15" t="n"/>
      <c r="N534" s="15" t="n"/>
      <c r="O534" s="15" t="n"/>
      <c r="P534" s="15" t="n"/>
      <c r="Q534" s="6" t="n"/>
      <c r="R534" s="14" t="n"/>
      <c r="S534" s="6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12" t="n"/>
      <c r="I535" s="12" t="n"/>
      <c r="J535" s="13" t="n"/>
      <c r="K535" s="13" t="n"/>
      <c r="L535" s="13" t="n"/>
      <c r="M535" s="13" t="n"/>
      <c r="N535" s="13" t="n"/>
      <c r="O535" s="13" t="n"/>
      <c r="P535" s="13" t="n"/>
      <c r="Q535" s="2" t="n"/>
      <c r="R535" s="12" t="n"/>
      <c r="S535" s="2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14" t="n"/>
      <c r="I536" s="14" t="n"/>
      <c r="J536" s="15" t="n"/>
      <c r="K536" s="15" t="n"/>
      <c r="L536" s="15" t="n"/>
      <c r="M536" s="15" t="n"/>
      <c r="N536" s="15" t="n"/>
      <c r="O536" s="15" t="n"/>
      <c r="P536" s="15" t="n"/>
      <c r="Q536" s="6" t="n"/>
      <c r="R536" s="14" t="n"/>
      <c r="S536" s="6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12" t="n"/>
      <c r="I537" s="12" t="n"/>
      <c r="J537" s="13" t="n"/>
      <c r="K537" s="13" t="n"/>
      <c r="L537" s="13" t="n"/>
      <c r="M537" s="13" t="n"/>
      <c r="N537" s="13" t="n"/>
      <c r="O537" s="13" t="n"/>
      <c r="P537" s="13" t="n"/>
      <c r="Q537" s="2" t="n"/>
      <c r="R537" s="12" t="n"/>
      <c r="S537" s="2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14" t="n"/>
      <c r="I538" s="14" t="n"/>
      <c r="J538" s="15" t="n"/>
      <c r="K538" s="15" t="n"/>
      <c r="L538" s="15" t="n"/>
      <c r="M538" s="15" t="n"/>
      <c r="N538" s="15" t="n"/>
      <c r="O538" s="15" t="n"/>
      <c r="P538" s="15" t="n"/>
      <c r="Q538" s="6" t="n"/>
      <c r="R538" s="14" t="n"/>
      <c r="S538" s="6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12" t="n"/>
      <c r="I539" s="12" t="n"/>
      <c r="J539" s="13" t="n"/>
      <c r="K539" s="13" t="n"/>
      <c r="L539" s="13" t="n"/>
      <c r="M539" s="13" t="n"/>
      <c r="N539" s="13" t="n"/>
      <c r="O539" s="13" t="n"/>
      <c r="P539" s="13" t="n"/>
      <c r="Q539" s="2" t="n"/>
      <c r="R539" s="12" t="n"/>
      <c r="S539" s="2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14" t="n"/>
      <c r="I540" s="14" t="n"/>
      <c r="J540" s="15" t="n"/>
      <c r="K540" s="15" t="n"/>
      <c r="L540" s="15" t="n"/>
      <c r="M540" s="15" t="n"/>
      <c r="N540" s="15" t="n"/>
      <c r="O540" s="15" t="n"/>
      <c r="P540" s="15" t="n"/>
      <c r="Q540" s="6" t="n"/>
      <c r="R540" s="14" t="n"/>
      <c r="S540" s="6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12" t="n"/>
      <c r="I541" s="12" t="n"/>
      <c r="J541" s="13" t="n"/>
      <c r="K541" s="13" t="n"/>
      <c r="L541" s="13" t="n"/>
      <c r="M541" s="13" t="n"/>
      <c r="N541" s="13" t="n"/>
      <c r="O541" s="13" t="n"/>
      <c r="P541" s="13" t="n"/>
      <c r="Q541" s="2" t="n"/>
      <c r="R541" s="12" t="n"/>
      <c r="S541" s="2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14" t="n"/>
      <c r="I542" s="14" t="n"/>
      <c r="J542" s="15" t="n"/>
      <c r="K542" s="15" t="n"/>
      <c r="L542" s="15" t="n"/>
      <c r="M542" s="15" t="n"/>
      <c r="N542" s="15" t="n"/>
      <c r="O542" s="15" t="n"/>
      <c r="P542" s="15" t="n"/>
      <c r="Q542" s="6" t="n"/>
      <c r="R542" s="14" t="n"/>
      <c r="S542" s="6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12" t="n"/>
      <c r="I543" s="12" t="n"/>
      <c r="J543" s="13" t="n"/>
      <c r="K543" s="13" t="n"/>
      <c r="L543" s="13" t="n"/>
      <c r="M543" s="13" t="n"/>
      <c r="N543" s="13" t="n"/>
      <c r="O543" s="13" t="n"/>
      <c r="P543" s="13" t="n"/>
      <c r="Q543" s="2" t="n"/>
      <c r="R543" s="12" t="n"/>
      <c r="S543" s="2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14" t="n"/>
      <c r="I544" s="14" t="n"/>
      <c r="J544" s="15" t="n"/>
      <c r="K544" s="15" t="n"/>
      <c r="L544" s="15" t="n"/>
      <c r="M544" s="15" t="n"/>
      <c r="N544" s="15" t="n"/>
      <c r="O544" s="15" t="n"/>
      <c r="P544" s="15" t="n"/>
      <c r="Q544" s="6" t="n"/>
      <c r="R544" s="14" t="n"/>
      <c r="S544" s="6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12" t="n"/>
      <c r="I545" s="12" t="n"/>
      <c r="J545" s="13" t="n"/>
      <c r="K545" s="13" t="n"/>
      <c r="L545" s="13" t="n"/>
      <c r="M545" s="13" t="n"/>
      <c r="N545" s="13" t="n"/>
      <c r="O545" s="13" t="n"/>
      <c r="P545" s="13" t="n"/>
      <c r="Q545" s="2" t="n"/>
      <c r="R545" s="12" t="n"/>
      <c r="S545" s="2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14" t="n"/>
      <c r="I546" s="14" t="n"/>
      <c r="J546" s="15" t="n"/>
      <c r="K546" s="15" t="n"/>
      <c r="L546" s="15" t="n"/>
      <c r="M546" s="15" t="n"/>
      <c r="N546" s="15" t="n"/>
      <c r="O546" s="15" t="n"/>
      <c r="P546" s="15" t="n"/>
      <c r="Q546" s="6" t="n"/>
      <c r="R546" s="14" t="n"/>
      <c r="S546" s="6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12" t="n"/>
      <c r="I547" s="12" t="n"/>
      <c r="J547" s="13" t="n"/>
      <c r="K547" s="13" t="n"/>
      <c r="L547" s="13" t="n"/>
      <c r="M547" s="13" t="n"/>
      <c r="N547" s="13" t="n"/>
      <c r="O547" s="13" t="n"/>
      <c r="P547" s="13" t="n"/>
      <c r="Q547" s="2" t="n"/>
      <c r="R547" s="12" t="n"/>
      <c r="S547" s="2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14" t="n"/>
      <c r="I548" s="14" t="n"/>
      <c r="J548" s="15" t="n"/>
      <c r="K548" s="15" t="n"/>
      <c r="L548" s="15" t="n"/>
      <c r="M548" s="15" t="n"/>
      <c r="N548" s="15" t="n"/>
      <c r="O548" s="15" t="n"/>
      <c r="P548" s="15" t="n"/>
      <c r="Q548" s="6" t="n"/>
      <c r="R548" s="14" t="n"/>
      <c r="S548" s="6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12" t="n"/>
      <c r="I549" s="12" t="n"/>
      <c r="J549" s="13" t="n"/>
      <c r="K549" s="13" t="n"/>
      <c r="L549" s="13" t="n"/>
      <c r="M549" s="13" t="n"/>
      <c r="N549" s="13" t="n"/>
      <c r="O549" s="13" t="n"/>
      <c r="P549" s="13" t="n"/>
      <c r="Q549" s="2" t="n"/>
      <c r="R549" s="12" t="n"/>
      <c r="S549" s="2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14" t="n"/>
      <c r="I550" s="14" t="n"/>
      <c r="J550" s="15" t="n"/>
      <c r="K550" s="15" t="n"/>
      <c r="L550" s="15" t="n"/>
      <c r="M550" s="15" t="n"/>
      <c r="N550" s="15" t="n"/>
      <c r="O550" s="15" t="n"/>
      <c r="P550" s="15" t="n"/>
      <c r="Q550" s="6" t="n"/>
      <c r="R550" s="14" t="n"/>
      <c r="S550" s="6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12" t="n"/>
      <c r="I551" s="12" t="n"/>
      <c r="J551" s="13" t="n"/>
      <c r="K551" s="13" t="n"/>
      <c r="L551" s="13" t="n"/>
      <c r="M551" s="13" t="n"/>
      <c r="N551" s="13" t="n"/>
      <c r="O551" s="13" t="n"/>
      <c r="P551" s="13" t="n"/>
      <c r="Q551" s="2" t="n"/>
      <c r="R551" s="12" t="n"/>
      <c r="S551" s="2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14" t="n"/>
      <c r="I552" s="14" t="n"/>
      <c r="J552" s="15" t="n"/>
      <c r="K552" s="15" t="n"/>
      <c r="L552" s="15" t="n"/>
      <c r="M552" s="15" t="n"/>
      <c r="N552" s="15" t="n"/>
      <c r="O552" s="15" t="n"/>
      <c r="P552" s="15" t="n"/>
      <c r="Q552" s="6" t="n"/>
      <c r="R552" s="14" t="n"/>
      <c r="S552" s="6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12" t="n"/>
      <c r="I553" s="12" t="n"/>
      <c r="J553" s="13" t="n"/>
      <c r="K553" s="13" t="n"/>
      <c r="L553" s="13" t="n"/>
      <c r="M553" s="13" t="n"/>
      <c r="N553" s="13" t="n"/>
      <c r="O553" s="13" t="n"/>
      <c r="P553" s="13" t="n"/>
      <c r="Q553" s="2" t="n"/>
      <c r="R553" s="12" t="n"/>
      <c r="S553" s="2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14" t="n"/>
      <c r="I554" s="14" t="n"/>
      <c r="J554" s="15" t="n"/>
      <c r="K554" s="15" t="n"/>
      <c r="L554" s="15" t="n"/>
      <c r="M554" s="15" t="n"/>
      <c r="N554" s="15" t="n"/>
      <c r="O554" s="15" t="n"/>
      <c r="P554" s="15" t="n"/>
      <c r="Q554" s="6" t="n"/>
      <c r="R554" s="14" t="n"/>
      <c r="S554" s="6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12" t="n"/>
      <c r="I555" s="12" t="n"/>
      <c r="J555" s="13" t="n"/>
      <c r="K555" s="13" t="n"/>
      <c r="L555" s="13" t="n"/>
      <c r="M555" s="13" t="n"/>
      <c r="N555" s="13" t="n"/>
      <c r="O555" s="13" t="n"/>
      <c r="P555" s="13" t="n"/>
      <c r="Q555" s="2" t="n"/>
      <c r="R555" s="12" t="n"/>
      <c r="S555" s="2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14" t="n"/>
      <c r="I556" s="14" t="n"/>
      <c r="J556" s="15" t="n"/>
      <c r="K556" s="15" t="n"/>
      <c r="L556" s="15" t="n"/>
      <c r="M556" s="15" t="n"/>
      <c r="N556" s="15" t="n"/>
      <c r="O556" s="15" t="n"/>
      <c r="P556" s="15" t="n"/>
      <c r="Q556" s="6" t="n"/>
      <c r="R556" s="14" t="n"/>
      <c r="S556" s="6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12" t="n"/>
      <c r="I557" s="12" t="n"/>
      <c r="J557" s="13" t="n"/>
      <c r="K557" s="13" t="n"/>
      <c r="L557" s="13" t="n"/>
      <c r="M557" s="13" t="n"/>
      <c r="N557" s="13" t="n"/>
      <c r="O557" s="13" t="n"/>
      <c r="P557" s="13" t="n"/>
      <c r="Q557" s="2" t="n"/>
      <c r="R557" s="12" t="n"/>
      <c r="S557" s="2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14" t="n"/>
      <c r="I558" s="14" t="n"/>
      <c r="J558" s="15" t="n"/>
      <c r="K558" s="15" t="n"/>
      <c r="L558" s="15" t="n"/>
      <c r="M558" s="15" t="n"/>
      <c r="N558" s="15" t="n"/>
      <c r="O558" s="15" t="n"/>
      <c r="P558" s="15" t="n"/>
      <c r="Q558" s="6" t="n"/>
      <c r="R558" s="14" t="n"/>
      <c r="S558" s="6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12" t="n"/>
      <c r="I559" s="12" t="n"/>
      <c r="J559" s="13" t="n"/>
      <c r="K559" s="13" t="n"/>
      <c r="L559" s="13" t="n"/>
      <c r="M559" s="13" t="n"/>
      <c r="N559" s="13" t="n"/>
      <c r="O559" s="13" t="n"/>
      <c r="P559" s="13" t="n"/>
      <c r="Q559" s="2" t="n"/>
      <c r="R559" s="12" t="n"/>
      <c r="S559" s="2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14" t="n"/>
      <c r="I560" s="14" t="n"/>
      <c r="J560" s="15" t="n"/>
      <c r="K560" s="15" t="n"/>
      <c r="L560" s="15" t="n"/>
      <c r="M560" s="15" t="n"/>
      <c r="N560" s="15" t="n"/>
      <c r="O560" s="15" t="n"/>
      <c r="P560" s="15" t="n"/>
      <c r="Q560" s="6" t="n"/>
      <c r="R560" s="14" t="n"/>
      <c r="S560" s="6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12" t="n"/>
      <c r="I561" s="12" t="n"/>
      <c r="J561" s="13" t="n"/>
      <c r="K561" s="13" t="n"/>
      <c r="L561" s="13" t="n"/>
      <c r="M561" s="13" t="n"/>
      <c r="N561" s="13" t="n"/>
      <c r="O561" s="13" t="n"/>
      <c r="P561" s="13" t="n"/>
      <c r="Q561" s="2" t="n"/>
      <c r="R561" s="12" t="n"/>
      <c r="S561" s="2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14" t="n"/>
      <c r="I562" s="14" t="n"/>
      <c r="J562" s="15" t="n"/>
      <c r="K562" s="15" t="n"/>
      <c r="L562" s="15" t="n"/>
      <c r="M562" s="15" t="n"/>
      <c r="N562" s="15" t="n"/>
      <c r="O562" s="15" t="n"/>
      <c r="P562" s="15" t="n"/>
      <c r="Q562" s="6" t="n"/>
      <c r="R562" s="14" t="n"/>
      <c r="S562" s="6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12" t="n"/>
      <c r="I563" s="12" t="n"/>
      <c r="J563" s="13" t="n"/>
      <c r="K563" s="13" t="n"/>
      <c r="L563" s="13" t="n"/>
      <c r="M563" s="13" t="n"/>
      <c r="N563" s="13" t="n"/>
      <c r="O563" s="13" t="n"/>
      <c r="P563" s="13" t="n"/>
      <c r="Q563" s="2" t="n"/>
      <c r="R563" s="12" t="n"/>
      <c r="S563" s="2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14" t="n"/>
      <c r="I564" s="14" t="n"/>
      <c r="J564" s="15" t="n"/>
      <c r="K564" s="15" t="n"/>
      <c r="L564" s="15" t="n"/>
      <c r="M564" s="15" t="n"/>
      <c r="N564" s="15" t="n"/>
      <c r="O564" s="15" t="n"/>
      <c r="P564" s="15" t="n"/>
      <c r="Q564" s="6" t="n"/>
      <c r="R564" s="14" t="n"/>
      <c r="S564" s="6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12" t="n"/>
      <c r="I565" s="12" t="n"/>
      <c r="J565" s="13" t="n"/>
      <c r="K565" s="13" t="n"/>
      <c r="L565" s="13" t="n"/>
      <c r="M565" s="13" t="n"/>
      <c r="N565" s="13" t="n"/>
      <c r="O565" s="13" t="n"/>
      <c r="P565" s="13" t="n"/>
      <c r="Q565" s="2" t="n"/>
      <c r="R565" s="12" t="n"/>
      <c r="S565" s="2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14" t="n"/>
      <c r="I566" s="14" t="n"/>
      <c r="J566" s="15" t="n"/>
      <c r="K566" s="15" t="n"/>
      <c r="L566" s="15" t="n"/>
      <c r="M566" s="15" t="n"/>
      <c r="N566" s="15" t="n"/>
      <c r="O566" s="15" t="n"/>
      <c r="P566" s="15" t="n"/>
      <c r="Q566" s="6" t="n"/>
      <c r="R566" s="14" t="n"/>
      <c r="S566" s="6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12" t="n"/>
      <c r="I567" s="12" t="n"/>
      <c r="J567" s="13" t="n"/>
      <c r="K567" s="13" t="n"/>
      <c r="L567" s="13" t="n"/>
      <c r="M567" s="13" t="n"/>
      <c r="N567" s="13" t="n"/>
      <c r="O567" s="13" t="n"/>
      <c r="P567" s="13" t="n"/>
      <c r="Q567" s="2" t="n"/>
      <c r="R567" s="12" t="n"/>
      <c r="S567" s="2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14" t="n"/>
      <c r="I568" s="14" t="n"/>
      <c r="J568" s="15" t="n"/>
      <c r="K568" s="15" t="n"/>
      <c r="L568" s="15" t="n"/>
      <c r="M568" s="15" t="n"/>
      <c r="N568" s="15" t="n"/>
      <c r="O568" s="15" t="n"/>
      <c r="P568" s="15" t="n"/>
      <c r="Q568" s="6" t="n"/>
      <c r="R568" s="14" t="n"/>
      <c r="S568" s="6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12" t="n"/>
      <c r="I569" s="12" t="n"/>
      <c r="J569" s="13" t="n"/>
      <c r="K569" s="13" t="n"/>
      <c r="L569" s="13" t="n"/>
      <c r="M569" s="13" t="n"/>
      <c r="N569" s="13" t="n"/>
      <c r="O569" s="13" t="n"/>
      <c r="P569" s="13" t="n"/>
      <c r="Q569" s="2" t="n"/>
      <c r="R569" s="12" t="n"/>
      <c r="S569" s="2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14" t="n"/>
      <c r="I570" s="14" t="n"/>
      <c r="J570" s="15" t="n"/>
      <c r="K570" s="15" t="n"/>
      <c r="L570" s="15" t="n"/>
      <c r="M570" s="15" t="n"/>
      <c r="N570" s="15" t="n"/>
      <c r="O570" s="15" t="n"/>
      <c r="P570" s="15" t="n"/>
      <c r="Q570" s="6" t="n"/>
      <c r="R570" s="14" t="n"/>
      <c r="S570" s="6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12" t="n"/>
      <c r="I571" s="12" t="n"/>
      <c r="J571" s="13" t="n"/>
      <c r="K571" s="13" t="n"/>
      <c r="L571" s="13" t="n"/>
      <c r="M571" s="13" t="n"/>
      <c r="N571" s="13" t="n"/>
      <c r="O571" s="13" t="n"/>
      <c r="P571" s="13" t="n"/>
      <c r="Q571" s="2" t="n"/>
      <c r="R571" s="12" t="n"/>
      <c r="S571" s="2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14" t="n"/>
      <c r="I572" s="14" t="n"/>
      <c r="J572" s="15" t="n"/>
      <c r="K572" s="15" t="n"/>
      <c r="L572" s="15" t="n"/>
      <c r="M572" s="15" t="n"/>
      <c r="N572" s="15" t="n"/>
      <c r="O572" s="15" t="n"/>
      <c r="P572" s="15" t="n"/>
      <c r="Q572" s="6" t="n"/>
      <c r="R572" s="14" t="n"/>
      <c r="S572" s="6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12" t="n"/>
      <c r="I573" s="12" t="n"/>
      <c r="J573" s="13" t="n"/>
      <c r="K573" s="13" t="n"/>
      <c r="L573" s="13" t="n"/>
      <c r="M573" s="13" t="n"/>
      <c r="N573" s="13" t="n"/>
      <c r="O573" s="13" t="n"/>
      <c r="P573" s="13" t="n"/>
      <c r="Q573" s="2" t="n"/>
      <c r="R573" s="12" t="n"/>
      <c r="S573" s="2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14" t="n"/>
      <c r="I574" s="14" t="n"/>
      <c r="J574" s="15" t="n"/>
      <c r="K574" s="15" t="n"/>
      <c r="L574" s="15" t="n"/>
      <c r="M574" s="15" t="n"/>
      <c r="N574" s="15" t="n"/>
      <c r="O574" s="15" t="n"/>
      <c r="P574" s="15" t="n"/>
      <c r="Q574" s="6" t="n"/>
      <c r="R574" s="14" t="n"/>
      <c r="S574" s="6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12" t="n"/>
      <c r="I575" s="12" t="n"/>
      <c r="J575" s="13" t="n"/>
      <c r="K575" s="13" t="n"/>
      <c r="L575" s="13" t="n"/>
      <c r="M575" s="13" t="n"/>
      <c r="N575" s="13" t="n"/>
      <c r="O575" s="13" t="n"/>
      <c r="P575" s="13" t="n"/>
      <c r="Q575" s="2" t="n"/>
      <c r="R575" s="12" t="n"/>
      <c r="S575" s="2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14" t="n"/>
      <c r="I576" s="14" t="n"/>
      <c r="J576" s="15" t="n"/>
      <c r="K576" s="15" t="n"/>
      <c r="L576" s="15" t="n"/>
      <c r="M576" s="15" t="n"/>
      <c r="N576" s="15" t="n"/>
      <c r="O576" s="15" t="n"/>
      <c r="P576" s="15" t="n"/>
      <c r="Q576" s="6" t="n"/>
      <c r="R576" s="14" t="n"/>
      <c r="S576" s="6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12" t="n"/>
      <c r="I577" s="12" t="n"/>
      <c r="J577" s="13" t="n"/>
      <c r="K577" s="13" t="n"/>
      <c r="L577" s="13" t="n"/>
      <c r="M577" s="13" t="n"/>
      <c r="N577" s="13" t="n"/>
      <c r="O577" s="13" t="n"/>
      <c r="P577" s="13" t="n"/>
      <c r="Q577" s="2" t="n"/>
      <c r="R577" s="12" t="n"/>
      <c r="S577" s="2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14" t="n"/>
      <c r="I578" s="14" t="n"/>
      <c r="J578" s="15" t="n"/>
      <c r="K578" s="15" t="n"/>
      <c r="L578" s="15" t="n"/>
      <c r="M578" s="15" t="n"/>
      <c r="N578" s="15" t="n"/>
      <c r="O578" s="15" t="n"/>
      <c r="P578" s="15" t="n"/>
      <c r="Q578" s="6" t="n"/>
      <c r="R578" s="14" t="n"/>
      <c r="S578" s="6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12" t="n"/>
      <c r="I579" s="12" t="n"/>
      <c r="J579" s="13" t="n"/>
      <c r="K579" s="13" t="n"/>
      <c r="L579" s="13" t="n"/>
      <c r="M579" s="13" t="n"/>
      <c r="N579" s="13" t="n"/>
      <c r="O579" s="13" t="n"/>
      <c r="P579" s="13" t="n"/>
      <c r="Q579" s="2" t="n"/>
      <c r="R579" s="12" t="n"/>
      <c r="S579" s="2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14" t="n"/>
      <c r="I580" s="14" t="n"/>
      <c r="J580" s="15" t="n"/>
      <c r="K580" s="15" t="n"/>
      <c r="L580" s="15" t="n"/>
      <c r="M580" s="15" t="n"/>
      <c r="N580" s="15" t="n"/>
      <c r="O580" s="15" t="n"/>
      <c r="P580" s="15" t="n"/>
      <c r="Q580" s="6" t="n"/>
      <c r="R580" s="14" t="n"/>
      <c r="S580" s="6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12" t="n"/>
      <c r="I581" s="12" t="n"/>
      <c r="J581" s="13" t="n"/>
      <c r="K581" s="13" t="n"/>
      <c r="L581" s="13" t="n"/>
      <c r="M581" s="13" t="n"/>
      <c r="N581" s="13" t="n"/>
      <c r="O581" s="13" t="n"/>
      <c r="P581" s="13" t="n"/>
      <c r="Q581" s="2" t="n"/>
      <c r="R581" s="12" t="n"/>
      <c r="S581" s="2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14" t="n"/>
      <c r="I582" s="14" t="n"/>
      <c r="J582" s="15" t="n"/>
      <c r="K582" s="15" t="n"/>
      <c r="L582" s="15" t="n"/>
      <c r="M582" s="15" t="n"/>
      <c r="N582" s="15" t="n"/>
      <c r="O582" s="15" t="n"/>
      <c r="P582" s="15" t="n"/>
      <c r="Q582" s="6" t="n"/>
      <c r="R582" s="14" t="n"/>
      <c r="S582" s="6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12" t="n"/>
      <c r="I583" s="12" t="n"/>
      <c r="J583" s="13" t="n"/>
      <c r="K583" s="13" t="n"/>
      <c r="L583" s="13" t="n"/>
      <c r="M583" s="13" t="n"/>
      <c r="N583" s="13" t="n"/>
      <c r="O583" s="13" t="n"/>
      <c r="P583" s="13" t="n"/>
      <c r="Q583" s="2" t="n"/>
      <c r="R583" s="12" t="n"/>
      <c r="S583" s="2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14" t="n"/>
      <c r="I584" s="14" t="n"/>
      <c r="J584" s="15" t="n"/>
      <c r="K584" s="15" t="n"/>
      <c r="L584" s="15" t="n"/>
      <c r="M584" s="15" t="n"/>
      <c r="N584" s="15" t="n"/>
      <c r="O584" s="15" t="n"/>
      <c r="P584" s="15" t="n"/>
      <c r="Q584" s="6" t="n"/>
      <c r="R584" s="14" t="n"/>
      <c r="S584" s="6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12" t="n"/>
      <c r="I585" s="12" t="n"/>
      <c r="J585" s="13" t="n"/>
      <c r="K585" s="13" t="n"/>
      <c r="L585" s="13" t="n"/>
      <c r="M585" s="13" t="n"/>
      <c r="N585" s="13" t="n"/>
      <c r="O585" s="13" t="n"/>
      <c r="P585" s="13" t="n"/>
      <c r="Q585" s="2" t="n"/>
      <c r="R585" s="12" t="n"/>
      <c r="S585" s="2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14" t="n"/>
      <c r="I586" s="14" t="n"/>
      <c r="J586" s="15" t="n"/>
      <c r="K586" s="15" t="n"/>
      <c r="L586" s="15" t="n"/>
      <c r="M586" s="15" t="n"/>
      <c r="N586" s="15" t="n"/>
      <c r="O586" s="15" t="n"/>
      <c r="P586" s="15" t="n"/>
      <c r="Q586" s="6" t="n"/>
      <c r="R586" s="14" t="n"/>
      <c r="S586" s="6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12" t="n"/>
      <c r="I587" s="12" t="n"/>
      <c r="J587" s="13" t="n"/>
      <c r="K587" s="13" t="n"/>
      <c r="L587" s="13" t="n"/>
      <c r="M587" s="13" t="n"/>
      <c r="N587" s="13" t="n"/>
      <c r="O587" s="13" t="n"/>
      <c r="P587" s="13" t="n"/>
      <c r="Q587" s="2" t="n"/>
      <c r="R587" s="12" t="n"/>
      <c r="S587" s="2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14" t="n"/>
      <c r="I588" s="14" t="n"/>
      <c r="J588" s="15" t="n"/>
      <c r="K588" s="15" t="n"/>
      <c r="L588" s="15" t="n"/>
      <c r="M588" s="15" t="n"/>
      <c r="N588" s="15" t="n"/>
      <c r="O588" s="15" t="n"/>
      <c r="P588" s="15" t="n"/>
      <c r="Q588" s="6" t="n"/>
      <c r="R588" s="14" t="n"/>
      <c r="S588" s="6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12" t="n"/>
      <c r="I589" s="12" t="n"/>
      <c r="J589" s="13" t="n"/>
      <c r="K589" s="13" t="n"/>
      <c r="L589" s="13" t="n"/>
      <c r="M589" s="13" t="n"/>
      <c r="N589" s="13" t="n"/>
      <c r="O589" s="13" t="n"/>
      <c r="P589" s="13" t="n"/>
      <c r="Q589" s="2" t="n"/>
      <c r="R589" s="12" t="n"/>
      <c r="S589" s="2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14" t="n"/>
      <c r="I590" s="14" t="n"/>
      <c r="J590" s="15" t="n"/>
      <c r="K590" s="15" t="n"/>
      <c r="L590" s="15" t="n"/>
      <c r="M590" s="15" t="n"/>
      <c r="N590" s="15" t="n"/>
      <c r="O590" s="15" t="n"/>
      <c r="P590" s="15" t="n"/>
      <c r="Q590" s="6" t="n"/>
      <c r="R590" s="14" t="n"/>
      <c r="S590" s="6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12" t="n"/>
      <c r="I591" s="12" t="n"/>
      <c r="J591" s="13" t="n"/>
      <c r="K591" s="13" t="n"/>
      <c r="L591" s="13" t="n"/>
      <c r="M591" s="13" t="n"/>
      <c r="N591" s="13" t="n"/>
      <c r="O591" s="13" t="n"/>
      <c r="P591" s="13" t="n"/>
      <c r="Q591" s="2" t="n"/>
      <c r="R591" s="12" t="n"/>
      <c r="S591" s="2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14" t="n"/>
      <c r="I592" s="14" t="n"/>
      <c r="J592" s="15" t="n"/>
      <c r="K592" s="15" t="n"/>
      <c r="L592" s="15" t="n"/>
      <c r="M592" s="15" t="n"/>
      <c r="N592" s="15" t="n"/>
      <c r="O592" s="15" t="n"/>
      <c r="P592" s="15" t="n"/>
      <c r="Q592" s="6" t="n"/>
      <c r="R592" s="14" t="n"/>
      <c r="S592" s="6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12" t="n"/>
      <c r="I593" s="12" t="n"/>
      <c r="J593" s="13" t="n"/>
      <c r="K593" s="13" t="n"/>
      <c r="L593" s="13" t="n"/>
      <c r="M593" s="13" t="n"/>
      <c r="N593" s="13" t="n"/>
      <c r="O593" s="13" t="n"/>
      <c r="P593" s="13" t="n"/>
      <c r="Q593" s="2" t="n"/>
      <c r="R593" s="12" t="n"/>
      <c r="S593" s="2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14" t="n"/>
      <c r="I594" s="14" t="n"/>
      <c r="J594" s="15" t="n"/>
      <c r="K594" s="15" t="n"/>
      <c r="L594" s="15" t="n"/>
      <c r="M594" s="15" t="n"/>
      <c r="N594" s="15" t="n"/>
      <c r="O594" s="15" t="n"/>
      <c r="P594" s="15" t="n"/>
      <c r="Q594" s="6" t="n"/>
      <c r="R594" s="14" t="n"/>
      <c r="S594" s="6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12" t="n"/>
      <c r="I595" s="12" t="n"/>
      <c r="J595" s="13" t="n"/>
      <c r="K595" s="13" t="n"/>
      <c r="L595" s="13" t="n"/>
      <c r="M595" s="13" t="n"/>
      <c r="N595" s="13" t="n"/>
      <c r="O595" s="13" t="n"/>
      <c r="P595" s="13" t="n"/>
      <c r="Q595" s="2" t="n"/>
      <c r="R595" s="12" t="n"/>
      <c r="S595" s="2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14" t="n"/>
      <c r="I596" s="14" t="n"/>
      <c r="J596" s="15" t="n"/>
      <c r="K596" s="15" t="n"/>
      <c r="L596" s="15" t="n"/>
      <c r="M596" s="15" t="n"/>
      <c r="N596" s="15" t="n"/>
      <c r="O596" s="15" t="n"/>
      <c r="P596" s="15" t="n"/>
      <c r="Q596" s="6" t="n"/>
      <c r="R596" s="14" t="n"/>
      <c r="S596" s="6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12" t="n"/>
      <c r="I597" s="12" t="n"/>
      <c r="J597" s="13" t="n"/>
      <c r="K597" s="13" t="n"/>
      <c r="L597" s="13" t="n"/>
      <c r="M597" s="13" t="n"/>
      <c r="N597" s="13" t="n"/>
      <c r="O597" s="13" t="n"/>
      <c r="P597" s="13" t="n"/>
      <c r="Q597" s="2" t="n"/>
      <c r="R597" s="12" t="n"/>
      <c r="S597" s="2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14" t="n"/>
      <c r="I598" s="14" t="n"/>
      <c r="J598" s="15" t="n"/>
      <c r="K598" s="15" t="n"/>
      <c r="L598" s="15" t="n"/>
      <c r="M598" s="15" t="n"/>
      <c r="N598" s="15" t="n"/>
      <c r="O598" s="15" t="n"/>
      <c r="P598" s="15" t="n"/>
      <c r="Q598" s="6" t="n"/>
      <c r="R598" s="14" t="n"/>
      <c r="S598" s="6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12" t="n"/>
      <c r="I599" s="12" t="n"/>
      <c r="J599" s="13" t="n"/>
      <c r="K599" s="13" t="n"/>
      <c r="L599" s="13" t="n"/>
      <c r="M599" s="13" t="n"/>
      <c r="N599" s="13" t="n"/>
      <c r="O599" s="13" t="n"/>
      <c r="P599" s="13" t="n"/>
      <c r="Q599" s="2" t="n"/>
      <c r="R599" s="12" t="n"/>
      <c r="S599" s="2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14" t="n"/>
      <c r="I600" s="14" t="n"/>
      <c r="J600" s="15" t="n"/>
      <c r="K600" s="15" t="n"/>
      <c r="L600" s="15" t="n"/>
      <c r="M600" s="15" t="n"/>
      <c r="N600" s="15" t="n"/>
      <c r="O600" s="15" t="n"/>
      <c r="P600" s="15" t="n"/>
      <c r="Q600" s="6" t="n"/>
      <c r="R600" s="14" t="n"/>
      <c r="S600" s="6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12" t="n"/>
      <c r="I601" s="12" t="n"/>
      <c r="J601" s="13" t="n"/>
      <c r="K601" s="13" t="n"/>
      <c r="L601" s="13" t="n"/>
      <c r="M601" s="13" t="n"/>
      <c r="N601" s="13" t="n"/>
      <c r="O601" s="13" t="n"/>
      <c r="P601" s="13" t="n"/>
      <c r="Q601" s="2" t="n"/>
      <c r="R601" s="12" t="n"/>
      <c r="S601" s="2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14" t="n"/>
      <c r="I602" s="14" t="n"/>
      <c r="J602" s="15" t="n"/>
      <c r="K602" s="15" t="n"/>
      <c r="L602" s="15" t="n"/>
      <c r="M602" s="15" t="n"/>
      <c r="N602" s="15" t="n"/>
      <c r="O602" s="15" t="n"/>
      <c r="P602" s="15" t="n"/>
      <c r="Q602" s="6" t="n"/>
      <c r="R602" s="14" t="n"/>
      <c r="S602" s="6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12" t="n"/>
      <c r="I603" s="12" t="n"/>
      <c r="J603" s="13" t="n"/>
      <c r="K603" s="13" t="n"/>
      <c r="L603" s="13" t="n"/>
      <c r="M603" s="13" t="n"/>
      <c r="N603" s="13" t="n"/>
      <c r="O603" s="13" t="n"/>
      <c r="P603" s="13" t="n"/>
      <c r="Q603" s="2" t="n"/>
      <c r="R603" s="12" t="n"/>
      <c r="S603" s="2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14" t="n"/>
      <c r="I604" s="14" t="n"/>
      <c r="J604" s="15" t="n"/>
      <c r="K604" s="15" t="n"/>
      <c r="L604" s="15" t="n"/>
      <c r="M604" s="15" t="n"/>
      <c r="N604" s="15" t="n"/>
      <c r="O604" s="15" t="n"/>
      <c r="P604" s="15" t="n"/>
      <c r="Q604" s="6" t="n"/>
      <c r="R604" s="14" t="n"/>
      <c r="S604" s="6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12" t="n"/>
      <c r="I605" s="12" t="n"/>
      <c r="J605" s="13" t="n"/>
      <c r="K605" s="13" t="n"/>
      <c r="L605" s="13" t="n"/>
      <c r="M605" s="13" t="n"/>
      <c r="N605" s="13" t="n"/>
      <c r="O605" s="13" t="n"/>
      <c r="P605" s="13" t="n"/>
      <c r="Q605" s="2" t="n"/>
      <c r="R605" s="12" t="n"/>
      <c r="S605" s="2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14" t="n"/>
      <c r="I606" s="14" t="n"/>
      <c r="J606" s="15" t="n"/>
      <c r="K606" s="15" t="n"/>
      <c r="L606" s="15" t="n"/>
      <c r="M606" s="15" t="n"/>
      <c r="N606" s="15" t="n"/>
      <c r="O606" s="15" t="n"/>
      <c r="P606" s="15" t="n"/>
      <c r="Q606" s="6" t="n"/>
      <c r="R606" s="14" t="n"/>
      <c r="S606" s="6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12" t="n"/>
      <c r="I607" s="12" t="n"/>
      <c r="J607" s="13" t="n"/>
      <c r="K607" s="13" t="n"/>
      <c r="L607" s="13" t="n"/>
      <c r="M607" s="13" t="n"/>
      <c r="N607" s="13" t="n"/>
      <c r="O607" s="13" t="n"/>
      <c r="P607" s="13" t="n"/>
      <c r="Q607" s="2" t="n"/>
      <c r="R607" s="12" t="n"/>
      <c r="S607" s="2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14" t="n"/>
      <c r="I608" s="14" t="n"/>
      <c r="J608" s="15" t="n"/>
      <c r="K608" s="15" t="n"/>
      <c r="L608" s="15" t="n"/>
      <c r="M608" s="15" t="n"/>
      <c r="N608" s="15" t="n"/>
      <c r="O608" s="15" t="n"/>
      <c r="P608" s="15" t="n"/>
      <c r="Q608" s="6" t="n"/>
      <c r="R608" s="14" t="n"/>
      <c r="S608" s="6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12" t="n"/>
      <c r="I609" s="12" t="n"/>
      <c r="J609" s="13" t="n"/>
      <c r="K609" s="13" t="n"/>
      <c r="L609" s="13" t="n"/>
      <c r="M609" s="13" t="n"/>
      <c r="N609" s="13" t="n"/>
      <c r="O609" s="13" t="n"/>
      <c r="P609" s="13" t="n"/>
      <c r="Q609" s="2" t="n"/>
      <c r="R609" s="12" t="n"/>
      <c r="S609" s="2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14" t="n"/>
      <c r="I610" s="14" t="n"/>
      <c r="J610" s="15" t="n"/>
      <c r="K610" s="15" t="n"/>
      <c r="L610" s="15" t="n"/>
      <c r="M610" s="15" t="n"/>
      <c r="N610" s="15" t="n"/>
      <c r="O610" s="15" t="n"/>
      <c r="P610" s="15" t="n"/>
      <c r="Q610" s="6" t="n"/>
      <c r="R610" s="14" t="n"/>
      <c r="S610" s="6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12" t="n"/>
      <c r="I611" s="12" t="n"/>
      <c r="J611" s="13" t="n"/>
      <c r="K611" s="13" t="n"/>
      <c r="L611" s="13" t="n"/>
      <c r="M611" s="13" t="n"/>
      <c r="N611" s="13" t="n"/>
      <c r="O611" s="13" t="n"/>
      <c r="P611" s="13" t="n"/>
      <c r="Q611" s="2" t="n"/>
      <c r="R611" s="12" t="n"/>
      <c r="S611" s="2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14" t="n"/>
      <c r="I612" s="14" t="n"/>
      <c r="J612" s="15" t="n"/>
      <c r="K612" s="15" t="n"/>
      <c r="L612" s="15" t="n"/>
      <c r="M612" s="15" t="n"/>
      <c r="N612" s="15" t="n"/>
      <c r="O612" s="15" t="n"/>
      <c r="P612" s="15" t="n"/>
      <c r="Q612" s="6" t="n"/>
      <c r="R612" s="14" t="n"/>
      <c r="S612" s="6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12" t="n"/>
      <c r="I613" s="12" t="n"/>
      <c r="J613" s="13" t="n"/>
      <c r="K613" s="13" t="n"/>
      <c r="L613" s="13" t="n"/>
      <c r="M613" s="13" t="n"/>
      <c r="N613" s="13" t="n"/>
      <c r="O613" s="13" t="n"/>
      <c r="P613" s="13" t="n"/>
      <c r="Q613" s="2" t="n"/>
      <c r="R613" s="12" t="n"/>
      <c r="S613" s="2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14" t="n"/>
      <c r="I614" s="14" t="n"/>
      <c r="J614" s="15" t="n"/>
      <c r="K614" s="15" t="n"/>
      <c r="L614" s="15" t="n"/>
      <c r="M614" s="15" t="n"/>
      <c r="N614" s="15" t="n"/>
      <c r="O614" s="15" t="n"/>
      <c r="P614" s="15" t="n"/>
      <c r="Q614" s="6" t="n"/>
      <c r="R614" s="14" t="n"/>
      <c r="S614" s="6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12" t="n"/>
      <c r="I615" s="12" t="n"/>
      <c r="J615" s="13" t="n"/>
      <c r="K615" s="13" t="n"/>
      <c r="L615" s="13" t="n"/>
      <c r="M615" s="13" t="n"/>
      <c r="N615" s="13" t="n"/>
      <c r="O615" s="13" t="n"/>
      <c r="P615" s="13" t="n"/>
      <c r="Q615" s="2" t="n"/>
      <c r="R615" s="12" t="n"/>
      <c r="S615" s="2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14" t="n"/>
      <c r="I616" s="14" t="n"/>
      <c r="J616" s="15" t="n"/>
      <c r="K616" s="15" t="n"/>
      <c r="L616" s="15" t="n"/>
      <c r="M616" s="15" t="n"/>
      <c r="N616" s="15" t="n"/>
      <c r="O616" s="15" t="n"/>
      <c r="P616" s="15" t="n"/>
      <c r="Q616" s="6" t="n"/>
      <c r="R616" s="14" t="n"/>
      <c r="S616" s="6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12" t="n"/>
      <c r="I617" s="12" t="n"/>
      <c r="J617" s="13" t="n"/>
      <c r="K617" s="13" t="n"/>
      <c r="L617" s="13" t="n"/>
      <c r="M617" s="13" t="n"/>
      <c r="N617" s="13" t="n"/>
      <c r="O617" s="13" t="n"/>
      <c r="P617" s="13" t="n"/>
      <c r="Q617" s="2" t="n"/>
      <c r="R617" s="12" t="n"/>
      <c r="S617" s="2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14" t="n"/>
      <c r="I618" s="14" t="n"/>
      <c r="J618" s="15" t="n"/>
      <c r="K618" s="15" t="n"/>
      <c r="L618" s="15" t="n"/>
      <c r="M618" s="15" t="n"/>
      <c r="N618" s="15" t="n"/>
      <c r="O618" s="15" t="n"/>
      <c r="P618" s="15" t="n"/>
      <c r="Q618" s="6" t="n"/>
      <c r="R618" s="14" t="n"/>
      <c r="S618" s="6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12" t="n"/>
      <c r="I619" s="12" t="n"/>
      <c r="J619" s="13" t="n"/>
      <c r="K619" s="13" t="n"/>
      <c r="L619" s="13" t="n"/>
      <c r="M619" s="13" t="n"/>
      <c r="N619" s="13" t="n"/>
      <c r="O619" s="13" t="n"/>
      <c r="P619" s="13" t="n"/>
      <c r="Q619" s="2" t="n"/>
      <c r="R619" s="12" t="n"/>
      <c r="S619" s="2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14" t="n"/>
      <c r="I620" s="14" t="n"/>
      <c r="J620" s="15" t="n"/>
      <c r="K620" s="15" t="n"/>
      <c r="L620" s="15" t="n"/>
      <c r="M620" s="15" t="n"/>
      <c r="N620" s="15" t="n"/>
      <c r="O620" s="15" t="n"/>
      <c r="P620" s="15" t="n"/>
      <c r="Q620" s="6" t="n"/>
      <c r="R620" s="14" t="n"/>
      <c r="S620" s="6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12" t="n"/>
      <c r="I621" s="12" t="n"/>
      <c r="J621" s="13" t="n"/>
      <c r="K621" s="13" t="n"/>
      <c r="L621" s="13" t="n"/>
      <c r="M621" s="13" t="n"/>
      <c r="N621" s="13" t="n"/>
      <c r="O621" s="13" t="n"/>
      <c r="P621" s="13" t="n"/>
      <c r="Q621" s="2" t="n"/>
      <c r="R621" s="12" t="n"/>
      <c r="S621" s="2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14" t="n"/>
      <c r="I622" s="14" t="n"/>
      <c r="J622" s="15" t="n"/>
      <c r="K622" s="15" t="n"/>
      <c r="L622" s="15" t="n"/>
      <c r="M622" s="15" t="n"/>
      <c r="N622" s="15" t="n"/>
      <c r="O622" s="15" t="n"/>
      <c r="P622" s="15" t="n"/>
      <c r="Q622" s="6" t="n"/>
      <c r="R622" s="14" t="n"/>
      <c r="S622" s="6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12" t="n"/>
      <c r="I623" s="12" t="n"/>
      <c r="J623" s="13" t="n"/>
      <c r="K623" s="13" t="n"/>
      <c r="L623" s="13" t="n"/>
      <c r="M623" s="13" t="n"/>
      <c r="N623" s="13" t="n"/>
      <c r="O623" s="13" t="n"/>
      <c r="P623" s="13" t="n"/>
      <c r="Q623" s="2" t="n"/>
      <c r="R623" s="12" t="n"/>
      <c r="S623" s="2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14" t="n"/>
      <c r="I624" s="14" t="n"/>
      <c r="J624" s="15" t="n"/>
      <c r="K624" s="15" t="n"/>
      <c r="L624" s="15" t="n"/>
      <c r="M624" s="15" t="n"/>
      <c r="N624" s="15" t="n"/>
      <c r="O624" s="15" t="n"/>
      <c r="P624" s="15" t="n"/>
      <c r="Q624" s="6" t="n"/>
      <c r="R624" s="14" t="n"/>
      <c r="S624" s="6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12" t="n"/>
      <c r="I625" s="12" t="n"/>
      <c r="J625" s="13" t="n"/>
      <c r="K625" s="13" t="n"/>
      <c r="L625" s="13" t="n"/>
      <c r="M625" s="13" t="n"/>
      <c r="N625" s="13" t="n"/>
      <c r="O625" s="13" t="n"/>
      <c r="P625" s="13" t="n"/>
      <c r="Q625" s="2" t="n"/>
      <c r="R625" s="12" t="n"/>
      <c r="S625" s="2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14" t="n"/>
      <c r="I626" s="14" t="n"/>
      <c r="J626" s="15" t="n"/>
      <c r="K626" s="15" t="n"/>
      <c r="L626" s="15" t="n"/>
      <c r="M626" s="15" t="n"/>
      <c r="N626" s="15" t="n"/>
      <c r="O626" s="15" t="n"/>
      <c r="P626" s="15" t="n"/>
      <c r="Q626" s="6" t="n"/>
      <c r="R626" s="14" t="n"/>
      <c r="S626" s="6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12" t="n"/>
      <c r="I627" s="12" t="n"/>
      <c r="J627" s="13" t="n"/>
      <c r="K627" s="13" t="n"/>
      <c r="L627" s="13" t="n"/>
      <c r="M627" s="13" t="n"/>
      <c r="N627" s="13" t="n"/>
      <c r="O627" s="13" t="n"/>
      <c r="P627" s="13" t="n"/>
      <c r="Q627" s="2" t="n"/>
      <c r="R627" s="12" t="n"/>
      <c r="S627" s="2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14" t="n"/>
      <c r="I628" s="14" t="n"/>
      <c r="J628" s="15" t="n"/>
      <c r="K628" s="15" t="n"/>
      <c r="L628" s="15" t="n"/>
      <c r="M628" s="15" t="n"/>
      <c r="N628" s="15" t="n"/>
      <c r="O628" s="15" t="n"/>
      <c r="P628" s="15" t="n"/>
      <c r="Q628" s="6" t="n"/>
      <c r="R628" s="14" t="n"/>
      <c r="S628" s="6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12" t="n"/>
      <c r="I629" s="12" t="n"/>
      <c r="J629" s="13" t="n"/>
      <c r="K629" s="13" t="n"/>
      <c r="L629" s="13" t="n"/>
      <c r="M629" s="13" t="n"/>
      <c r="N629" s="13" t="n"/>
      <c r="O629" s="13" t="n"/>
      <c r="P629" s="13" t="n"/>
      <c r="Q629" s="2" t="n"/>
      <c r="R629" s="12" t="n"/>
      <c r="S629" s="2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14" t="n"/>
      <c r="I630" s="14" t="n"/>
      <c r="J630" s="15" t="n"/>
      <c r="K630" s="15" t="n"/>
      <c r="L630" s="15" t="n"/>
      <c r="M630" s="15" t="n"/>
      <c r="N630" s="15" t="n"/>
      <c r="O630" s="15" t="n"/>
      <c r="P630" s="15" t="n"/>
      <c r="Q630" s="6" t="n"/>
      <c r="R630" s="14" t="n"/>
      <c r="S630" s="6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12" t="n"/>
      <c r="I631" s="12" t="n"/>
      <c r="J631" s="13" t="n"/>
      <c r="K631" s="13" t="n"/>
      <c r="L631" s="13" t="n"/>
      <c r="M631" s="13" t="n"/>
      <c r="N631" s="13" t="n"/>
      <c r="O631" s="13" t="n"/>
      <c r="P631" s="13" t="n"/>
      <c r="Q631" s="2" t="n"/>
      <c r="R631" s="12" t="n"/>
      <c r="S631" s="2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14" t="n"/>
      <c r="I632" s="14" t="n"/>
      <c r="J632" s="15" t="n"/>
      <c r="K632" s="15" t="n"/>
      <c r="L632" s="15" t="n"/>
      <c r="M632" s="15" t="n"/>
      <c r="N632" s="15" t="n"/>
      <c r="O632" s="15" t="n"/>
      <c r="P632" s="15" t="n"/>
      <c r="Q632" s="6" t="n"/>
      <c r="R632" s="14" t="n"/>
      <c r="S632" s="6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12" t="n"/>
      <c r="I633" s="12" t="n"/>
      <c r="J633" s="13" t="n"/>
      <c r="K633" s="13" t="n"/>
      <c r="L633" s="13" t="n"/>
      <c r="M633" s="13" t="n"/>
      <c r="N633" s="13" t="n"/>
      <c r="O633" s="13" t="n"/>
      <c r="P633" s="13" t="n"/>
      <c r="Q633" s="2" t="n"/>
      <c r="R633" s="12" t="n"/>
      <c r="S633" s="2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14" t="n"/>
      <c r="I634" s="14" t="n"/>
      <c r="J634" s="15" t="n"/>
      <c r="K634" s="15" t="n"/>
      <c r="L634" s="15" t="n"/>
      <c r="M634" s="15" t="n"/>
      <c r="N634" s="15" t="n"/>
      <c r="O634" s="15" t="n"/>
      <c r="P634" s="15" t="n"/>
      <c r="Q634" s="6" t="n"/>
      <c r="R634" s="14" t="n"/>
      <c r="S634" s="6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12" t="n"/>
      <c r="I635" s="12" t="n"/>
      <c r="J635" s="13" t="n"/>
      <c r="K635" s="13" t="n"/>
      <c r="L635" s="13" t="n"/>
      <c r="M635" s="13" t="n"/>
      <c r="N635" s="13" t="n"/>
      <c r="O635" s="13" t="n"/>
      <c r="P635" s="13" t="n"/>
      <c r="Q635" s="2" t="n"/>
      <c r="R635" s="12" t="n"/>
      <c r="S635" s="2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14" t="n"/>
      <c r="I636" s="14" t="n"/>
      <c r="J636" s="15" t="n"/>
      <c r="K636" s="15" t="n"/>
      <c r="L636" s="15" t="n"/>
      <c r="M636" s="15" t="n"/>
      <c r="N636" s="15" t="n"/>
      <c r="O636" s="15" t="n"/>
      <c r="P636" s="15" t="n"/>
      <c r="Q636" s="6" t="n"/>
      <c r="R636" s="14" t="n"/>
      <c r="S636" s="6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12" t="n"/>
      <c r="I637" s="12" t="n"/>
      <c r="J637" s="13" t="n"/>
      <c r="K637" s="13" t="n"/>
      <c r="L637" s="13" t="n"/>
      <c r="M637" s="13" t="n"/>
      <c r="N637" s="13" t="n"/>
      <c r="O637" s="13" t="n"/>
      <c r="P637" s="13" t="n"/>
      <c r="Q637" s="2" t="n"/>
      <c r="R637" s="12" t="n"/>
      <c r="S637" s="2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14" t="n"/>
      <c r="I638" s="14" t="n"/>
      <c r="J638" s="15" t="n"/>
      <c r="K638" s="15" t="n"/>
      <c r="L638" s="15" t="n"/>
      <c r="M638" s="15" t="n"/>
      <c r="N638" s="15" t="n"/>
      <c r="O638" s="15" t="n"/>
      <c r="P638" s="15" t="n"/>
      <c r="Q638" s="6" t="n"/>
      <c r="R638" s="14" t="n"/>
      <c r="S638" s="6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12" t="n"/>
      <c r="I639" s="12" t="n"/>
      <c r="J639" s="13" t="n"/>
      <c r="K639" s="13" t="n"/>
      <c r="L639" s="13" t="n"/>
      <c r="M639" s="13" t="n"/>
      <c r="N639" s="13" t="n"/>
      <c r="O639" s="13" t="n"/>
      <c r="P639" s="13" t="n"/>
      <c r="Q639" s="2" t="n"/>
      <c r="R639" s="12" t="n"/>
      <c r="S639" s="2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14" t="n"/>
      <c r="I640" s="14" t="n"/>
      <c r="J640" s="15" t="n"/>
      <c r="K640" s="15" t="n"/>
      <c r="L640" s="15" t="n"/>
      <c r="M640" s="15" t="n"/>
      <c r="N640" s="15" t="n"/>
      <c r="O640" s="15" t="n"/>
      <c r="P640" s="15" t="n"/>
      <c r="Q640" s="6" t="n"/>
      <c r="R640" s="14" t="n"/>
      <c r="S640" s="6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12" t="n"/>
      <c r="I641" s="12" t="n"/>
      <c r="J641" s="13" t="n"/>
      <c r="K641" s="13" t="n"/>
      <c r="L641" s="13" t="n"/>
      <c r="M641" s="13" t="n"/>
      <c r="N641" s="13" t="n"/>
      <c r="O641" s="13" t="n"/>
      <c r="P641" s="13" t="n"/>
      <c r="Q641" s="2" t="n"/>
      <c r="R641" s="12" t="n"/>
      <c r="S641" s="2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14" t="n"/>
      <c r="I642" s="14" t="n"/>
      <c r="J642" s="15" t="n"/>
      <c r="K642" s="15" t="n"/>
      <c r="L642" s="15" t="n"/>
      <c r="M642" s="15" t="n"/>
      <c r="N642" s="15" t="n"/>
      <c r="O642" s="15" t="n"/>
      <c r="P642" s="15" t="n"/>
      <c r="Q642" s="6" t="n"/>
      <c r="R642" s="14" t="n"/>
      <c r="S642" s="6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12" t="n"/>
      <c r="I643" s="12" t="n"/>
      <c r="J643" s="13" t="n"/>
      <c r="K643" s="13" t="n"/>
      <c r="L643" s="13" t="n"/>
      <c r="M643" s="13" t="n"/>
      <c r="N643" s="13" t="n"/>
      <c r="O643" s="13" t="n"/>
      <c r="P643" s="13" t="n"/>
      <c r="Q643" s="2" t="n"/>
      <c r="R643" s="12" t="n"/>
      <c r="S643" s="2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14" t="n"/>
      <c r="I644" s="14" t="n"/>
      <c r="J644" s="15" t="n"/>
      <c r="K644" s="15" t="n"/>
      <c r="L644" s="15" t="n"/>
      <c r="M644" s="15" t="n"/>
      <c r="N644" s="15" t="n"/>
      <c r="O644" s="15" t="n"/>
      <c r="P644" s="15" t="n"/>
      <c r="Q644" s="6" t="n"/>
      <c r="R644" s="14" t="n"/>
      <c r="S644" s="6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12" t="n"/>
      <c r="I645" s="12" t="n"/>
      <c r="J645" s="13" t="n"/>
      <c r="K645" s="13" t="n"/>
      <c r="L645" s="13" t="n"/>
      <c r="M645" s="13" t="n"/>
      <c r="N645" s="13" t="n"/>
      <c r="O645" s="13" t="n"/>
      <c r="P645" s="13" t="n"/>
      <c r="Q645" s="2" t="n"/>
      <c r="R645" s="12" t="n"/>
      <c r="S645" s="2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14" t="n"/>
      <c r="I646" s="14" t="n"/>
      <c r="J646" s="15" t="n"/>
      <c r="K646" s="15" t="n"/>
      <c r="L646" s="15" t="n"/>
      <c r="M646" s="15" t="n"/>
      <c r="N646" s="15" t="n"/>
      <c r="O646" s="15" t="n"/>
      <c r="P646" s="15" t="n"/>
      <c r="Q646" s="6" t="n"/>
      <c r="R646" s="14" t="n"/>
      <c r="S646" s="6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12" t="n"/>
      <c r="I647" s="12" t="n"/>
      <c r="J647" s="13" t="n"/>
      <c r="K647" s="13" t="n"/>
      <c r="L647" s="13" t="n"/>
      <c r="M647" s="13" t="n"/>
      <c r="N647" s="13" t="n"/>
      <c r="O647" s="13" t="n"/>
      <c r="P647" s="13" t="n"/>
      <c r="Q647" s="2" t="n"/>
      <c r="R647" s="12" t="n"/>
      <c r="S647" s="2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14" t="n"/>
      <c r="I648" s="14" t="n"/>
      <c r="J648" s="15" t="n"/>
      <c r="K648" s="15" t="n"/>
      <c r="L648" s="15" t="n"/>
      <c r="M648" s="15" t="n"/>
      <c r="N648" s="15" t="n"/>
      <c r="O648" s="15" t="n"/>
      <c r="P648" s="15" t="n"/>
      <c r="Q648" s="6" t="n"/>
      <c r="R648" s="14" t="n"/>
      <c r="S648" s="6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12" t="n"/>
      <c r="I649" s="12" t="n"/>
      <c r="J649" s="13" t="n"/>
      <c r="K649" s="13" t="n"/>
      <c r="L649" s="13" t="n"/>
      <c r="M649" s="13" t="n"/>
      <c r="N649" s="13" t="n"/>
      <c r="O649" s="13" t="n"/>
      <c r="P649" s="13" t="n"/>
      <c r="Q649" s="2" t="n"/>
      <c r="R649" s="12" t="n"/>
      <c r="S649" s="2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14" t="n"/>
      <c r="I650" s="14" t="n"/>
      <c r="J650" s="15" t="n"/>
      <c r="K650" s="15" t="n"/>
      <c r="L650" s="15" t="n"/>
      <c r="M650" s="15" t="n"/>
      <c r="N650" s="15" t="n"/>
      <c r="O650" s="15" t="n"/>
      <c r="P650" s="15" t="n"/>
      <c r="Q650" s="6" t="n"/>
      <c r="R650" s="14" t="n"/>
      <c r="S650" s="6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12" t="n"/>
      <c r="I651" s="12" t="n"/>
      <c r="J651" s="13" t="n"/>
      <c r="K651" s="13" t="n"/>
      <c r="L651" s="13" t="n"/>
      <c r="M651" s="13" t="n"/>
      <c r="N651" s="13" t="n"/>
      <c r="O651" s="13" t="n"/>
      <c r="P651" s="13" t="n"/>
      <c r="Q651" s="2" t="n"/>
      <c r="R651" s="12" t="n"/>
      <c r="S651" s="2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14" t="n"/>
      <c r="I652" s="14" t="n"/>
      <c r="J652" s="15" t="n"/>
      <c r="K652" s="15" t="n"/>
      <c r="L652" s="15" t="n"/>
      <c r="M652" s="15" t="n"/>
      <c r="N652" s="15" t="n"/>
      <c r="O652" s="15" t="n"/>
      <c r="P652" s="15" t="n"/>
      <c r="Q652" s="6" t="n"/>
      <c r="R652" s="14" t="n"/>
      <c r="S652" s="6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12" t="n"/>
      <c r="I653" s="12" t="n"/>
      <c r="J653" s="13" t="n"/>
      <c r="K653" s="13" t="n"/>
      <c r="L653" s="13" t="n"/>
      <c r="M653" s="13" t="n"/>
      <c r="N653" s="13" t="n"/>
      <c r="O653" s="13" t="n"/>
      <c r="P653" s="13" t="n"/>
      <c r="Q653" s="2" t="n"/>
      <c r="R653" s="12" t="n"/>
      <c r="S653" s="2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14" t="n"/>
      <c r="I654" s="14" t="n"/>
      <c r="J654" s="15" t="n"/>
      <c r="K654" s="15" t="n"/>
      <c r="L654" s="15" t="n"/>
      <c r="M654" s="15" t="n"/>
      <c r="N654" s="15" t="n"/>
      <c r="O654" s="15" t="n"/>
      <c r="P654" s="15" t="n"/>
      <c r="Q654" s="6" t="n"/>
      <c r="R654" s="14" t="n"/>
      <c r="S654" s="6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12" t="n"/>
      <c r="I655" s="12" t="n"/>
      <c r="J655" s="13" t="n"/>
      <c r="K655" s="13" t="n"/>
      <c r="L655" s="13" t="n"/>
      <c r="M655" s="13" t="n"/>
      <c r="N655" s="13" t="n"/>
      <c r="O655" s="13" t="n"/>
      <c r="P655" s="13" t="n"/>
      <c r="Q655" s="2" t="n"/>
      <c r="R655" s="12" t="n"/>
      <c r="S655" s="2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14" t="n"/>
      <c r="I656" s="14" t="n"/>
      <c r="J656" s="15" t="n"/>
      <c r="K656" s="15" t="n"/>
      <c r="L656" s="15" t="n"/>
      <c r="M656" s="15" t="n"/>
      <c r="N656" s="15" t="n"/>
      <c r="O656" s="15" t="n"/>
      <c r="P656" s="15" t="n"/>
      <c r="Q656" s="6" t="n"/>
      <c r="R656" s="14" t="n"/>
      <c r="S656" s="6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12" t="n"/>
      <c r="I657" s="12" t="n"/>
      <c r="J657" s="13" t="n"/>
      <c r="K657" s="13" t="n"/>
      <c r="L657" s="13" t="n"/>
      <c r="M657" s="13" t="n"/>
      <c r="N657" s="13" t="n"/>
      <c r="O657" s="13" t="n"/>
      <c r="P657" s="13" t="n"/>
      <c r="Q657" s="2" t="n"/>
      <c r="R657" s="12" t="n"/>
      <c r="S657" s="2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14" t="n"/>
      <c r="I658" s="14" t="n"/>
      <c r="J658" s="15" t="n"/>
      <c r="K658" s="15" t="n"/>
      <c r="L658" s="15" t="n"/>
      <c r="M658" s="15" t="n"/>
      <c r="N658" s="15" t="n"/>
      <c r="O658" s="15" t="n"/>
      <c r="P658" s="15" t="n"/>
      <c r="Q658" s="6" t="n"/>
      <c r="R658" s="14" t="n"/>
      <c r="S658" s="6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12" t="n"/>
      <c r="I659" s="12" t="n"/>
      <c r="J659" s="13" t="n"/>
      <c r="K659" s="13" t="n"/>
      <c r="L659" s="13" t="n"/>
      <c r="M659" s="13" t="n"/>
      <c r="N659" s="13" t="n"/>
      <c r="O659" s="13" t="n"/>
      <c r="P659" s="13" t="n"/>
      <c r="Q659" s="2" t="n"/>
      <c r="R659" s="12" t="n"/>
      <c r="S659" s="2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14" t="n"/>
      <c r="I660" s="14" t="n"/>
      <c r="J660" s="15" t="n"/>
      <c r="K660" s="15" t="n"/>
      <c r="L660" s="15" t="n"/>
      <c r="M660" s="15" t="n"/>
      <c r="N660" s="15" t="n"/>
      <c r="O660" s="15" t="n"/>
      <c r="P660" s="15" t="n"/>
      <c r="Q660" s="6" t="n"/>
      <c r="R660" s="14" t="n"/>
      <c r="S660" s="6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12" t="n"/>
      <c r="I661" s="12" t="n"/>
      <c r="J661" s="13" t="n"/>
      <c r="K661" s="13" t="n"/>
      <c r="L661" s="13" t="n"/>
      <c r="M661" s="13" t="n"/>
      <c r="N661" s="13" t="n"/>
      <c r="O661" s="13" t="n"/>
      <c r="P661" s="13" t="n"/>
      <c r="Q661" s="2" t="n"/>
      <c r="R661" s="12" t="n"/>
      <c r="S661" s="2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14" t="n"/>
      <c r="I662" s="14" t="n"/>
      <c r="J662" s="15" t="n"/>
      <c r="K662" s="15" t="n"/>
      <c r="L662" s="15" t="n"/>
      <c r="M662" s="15" t="n"/>
      <c r="N662" s="15" t="n"/>
      <c r="O662" s="15" t="n"/>
      <c r="P662" s="15" t="n"/>
      <c r="Q662" s="6" t="n"/>
      <c r="R662" s="14" t="n"/>
      <c r="S662" s="6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12" t="n"/>
      <c r="I663" s="12" t="n"/>
      <c r="J663" s="13" t="n"/>
      <c r="K663" s="13" t="n"/>
      <c r="L663" s="13" t="n"/>
      <c r="M663" s="13" t="n"/>
      <c r="N663" s="13" t="n"/>
      <c r="O663" s="13" t="n"/>
      <c r="P663" s="13" t="n"/>
      <c r="Q663" s="2" t="n"/>
      <c r="R663" s="12" t="n"/>
      <c r="S663" s="2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14" t="n"/>
      <c r="I664" s="14" t="n"/>
      <c r="J664" s="15" t="n"/>
      <c r="K664" s="15" t="n"/>
      <c r="L664" s="15" t="n"/>
      <c r="M664" s="15" t="n"/>
      <c r="N664" s="15" t="n"/>
      <c r="O664" s="15" t="n"/>
      <c r="P664" s="15" t="n"/>
      <c r="Q664" s="6" t="n"/>
      <c r="R664" s="14" t="n"/>
      <c r="S664" s="6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12" t="n"/>
      <c r="I665" s="12" t="n"/>
      <c r="J665" s="13" t="n"/>
      <c r="K665" s="13" t="n"/>
      <c r="L665" s="13" t="n"/>
      <c r="M665" s="13" t="n"/>
      <c r="N665" s="13" t="n"/>
      <c r="O665" s="13" t="n"/>
      <c r="P665" s="13" t="n"/>
      <c r="Q665" s="2" t="n"/>
      <c r="R665" s="12" t="n"/>
      <c r="S665" s="2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14" t="n"/>
      <c r="I666" s="14" t="n"/>
      <c r="J666" s="15" t="n"/>
      <c r="K666" s="15" t="n"/>
      <c r="L666" s="15" t="n"/>
      <c r="M666" s="15" t="n"/>
      <c r="N666" s="15" t="n"/>
      <c r="O666" s="15" t="n"/>
      <c r="P666" s="15" t="n"/>
      <c r="Q666" s="6" t="n"/>
      <c r="R666" s="14" t="n"/>
      <c r="S666" s="6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12" t="n"/>
      <c r="I667" s="12" t="n"/>
      <c r="J667" s="13" t="n"/>
      <c r="K667" s="13" t="n"/>
      <c r="L667" s="13" t="n"/>
      <c r="M667" s="13" t="n"/>
      <c r="N667" s="13" t="n"/>
      <c r="O667" s="13" t="n"/>
      <c r="P667" s="13" t="n"/>
      <c r="Q667" s="2" t="n"/>
      <c r="R667" s="12" t="n"/>
      <c r="S667" s="2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14" t="n"/>
      <c r="I668" s="14" t="n"/>
      <c r="J668" s="15" t="n"/>
      <c r="K668" s="15" t="n"/>
      <c r="L668" s="15" t="n"/>
      <c r="M668" s="15" t="n"/>
      <c r="N668" s="15" t="n"/>
      <c r="O668" s="15" t="n"/>
      <c r="P668" s="15" t="n"/>
      <c r="Q668" s="6" t="n"/>
      <c r="R668" s="14" t="n"/>
      <c r="S668" s="6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12" t="n"/>
      <c r="I669" s="12" t="n"/>
      <c r="J669" s="13" t="n"/>
      <c r="K669" s="13" t="n"/>
      <c r="L669" s="13" t="n"/>
      <c r="M669" s="13" t="n"/>
      <c r="N669" s="13" t="n"/>
      <c r="O669" s="13" t="n"/>
      <c r="P669" s="13" t="n"/>
      <c r="Q669" s="2" t="n"/>
      <c r="R669" s="12" t="n"/>
      <c r="S669" s="2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14" t="n"/>
      <c r="I670" s="14" t="n"/>
      <c r="J670" s="15" t="n"/>
      <c r="K670" s="15" t="n"/>
      <c r="L670" s="15" t="n"/>
      <c r="M670" s="15" t="n"/>
      <c r="N670" s="15" t="n"/>
      <c r="O670" s="15" t="n"/>
      <c r="P670" s="15" t="n"/>
      <c r="Q670" s="6" t="n"/>
      <c r="R670" s="14" t="n"/>
      <c r="S670" s="6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12" t="n"/>
      <c r="I671" s="12" t="n"/>
      <c r="J671" s="13" t="n"/>
      <c r="K671" s="13" t="n"/>
      <c r="L671" s="13" t="n"/>
      <c r="M671" s="13" t="n"/>
      <c r="N671" s="13" t="n"/>
      <c r="O671" s="13" t="n"/>
      <c r="P671" s="13" t="n"/>
      <c r="Q671" s="2" t="n"/>
      <c r="R671" s="12" t="n"/>
      <c r="S671" s="2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14" t="n"/>
      <c r="I672" s="14" t="n"/>
      <c r="J672" s="15" t="n"/>
      <c r="K672" s="15" t="n"/>
      <c r="L672" s="15" t="n"/>
      <c r="M672" s="15" t="n"/>
      <c r="N672" s="15" t="n"/>
      <c r="O672" s="15" t="n"/>
      <c r="P672" s="15" t="n"/>
      <c r="Q672" s="6" t="n"/>
      <c r="R672" s="14" t="n"/>
      <c r="S672" s="6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12" t="n"/>
      <c r="I673" s="12" t="n"/>
      <c r="J673" s="13" t="n"/>
      <c r="K673" s="13" t="n"/>
      <c r="L673" s="13" t="n"/>
      <c r="M673" s="13" t="n"/>
      <c r="N673" s="13" t="n"/>
      <c r="O673" s="13" t="n"/>
      <c r="P673" s="13" t="n"/>
      <c r="Q673" s="2" t="n"/>
      <c r="R673" s="12" t="n"/>
      <c r="S673" s="2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14" t="n"/>
      <c r="I674" s="14" t="n"/>
      <c r="J674" s="15" t="n"/>
      <c r="K674" s="15" t="n"/>
      <c r="L674" s="15" t="n"/>
      <c r="M674" s="15" t="n"/>
      <c r="N674" s="15" t="n"/>
      <c r="O674" s="15" t="n"/>
      <c r="P674" s="15" t="n"/>
      <c r="Q674" s="6" t="n"/>
      <c r="R674" s="14" t="n"/>
      <c r="S674" s="6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12" t="n"/>
      <c r="I675" s="12" t="n"/>
      <c r="J675" s="13" t="n"/>
      <c r="K675" s="13" t="n"/>
      <c r="L675" s="13" t="n"/>
      <c r="M675" s="13" t="n"/>
      <c r="N675" s="13" t="n"/>
      <c r="O675" s="13" t="n"/>
      <c r="P675" s="13" t="n"/>
      <c r="Q675" s="2" t="n"/>
      <c r="R675" s="12" t="n"/>
      <c r="S675" s="2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14" t="n"/>
      <c r="I676" s="14" t="n"/>
      <c r="J676" s="15" t="n"/>
      <c r="K676" s="15" t="n"/>
      <c r="L676" s="15" t="n"/>
      <c r="M676" s="15" t="n"/>
      <c r="N676" s="15" t="n"/>
      <c r="O676" s="15" t="n"/>
      <c r="P676" s="15" t="n"/>
      <c r="Q676" s="6" t="n"/>
      <c r="R676" s="14" t="n"/>
      <c r="S676" s="6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12" t="n"/>
      <c r="I677" s="12" t="n"/>
      <c r="J677" s="13" t="n"/>
      <c r="K677" s="13" t="n"/>
      <c r="L677" s="13" t="n"/>
      <c r="M677" s="13" t="n"/>
      <c r="N677" s="13" t="n"/>
      <c r="O677" s="13" t="n"/>
      <c r="P677" s="13" t="n"/>
      <c r="Q677" s="2" t="n"/>
      <c r="R677" s="12" t="n"/>
      <c r="S677" s="2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14" t="n"/>
      <c r="I678" s="14" t="n"/>
      <c r="J678" s="15" t="n"/>
      <c r="K678" s="15" t="n"/>
      <c r="L678" s="15" t="n"/>
      <c r="M678" s="15" t="n"/>
      <c r="N678" s="15" t="n"/>
      <c r="O678" s="15" t="n"/>
      <c r="P678" s="15" t="n"/>
      <c r="Q678" s="6" t="n"/>
      <c r="R678" s="14" t="n"/>
      <c r="S678" s="6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12" t="n"/>
      <c r="I679" s="12" t="n"/>
      <c r="J679" s="13" t="n"/>
      <c r="K679" s="13" t="n"/>
      <c r="L679" s="13" t="n"/>
      <c r="M679" s="13" t="n"/>
      <c r="N679" s="13" t="n"/>
      <c r="O679" s="13" t="n"/>
      <c r="P679" s="13" t="n"/>
      <c r="Q679" s="2" t="n"/>
      <c r="R679" s="12" t="n"/>
      <c r="S679" s="2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14" t="n"/>
      <c r="I680" s="14" t="n"/>
      <c r="J680" s="15" t="n"/>
      <c r="K680" s="15" t="n"/>
      <c r="L680" s="15" t="n"/>
      <c r="M680" s="15" t="n"/>
      <c r="N680" s="15" t="n"/>
      <c r="O680" s="15" t="n"/>
      <c r="P680" s="15" t="n"/>
      <c r="Q680" s="6" t="n"/>
      <c r="R680" s="14" t="n"/>
      <c r="S680" s="6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12" t="n"/>
      <c r="I681" s="12" t="n"/>
      <c r="J681" s="13" t="n"/>
      <c r="K681" s="13" t="n"/>
      <c r="L681" s="13" t="n"/>
      <c r="M681" s="13" t="n"/>
      <c r="N681" s="13" t="n"/>
      <c r="O681" s="13" t="n"/>
      <c r="P681" s="13" t="n"/>
      <c r="Q681" s="2" t="n"/>
      <c r="R681" s="12" t="n"/>
      <c r="S681" s="2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14" t="n"/>
      <c r="I682" s="14" t="n"/>
      <c r="J682" s="15" t="n"/>
      <c r="K682" s="15" t="n"/>
      <c r="L682" s="15" t="n"/>
      <c r="M682" s="15" t="n"/>
      <c r="N682" s="15" t="n"/>
      <c r="O682" s="15" t="n"/>
      <c r="P682" s="15" t="n"/>
      <c r="Q682" s="6" t="n"/>
      <c r="R682" s="14" t="n"/>
      <c r="S682" s="6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12" t="n"/>
      <c r="I683" s="12" t="n"/>
      <c r="J683" s="13" t="n"/>
      <c r="K683" s="13" t="n"/>
      <c r="L683" s="13" t="n"/>
      <c r="M683" s="13" t="n"/>
      <c r="N683" s="13" t="n"/>
      <c r="O683" s="13" t="n"/>
      <c r="P683" s="13" t="n"/>
      <c r="Q683" s="2" t="n"/>
      <c r="R683" s="12" t="n"/>
      <c r="S683" s="2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14" t="n"/>
      <c r="I684" s="14" t="n"/>
      <c r="J684" s="15" t="n"/>
      <c r="K684" s="15" t="n"/>
      <c r="L684" s="15" t="n"/>
      <c r="M684" s="15" t="n"/>
      <c r="N684" s="15" t="n"/>
      <c r="O684" s="15" t="n"/>
      <c r="P684" s="15" t="n"/>
      <c r="Q684" s="6" t="n"/>
      <c r="R684" s="14" t="n"/>
      <c r="S684" s="6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12" t="n"/>
      <c r="I685" s="12" t="n"/>
      <c r="J685" s="13" t="n"/>
      <c r="K685" s="13" t="n"/>
      <c r="L685" s="13" t="n"/>
      <c r="M685" s="13" t="n"/>
      <c r="N685" s="13" t="n"/>
      <c r="O685" s="13" t="n"/>
      <c r="P685" s="13" t="n"/>
      <c r="Q685" s="2" t="n"/>
      <c r="R685" s="12" t="n"/>
      <c r="S685" s="2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14" t="n"/>
      <c r="I686" s="14" t="n"/>
      <c r="J686" s="15" t="n"/>
      <c r="K686" s="15" t="n"/>
      <c r="L686" s="15" t="n"/>
      <c r="M686" s="15" t="n"/>
      <c r="N686" s="15" t="n"/>
      <c r="O686" s="15" t="n"/>
      <c r="P686" s="15" t="n"/>
      <c r="Q686" s="6" t="n"/>
      <c r="R686" s="14" t="n"/>
      <c r="S686" s="6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12" t="n"/>
      <c r="I687" s="12" t="n"/>
      <c r="J687" s="13" t="n"/>
      <c r="K687" s="13" t="n"/>
      <c r="L687" s="13" t="n"/>
      <c r="M687" s="13" t="n"/>
      <c r="N687" s="13" t="n"/>
      <c r="O687" s="13" t="n"/>
      <c r="P687" s="13" t="n"/>
      <c r="Q687" s="2" t="n"/>
      <c r="R687" s="12" t="n"/>
      <c r="S687" s="2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14" t="n"/>
      <c r="I688" s="14" t="n"/>
      <c r="J688" s="15" t="n"/>
      <c r="K688" s="15" t="n"/>
      <c r="L688" s="15" t="n"/>
      <c r="M688" s="15" t="n"/>
      <c r="N688" s="15" t="n"/>
      <c r="O688" s="15" t="n"/>
      <c r="P688" s="15" t="n"/>
      <c r="Q688" s="6" t="n"/>
      <c r="R688" s="14" t="n"/>
      <c r="S688" s="6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12" t="n"/>
      <c r="I689" s="12" t="n"/>
      <c r="J689" s="13" t="n"/>
      <c r="K689" s="13" t="n"/>
      <c r="L689" s="13" t="n"/>
      <c r="M689" s="13" t="n"/>
      <c r="N689" s="13" t="n"/>
      <c r="O689" s="13" t="n"/>
      <c r="P689" s="13" t="n"/>
      <c r="Q689" s="2" t="n"/>
      <c r="R689" s="12" t="n"/>
      <c r="S689" s="2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14" t="n"/>
      <c r="I690" s="14" t="n"/>
      <c r="J690" s="15" t="n"/>
      <c r="K690" s="15" t="n"/>
      <c r="L690" s="15" t="n"/>
      <c r="M690" s="15" t="n"/>
      <c r="N690" s="15" t="n"/>
      <c r="O690" s="15" t="n"/>
      <c r="P690" s="15" t="n"/>
      <c r="Q690" s="6" t="n"/>
      <c r="R690" s="14" t="n"/>
      <c r="S690" s="6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12" t="n"/>
      <c r="I691" s="12" t="n"/>
      <c r="J691" s="13" t="n"/>
      <c r="K691" s="13" t="n"/>
      <c r="L691" s="13" t="n"/>
      <c r="M691" s="13" t="n"/>
      <c r="N691" s="13" t="n"/>
      <c r="O691" s="13" t="n"/>
      <c r="P691" s="13" t="n"/>
      <c r="Q691" s="2" t="n"/>
      <c r="R691" s="12" t="n"/>
      <c r="S691" s="2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14" t="n"/>
      <c r="I692" s="14" t="n"/>
      <c r="J692" s="15" t="n"/>
      <c r="K692" s="15" t="n"/>
      <c r="L692" s="15" t="n"/>
      <c r="M692" s="15" t="n"/>
      <c r="N692" s="15" t="n"/>
      <c r="O692" s="15" t="n"/>
      <c r="P692" s="15" t="n"/>
      <c r="Q692" s="6" t="n"/>
      <c r="R692" s="14" t="n"/>
      <c r="S692" s="6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12" t="n"/>
      <c r="I693" s="12" t="n"/>
      <c r="J693" s="13" t="n"/>
      <c r="K693" s="13" t="n"/>
      <c r="L693" s="13" t="n"/>
      <c r="M693" s="13" t="n"/>
      <c r="N693" s="13" t="n"/>
      <c r="O693" s="13" t="n"/>
      <c r="P693" s="13" t="n"/>
      <c r="Q693" s="2" t="n"/>
      <c r="R693" s="12" t="n"/>
      <c r="S693" s="2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14" t="n"/>
      <c r="I694" s="14" t="n"/>
      <c r="J694" s="15" t="n"/>
      <c r="K694" s="15" t="n"/>
      <c r="L694" s="15" t="n"/>
      <c r="M694" s="15" t="n"/>
      <c r="N694" s="15" t="n"/>
      <c r="O694" s="15" t="n"/>
      <c r="P694" s="15" t="n"/>
      <c r="Q694" s="6" t="n"/>
      <c r="R694" s="14" t="n"/>
      <c r="S694" s="6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12" t="n"/>
      <c r="I695" s="12" t="n"/>
      <c r="J695" s="13" t="n"/>
      <c r="K695" s="13" t="n"/>
      <c r="L695" s="13" t="n"/>
      <c r="M695" s="13" t="n"/>
      <c r="N695" s="13" t="n"/>
      <c r="O695" s="13" t="n"/>
      <c r="P695" s="13" t="n"/>
      <c r="Q695" s="2" t="n"/>
      <c r="R695" s="12" t="n"/>
      <c r="S695" s="2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14" t="n"/>
      <c r="I696" s="14" t="n"/>
      <c r="J696" s="15" t="n"/>
      <c r="K696" s="15" t="n"/>
      <c r="L696" s="15" t="n"/>
      <c r="M696" s="15" t="n"/>
      <c r="N696" s="15" t="n"/>
      <c r="O696" s="15" t="n"/>
      <c r="P696" s="15" t="n"/>
      <c r="Q696" s="6" t="n"/>
      <c r="R696" s="14" t="n"/>
      <c r="S696" s="6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12" t="n"/>
      <c r="I697" s="12" t="n"/>
      <c r="J697" s="13" t="n"/>
      <c r="K697" s="13" t="n"/>
      <c r="L697" s="13" t="n"/>
      <c r="M697" s="13" t="n"/>
      <c r="N697" s="13" t="n"/>
      <c r="O697" s="13" t="n"/>
      <c r="P697" s="13" t="n"/>
      <c r="Q697" s="2" t="n"/>
      <c r="R697" s="12" t="n"/>
      <c r="S697" s="2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14" t="n"/>
      <c r="I698" s="14" t="n"/>
      <c r="J698" s="15" t="n"/>
      <c r="K698" s="15" t="n"/>
      <c r="L698" s="15" t="n"/>
      <c r="M698" s="15" t="n"/>
      <c r="N698" s="15" t="n"/>
      <c r="O698" s="15" t="n"/>
      <c r="P698" s="15" t="n"/>
      <c r="Q698" s="6" t="n"/>
      <c r="R698" s="14" t="n"/>
      <c r="S698" s="6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12" t="n"/>
      <c r="I699" s="12" t="n"/>
      <c r="J699" s="13" t="n"/>
      <c r="K699" s="13" t="n"/>
      <c r="L699" s="13" t="n"/>
      <c r="M699" s="13" t="n"/>
      <c r="N699" s="13" t="n"/>
      <c r="O699" s="13" t="n"/>
      <c r="P699" s="13" t="n"/>
      <c r="Q699" s="2" t="n"/>
      <c r="R699" s="12" t="n"/>
      <c r="S699" s="2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14" t="n"/>
      <c r="I700" s="14" t="n"/>
      <c r="J700" s="15" t="n"/>
      <c r="K700" s="15" t="n"/>
      <c r="L700" s="15" t="n"/>
      <c r="M700" s="15" t="n"/>
      <c r="N700" s="15" t="n"/>
      <c r="O700" s="15" t="n"/>
      <c r="P700" s="15" t="n"/>
      <c r="Q700" s="6" t="n"/>
      <c r="R700" s="14" t="n"/>
      <c r="S700" s="6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12" t="n"/>
      <c r="I701" s="12" t="n"/>
      <c r="J701" s="13" t="n"/>
      <c r="K701" s="13" t="n"/>
      <c r="L701" s="13" t="n"/>
      <c r="M701" s="13" t="n"/>
      <c r="N701" s="13" t="n"/>
      <c r="O701" s="13" t="n"/>
      <c r="P701" s="13" t="n"/>
      <c r="Q701" s="2" t="n"/>
      <c r="R701" s="12" t="n"/>
      <c r="S701" s="2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14" t="n"/>
      <c r="I702" s="14" t="n"/>
      <c r="J702" s="15" t="n"/>
      <c r="K702" s="15" t="n"/>
      <c r="L702" s="15" t="n"/>
      <c r="M702" s="15" t="n"/>
      <c r="N702" s="15" t="n"/>
      <c r="O702" s="15" t="n"/>
      <c r="P702" s="15" t="n"/>
      <c r="Q702" s="6" t="n"/>
      <c r="R702" s="14" t="n"/>
      <c r="S702" s="6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12" t="n"/>
      <c r="I703" s="12" t="n"/>
      <c r="J703" s="13" t="n"/>
      <c r="K703" s="13" t="n"/>
      <c r="L703" s="13" t="n"/>
      <c r="M703" s="13" t="n"/>
      <c r="N703" s="13" t="n"/>
      <c r="O703" s="13" t="n"/>
      <c r="P703" s="13" t="n"/>
      <c r="Q703" s="2" t="n"/>
      <c r="R703" s="12" t="n"/>
      <c r="S703" s="2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14" t="n"/>
      <c r="I704" s="14" t="n"/>
      <c r="J704" s="15" t="n"/>
      <c r="K704" s="15" t="n"/>
      <c r="L704" s="15" t="n"/>
      <c r="M704" s="15" t="n"/>
      <c r="N704" s="15" t="n"/>
      <c r="O704" s="15" t="n"/>
      <c r="P704" s="15" t="n"/>
      <c r="Q704" s="6" t="n"/>
      <c r="R704" s="14" t="n"/>
      <c r="S704" s="6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12" t="n"/>
      <c r="I705" s="12" t="n"/>
      <c r="J705" s="13" t="n"/>
      <c r="K705" s="13" t="n"/>
      <c r="L705" s="13" t="n"/>
      <c r="M705" s="13" t="n"/>
      <c r="N705" s="13" t="n"/>
      <c r="O705" s="13" t="n"/>
      <c r="P705" s="13" t="n"/>
      <c r="Q705" s="2" t="n"/>
      <c r="R705" s="12" t="n"/>
      <c r="S705" s="2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14" t="n"/>
      <c r="I706" s="14" t="n"/>
      <c r="J706" s="15" t="n"/>
      <c r="K706" s="15" t="n"/>
      <c r="L706" s="15" t="n"/>
      <c r="M706" s="15" t="n"/>
      <c r="N706" s="15" t="n"/>
      <c r="O706" s="15" t="n"/>
      <c r="P706" s="15" t="n"/>
      <c r="Q706" s="6" t="n"/>
      <c r="R706" s="14" t="n"/>
      <c r="S706" s="6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12" t="n"/>
      <c r="I707" s="12" t="n"/>
      <c r="J707" s="13" t="n"/>
      <c r="K707" s="13" t="n"/>
      <c r="L707" s="13" t="n"/>
      <c r="M707" s="13" t="n"/>
      <c r="N707" s="13" t="n"/>
      <c r="O707" s="13" t="n"/>
      <c r="P707" s="13" t="n"/>
      <c r="Q707" s="2" t="n"/>
      <c r="R707" s="12" t="n"/>
      <c r="S707" s="2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14" t="n"/>
      <c r="I708" s="14" t="n"/>
      <c r="J708" s="15" t="n"/>
      <c r="K708" s="15" t="n"/>
      <c r="L708" s="15" t="n"/>
      <c r="M708" s="15" t="n"/>
      <c r="N708" s="15" t="n"/>
      <c r="O708" s="15" t="n"/>
      <c r="P708" s="15" t="n"/>
      <c r="Q708" s="6" t="n"/>
      <c r="R708" s="14" t="n"/>
      <c r="S708" s="6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12" t="n"/>
      <c r="I709" s="12" t="n"/>
      <c r="J709" s="13" t="n"/>
      <c r="K709" s="13" t="n"/>
      <c r="L709" s="13" t="n"/>
      <c r="M709" s="13" t="n"/>
      <c r="N709" s="13" t="n"/>
      <c r="O709" s="13" t="n"/>
      <c r="P709" s="13" t="n"/>
      <c r="Q709" s="2" t="n"/>
      <c r="R709" s="12" t="n"/>
      <c r="S709" s="2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14" t="n"/>
      <c r="I710" s="14" t="n"/>
      <c r="J710" s="15" t="n"/>
      <c r="K710" s="15" t="n"/>
      <c r="L710" s="15" t="n"/>
      <c r="M710" s="15" t="n"/>
      <c r="N710" s="15" t="n"/>
      <c r="O710" s="15" t="n"/>
      <c r="P710" s="15" t="n"/>
      <c r="Q710" s="6" t="n"/>
      <c r="R710" s="14" t="n"/>
      <c r="S710" s="6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12" t="n"/>
      <c r="I711" s="12" t="n"/>
      <c r="J711" s="13" t="n"/>
      <c r="K711" s="13" t="n"/>
      <c r="L711" s="13" t="n"/>
      <c r="M711" s="13" t="n"/>
      <c r="N711" s="13" t="n"/>
      <c r="O711" s="13" t="n"/>
      <c r="P711" s="13" t="n"/>
      <c r="Q711" s="2" t="n"/>
      <c r="R711" s="12" t="n"/>
      <c r="S711" s="2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14" t="n"/>
      <c r="I712" s="14" t="n"/>
      <c r="J712" s="15" t="n"/>
      <c r="K712" s="15" t="n"/>
      <c r="L712" s="15" t="n"/>
      <c r="M712" s="15" t="n"/>
      <c r="N712" s="15" t="n"/>
      <c r="O712" s="15" t="n"/>
      <c r="P712" s="15" t="n"/>
      <c r="Q712" s="6" t="n"/>
      <c r="R712" s="14" t="n"/>
      <c r="S712" s="6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12" t="n"/>
      <c r="I713" s="12" t="n"/>
      <c r="J713" s="13" t="n"/>
      <c r="K713" s="13" t="n"/>
      <c r="L713" s="13" t="n"/>
      <c r="M713" s="13" t="n"/>
      <c r="N713" s="13" t="n"/>
      <c r="O713" s="13" t="n"/>
      <c r="P713" s="13" t="n"/>
      <c r="Q713" s="2" t="n"/>
      <c r="R713" s="12" t="n"/>
      <c r="S713" s="2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14" t="n"/>
      <c r="I714" s="14" t="n"/>
      <c r="J714" s="15" t="n"/>
      <c r="K714" s="15" t="n"/>
      <c r="L714" s="15" t="n"/>
      <c r="M714" s="15" t="n"/>
      <c r="N714" s="15" t="n"/>
      <c r="O714" s="15" t="n"/>
      <c r="P714" s="15" t="n"/>
      <c r="Q714" s="6" t="n"/>
      <c r="R714" s="14" t="n"/>
      <c r="S714" s="6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12" t="n"/>
      <c r="I715" s="12" t="n"/>
      <c r="J715" s="13" t="n"/>
      <c r="K715" s="13" t="n"/>
      <c r="L715" s="13" t="n"/>
      <c r="M715" s="13" t="n"/>
      <c r="N715" s="13" t="n"/>
      <c r="O715" s="13" t="n"/>
      <c r="P715" s="13" t="n"/>
      <c r="Q715" s="2" t="n"/>
      <c r="R715" s="12" t="n"/>
      <c r="S715" s="2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14" t="n"/>
      <c r="I716" s="14" t="n"/>
      <c r="J716" s="15" t="n"/>
      <c r="K716" s="15" t="n"/>
      <c r="L716" s="15" t="n"/>
      <c r="M716" s="15" t="n"/>
      <c r="N716" s="15" t="n"/>
      <c r="O716" s="15" t="n"/>
      <c r="P716" s="15" t="n"/>
      <c r="Q716" s="6" t="n"/>
      <c r="R716" s="14" t="n"/>
      <c r="S716" s="6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12" t="n"/>
      <c r="I717" s="12" t="n"/>
      <c r="J717" s="13" t="n"/>
      <c r="K717" s="13" t="n"/>
      <c r="L717" s="13" t="n"/>
      <c r="M717" s="13" t="n"/>
      <c r="N717" s="13" t="n"/>
      <c r="O717" s="13" t="n"/>
      <c r="P717" s="13" t="n"/>
      <c r="Q717" s="2" t="n"/>
      <c r="R717" s="12" t="n"/>
      <c r="S717" s="2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14" t="n"/>
      <c r="I718" s="14" t="n"/>
      <c r="J718" s="15" t="n"/>
      <c r="K718" s="15" t="n"/>
      <c r="L718" s="15" t="n"/>
      <c r="M718" s="15" t="n"/>
      <c r="N718" s="15" t="n"/>
      <c r="O718" s="15" t="n"/>
      <c r="P718" s="15" t="n"/>
      <c r="Q718" s="6" t="n"/>
      <c r="R718" s="14" t="n"/>
      <c r="S718" s="6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12" t="n"/>
      <c r="I719" s="12" t="n"/>
      <c r="J719" s="13" t="n"/>
      <c r="K719" s="13" t="n"/>
      <c r="L719" s="13" t="n"/>
      <c r="M719" s="13" t="n"/>
      <c r="N719" s="13" t="n"/>
      <c r="O719" s="13" t="n"/>
      <c r="P719" s="13" t="n"/>
      <c r="Q719" s="2" t="n"/>
      <c r="R719" s="12" t="n"/>
      <c r="S719" s="2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14" t="n"/>
      <c r="I720" s="14" t="n"/>
      <c r="J720" s="15" t="n"/>
      <c r="K720" s="15" t="n"/>
      <c r="L720" s="15" t="n"/>
      <c r="M720" s="15" t="n"/>
      <c r="N720" s="15" t="n"/>
      <c r="O720" s="15" t="n"/>
      <c r="P720" s="15" t="n"/>
      <c r="Q720" s="6" t="n"/>
      <c r="R720" s="14" t="n"/>
      <c r="S720" s="6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12" t="n"/>
      <c r="I721" s="12" t="n"/>
      <c r="J721" s="13" t="n"/>
      <c r="K721" s="13" t="n"/>
      <c r="L721" s="13" t="n"/>
      <c r="M721" s="13" t="n"/>
      <c r="N721" s="13" t="n"/>
      <c r="O721" s="13" t="n"/>
      <c r="P721" s="13" t="n"/>
      <c r="Q721" s="2" t="n"/>
      <c r="R721" s="12" t="n"/>
      <c r="S721" s="2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14" t="n"/>
      <c r="I722" s="14" t="n"/>
      <c r="J722" s="15" t="n"/>
      <c r="K722" s="15" t="n"/>
      <c r="L722" s="15" t="n"/>
      <c r="M722" s="15" t="n"/>
      <c r="N722" s="15" t="n"/>
      <c r="O722" s="15" t="n"/>
      <c r="P722" s="15" t="n"/>
      <c r="Q722" s="6" t="n"/>
      <c r="R722" s="14" t="n"/>
      <c r="S722" s="6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12" t="n"/>
      <c r="I723" s="12" t="n"/>
      <c r="J723" s="13" t="n"/>
      <c r="K723" s="13" t="n"/>
      <c r="L723" s="13" t="n"/>
      <c r="M723" s="13" t="n"/>
      <c r="N723" s="13" t="n"/>
      <c r="O723" s="13" t="n"/>
      <c r="P723" s="13" t="n"/>
      <c r="Q723" s="2" t="n"/>
      <c r="R723" s="12" t="n"/>
      <c r="S723" s="2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14" t="n"/>
      <c r="I724" s="14" t="n"/>
      <c r="J724" s="15" t="n"/>
      <c r="K724" s="15" t="n"/>
      <c r="L724" s="15" t="n"/>
      <c r="M724" s="15" t="n"/>
      <c r="N724" s="15" t="n"/>
      <c r="O724" s="15" t="n"/>
      <c r="P724" s="15" t="n"/>
      <c r="Q724" s="6" t="n"/>
      <c r="R724" s="14" t="n"/>
      <c r="S724" s="6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12" t="n"/>
      <c r="I725" s="12" t="n"/>
      <c r="J725" s="13" t="n"/>
      <c r="K725" s="13" t="n"/>
      <c r="L725" s="13" t="n"/>
      <c r="M725" s="13" t="n"/>
      <c r="N725" s="13" t="n"/>
      <c r="O725" s="13" t="n"/>
      <c r="P725" s="13" t="n"/>
      <c r="Q725" s="2" t="n"/>
      <c r="R725" s="12" t="n"/>
      <c r="S725" s="2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14" t="n"/>
      <c r="I726" s="14" t="n"/>
      <c r="J726" s="15" t="n"/>
      <c r="K726" s="15" t="n"/>
      <c r="L726" s="15" t="n"/>
      <c r="M726" s="15" t="n"/>
      <c r="N726" s="15" t="n"/>
      <c r="O726" s="15" t="n"/>
      <c r="P726" s="15" t="n"/>
      <c r="Q726" s="6" t="n"/>
      <c r="R726" s="14" t="n"/>
      <c r="S726" s="6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12" t="n"/>
      <c r="I727" s="12" t="n"/>
      <c r="J727" s="13" t="n"/>
      <c r="K727" s="13" t="n"/>
      <c r="L727" s="13" t="n"/>
      <c r="M727" s="13" t="n"/>
      <c r="N727" s="13" t="n"/>
      <c r="O727" s="13" t="n"/>
      <c r="P727" s="13" t="n"/>
      <c r="Q727" s="2" t="n"/>
      <c r="R727" s="12" t="n"/>
      <c r="S727" s="2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14" t="n"/>
      <c r="I728" s="14" t="n"/>
      <c r="J728" s="15" t="n"/>
      <c r="K728" s="15" t="n"/>
      <c r="L728" s="15" t="n"/>
      <c r="M728" s="15" t="n"/>
      <c r="N728" s="15" t="n"/>
      <c r="O728" s="15" t="n"/>
      <c r="P728" s="15" t="n"/>
      <c r="Q728" s="6" t="n"/>
      <c r="R728" s="14" t="n"/>
      <c r="S728" s="6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12" t="n"/>
      <c r="I729" s="12" t="n"/>
      <c r="J729" s="13" t="n"/>
      <c r="K729" s="13" t="n"/>
      <c r="L729" s="13" t="n"/>
      <c r="M729" s="13" t="n"/>
      <c r="N729" s="13" t="n"/>
      <c r="O729" s="13" t="n"/>
      <c r="P729" s="13" t="n"/>
      <c r="Q729" s="2" t="n"/>
      <c r="R729" s="12" t="n"/>
      <c r="S729" s="2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14" t="n"/>
      <c r="I730" s="14" t="n"/>
      <c r="J730" s="15" t="n"/>
      <c r="K730" s="15" t="n"/>
      <c r="L730" s="15" t="n"/>
      <c r="M730" s="15" t="n"/>
      <c r="N730" s="15" t="n"/>
      <c r="O730" s="15" t="n"/>
      <c r="P730" s="15" t="n"/>
      <c r="Q730" s="6" t="n"/>
      <c r="R730" s="14" t="n"/>
      <c r="S730" s="6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12" t="n"/>
      <c r="I731" s="12" t="n"/>
      <c r="J731" s="13" t="n"/>
      <c r="K731" s="13" t="n"/>
      <c r="L731" s="13" t="n"/>
      <c r="M731" s="13" t="n"/>
      <c r="N731" s="13" t="n"/>
      <c r="O731" s="13" t="n"/>
      <c r="P731" s="13" t="n"/>
      <c r="Q731" s="2" t="n"/>
      <c r="R731" s="12" t="n"/>
      <c r="S731" s="2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14" t="n"/>
      <c r="I732" s="14" t="n"/>
      <c r="J732" s="15" t="n"/>
      <c r="K732" s="15" t="n"/>
      <c r="L732" s="15" t="n"/>
      <c r="M732" s="15" t="n"/>
      <c r="N732" s="15" t="n"/>
      <c r="O732" s="15" t="n"/>
      <c r="P732" s="15" t="n"/>
      <c r="Q732" s="6" t="n"/>
      <c r="R732" s="14" t="n"/>
      <c r="S732" s="6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12" t="n"/>
      <c r="I733" s="12" t="n"/>
      <c r="J733" s="13" t="n"/>
      <c r="K733" s="13" t="n"/>
      <c r="L733" s="13" t="n"/>
      <c r="M733" s="13" t="n"/>
      <c r="N733" s="13" t="n"/>
      <c r="O733" s="13" t="n"/>
      <c r="P733" s="13" t="n"/>
      <c r="Q733" s="2" t="n"/>
      <c r="R733" s="12" t="n"/>
      <c r="S733" s="2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14" t="n"/>
      <c r="I734" s="14" t="n"/>
      <c r="J734" s="15" t="n"/>
      <c r="K734" s="15" t="n"/>
      <c r="L734" s="15" t="n"/>
      <c r="M734" s="15" t="n"/>
      <c r="N734" s="15" t="n"/>
      <c r="O734" s="15" t="n"/>
      <c r="P734" s="15" t="n"/>
      <c r="Q734" s="6" t="n"/>
      <c r="R734" s="14" t="n"/>
      <c r="S734" s="6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12" t="n"/>
      <c r="I735" s="12" t="n"/>
      <c r="J735" s="13" t="n"/>
      <c r="K735" s="13" t="n"/>
      <c r="L735" s="13" t="n"/>
      <c r="M735" s="13" t="n"/>
      <c r="N735" s="13" t="n"/>
      <c r="O735" s="13" t="n"/>
      <c r="P735" s="13" t="n"/>
      <c r="Q735" s="2" t="n"/>
      <c r="R735" s="12" t="n"/>
      <c r="S735" s="2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14" t="n"/>
      <c r="I736" s="14" t="n"/>
      <c r="J736" s="15" t="n"/>
      <c r="K736" s="15" t="n"/>
      <c r="L736" s="15" t="n"/>
      <c r="M736" s="15" t="n"/>
      <c r="N736" s="15" t="n"/>
      <c r="O736" s="15" t="n"/>
      <c r="P736" s="15" t="n"/>
      <c r="Q736" s="6" t="n"/>
      <c r="R736" s="14" t="n"/>
      <c r="S736" s="6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12" t="n"/>
      <c r="I737" s="12" t="n"/>
      <c r="J737" s="13" t="n"/>
      <c r="K737" s="13" t="n"/>
      <c r="L737" s="13" t="n"/>
      <c r="M737" s="13" t="n"/>
      <c r="N737" s="13" t="n"/>
      <c r="O737" s="13" t="n"/>
      <c r="P737" s="13" t="n"/>
      <c r="Q737" s="2" t="n"/>
      <c r="R737" s="12" t="n"/>
      <c r="S737" s="2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14" t="n"/>
      <c r="I738" s="14" t="n"/>
      <c r="J738" s="15" t="n"/>
      <c r="K738" s="15" t="n"/>
      <c r="L738" s="15" t="n"/>
      <c r="M738" s="15" t="n"/>
      <c r="N738" s="15" t="n"/>
      <c r="O738" s="15" t="n"/>
      <c r="P738" s="15" t="n"/>
      <c r="Q738" s="6" t="n"/>
      <c r="R738" s="14" t="n"/>
      <c r="S738" s="6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12" t="n"/>
      <c r="I739" s="12" t="n"/>
      <c r="J739" s="13" t="n"/>
      <c r="K739" s="13" t="n"/>
      <c r="L739" s="13" t="n"/>
      <c r="M739" s="13" t="n"/>
      <c r="N739" s="13" t="n"/>
      <c r="O739" s="13" t="n"/>
      <c r="P739" s="13" t="n"/>
      <c r="Q739" s="2" t="n"/>
      <c r="R739" s="12" t="n"/>
      <c r="S739" s="2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14" t="n"/>
      <c r="I740" s="14" t="n"/>
      <c r="J740" s="15" t="n"/>
      <c r="K740" s="15" t="n"/>
      <c r="L740" s="15" t="n"/>
      <c r="M740" s="15" t="n"/>
      <c r="N740" s="15" t="n"/>
      <c r="O740" s="15" t="n"/>
      <c r="P740" s="15" t="n"/>
      <c r="Q740" s="6" t="n"/>
      <c r="R740" s="14" t="n"/>
      <c r="S740" s="6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12" t="n"/>
      <c r="I741" s="12" t="n"/>
      <c r="J741" s="13" t="n"/>
      <c r="K741" s="13" t="n"/>
      <c r="L741" s="13" t="n"/>
      <c r="M741" s="13" t="n"/>
      <c r="N741" s="13" t="n"/>
      <c r="O741" s="13" t="n"/>
      <c r="P741" s="13" t="n"/>
      <c r="Q741" s="2" t="n"/>
      <c r="R741" s="12" t="n"/>
      <c r="S741" s="2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14" t="n"/>
      <c r="I742" s="14" t="n"/>
      <c r="J742" s="15" t="n"/>
      <c r="K742" s="15" t="n"/>
      <c r="L742" s="15" t="n"/>
      <c r="M742" s="15" t="n"/>
      <c r="N742" s="15" t="n"/>
      <c r="O742" s="15" t="n"/>
      <c r="P742" s="15" t="n"/>
      <c r="Q742" s="6" t="n"/>
      <c r="R742" s="14" t="n"/>
      <c r="S742" s="6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12" t="n"/>
      <c r="I743" s="12" t="n"/>
      <c r="J743" s="13" t="n"/>
      <c r="K743" s="13" t="n"/>
      <c r="L743" s="13" t="n"/>
      <c r="M743" s="13" t="n"/>
      <c r="N743" s="13" t="n"/>
      <c r="O743" s="13" t="n"/>
      <c r="P743" s="13" t="n"/>
      <c r="Q743" s="2" t="n"/>
      <c r="R743" s="12" t="n"/>
      <c r="S743" s="2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14" t="n"/>
      <c r="I744" s="14" t="n"/>
      <c r="J744" s="15" t="n"/>
      <c r="K744" s="15" t="n"/>
      <c r="L744" s="15" t="n"/>
      <c r="M744" s="15" t="n"/>
      <c r="N744" s="15" t="n"/>
      <c r="O744" s="15" t="n"/>
      <c r="P744" s="15" t="n"/>
      <c r="Q744" s="6" t="n"/>
      <c r="R744" s="14" t="n"/>
      <c r="S744" s="6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12" t="n"/>
      <c r="I745" s="12" t="n"/>
      <c r="J745" s="13" t="n"/>
      <c r="K745" s="13" t="n"/>
      <c r="L745" s="13" t="n"/>
      <c r="M745" s="13" t="n"/>
      <c r="N745" s="13" t="n"/>
      <c r="O745" s="13" t="n"/>
      <c r="P745" s="13" t="n"/>
      <c r="Q745" s="2" t="n"/>
      <c r="R745" s="12" t="n"/>
      <c r="S745" s="2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14" t="n"/>
      <c r="I746" s="14" t="n"/>
      <c r="J746" s="15" t="n"/>
      <c r="K746" s="15" t="n"/>
      <c r="L746" s="15" t="n"/>
      <c r="M746" s="15" t="n"/>
      <c r="N746" s="15" t="n"/>
      <c r="O746" s="15" t="n"/>
      <c r="P746" s="15" t="n"/>
      <c r="Q746" s="6" t="n"/>
      <c r="R746" s="14" t="n"/>
      <c r="S746" s="6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12" t="n"/>
      <c r="I747" s="12" t="n"/>
      <c r="J747" s="13" t="n"/>
      <c r="K747" s="13" t="n"/>
      <c r="L747" s="13" t="n"/>
      <c r="M747" s="13" t="n"/>
      <c r="N747" s="13" t="n"/>
      <c r="O747" s="13" t="n"/>
      <c r="P747" s="13" t="n"/>
      <c r="Q747" s="2" t="n"/>
      <c r="R747" s="12" t="n"/>
      <c r="S747" s="2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14" t="n"/>
      <c r="I748" s="14" t="n"/>
      <c r="J748" s="15" t="n"/>
      <c r="K748" s="15" t="n"/>
      <c r="L748" s="15" t="n"/>
      <c r="M748" s="15" t="n"/>
      <c r="N748" s="15" t="n"/>
      <c r="O748" s="15" t="n"/>
      <c r="P748" s="15" t="n"/>
      <c r="Q748" s="6" t="n"/>
      <c r="R748" s="14" t="n"/>
      <c r="S748" s="6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12" t="n"/>
      <c r="I749" s="12" t="n"/>
      <c r="J749" s="13" t="n"/>
      <c r="K749" s="13" t="n"/>
      <c r="L749" s="13" t="n"/>
      <c r="M749" s="13" t="n"/>
      <c r="N749" s="13" t="n"/>
      <c r="O749" s="13" t="n"/>
      <c r="P749" s="13" t="n"/>
      <c r="Q749" s="2" t="n"/>
      <c r="R749" s="12" t="n"/>
      <c r="S749" s="2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14" t="n"/>
      <c r="I750" s="14" t="n"/>
      <c r="J750" s="15" t="n"/>
      <c r="K750" s="15" t="n"/>
      <c r="L750" s="15" t="n"/>
      <c r="M750" s="15" t="n"/>
      <c r="N750" s="15" t="n"/>
      <c r="O750" s="15" t="n"/>
      <c r="P750" s="15" t="n"/>
      <c r="Q750" s="6" t="n"/>
      <c r="R750" s="14" t="n"/>
      <c r="S750" s="6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12" t="n"/>
      <c r="I751" s="12" t="n"/>
      <c r="J751" s="13" t="n"/>
      <c r="K751" s="13" t="n"/>
      <c r="L751" s="13" t="n"/>
      <c r="M751" s="13" t="n"/>
      <c r="N751" s="13" t="n"/>
      <c r="O751" s="13" t="n"/>
      <c r="P751" s="13" t="n"/>
      <c r="Q751" s="2" t="n"/>
      <c r="R751" s="12" t="n"/>
      <c r="S751" s="2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14" t="n"/>
      <c r="I752" s="14" t="n"/>
      <c r="J752" s="15" t="n"/>
      <c r="K752" s="15" t="n"/>
      <c r="L752" s="15" t="n"/>
      <c r="M752" s="15" t="n"/>
      <c r="N752" s="15" t="n"/>
      <c r="O752" s="15" t="n"/>
      <c r="P752" s="15" t="n"/>
      <c r="Q752" s="6" t="n"/>
      <c r="R752" s="14" t="n"/>
      <c r="S752" s="6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12" t="n"/>
      <c r="I753" s="12" t="n"/>
      <c r="J753" s="13" t="n"/>
      <c r="K753" s="13" t="n"/>
      <c r="L753" s="13" t="n"/>
      <c r="M753" s="13" t="n"/>
      <c r="N753" s="13" t="n"/>
      <c r="O753" s="13" t="n"/>
      <c r="P753" s="13" t="n"/>
      <c r="Q753" s="2" t="n"/>
      <c r="R753" s="12" t="n"/>
      <c r="S753" s="2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14" t="n"/>
      <c r="I754" s="14" t="n"/>
      <c r="J754" s="15" t="n"/>
      <c r="K754" s="15" t="n"/>
      <c r="L754" s="15" t="n"/>
      <c r="M754" s="15" t="n"/>
      <c r="N754" s="15" t="n"/>
      <c r="O754" s="15" t="n"/>
      <c r="P754" s="15" t="n"/>
      <c r="Q754" s="6" t="n"/>
      <c r="R754" s="14" t="n"/>
      <c r="S754" s="6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12" t="n"/>
      <c r="I755" s="12" t="n"/>
      <c r="J755" s="13" t="n"/>
      <c r="K755" s="13" t="n"/>
      <c r="L755" s="13" t="n"/>
      <c r="M755" s="13" t="n"/>
      <c r="N755" s="13" t="n"/>
      <c r="O755" s="13" t="n"/>
      <c r="P755" s="13" t="n"/>
      <c r="Q755" s="2" t="n"/>
      <c r="R755" s="12" t="n"/>
      <c r="S755" s="2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14" t="n"/>
      <c r="I756" s="14" t="n"/>
      <c r="J756" s="15" t="n"/>
      <c r="K756" s="15" t="n"/>
      <c r="L756" s="15" t="n"/>
      <c r="M756" s="15" t="n"/>
      <c r="N756" s="15" t="n"/>
      <c r="O756" s="15" t="n"/>
      <c r="P756" s="15" t="n"/>
      <c r="Q756" s="6" t="n"/>
      <c r="R756" s="14" t="n"/>
      <c r="S756" s="6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12" t="n"/>
      <c r="I757" s="12" t="n"/>
      <c r="J757" s="13" t="n"/>
      <c r="K757" s="13" t="n"/>
      <c r="L757" s="13" t="n"/>
      <c r="M757" s="13" t="n"/>
      <c r="N757" s="13" t="n"/>
      <c r="O757" s="13" t="n"/>
      <c r="P757" s="13" t="n"/>
      <c r="Q757" s="2" t="n"/>
      <c r="R757" s="12" t="n"/>
      <c r="S757" s="2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14" t="n"/>
      <c r="I758" s="14" t="n"/>
      <c r="J758" s="15" t="n"/>
      <c r="K758" s="15" t="n"/>
      <c r="L758" s="15" t="n"/>
      <c r="M758" s="15" t="n"/>
      <c r="N758" s="15" t="n"/>
      <c r="O758" s="15" t="n"/>
      <c r="P758" s="15" t="n"/>
      <c r="Q758" s="6" t="n"/>
      <c r="R758" s="14" t="n"/>
      <c r="S758" s="6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12" t="n"/>
      <c r="I759" s="12" t="n"/>
      <c r="J759" s="13" t="n"/>
      <c r="K759" s="13" t="n"/>
      <c r="L759" s="13" t="n"/>
      <c r="M759" s="13" t="n"/>
      <c r="N759" s="13" t="n"/>
      <c r="O759" s="13" t="n"/>
      <c r="P759" s="13" t="n"/>
      <c r="Q759" s="2" t="n"/>
      <c r="R759" s="12" t="n"/>
      <c r="S759" s="2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14" t="n"/>
      <c r="I760" s="14" t="n"/>
      <c r="J760" s="15" t="n"/>
      <c r="K760" s="15" t="n"/>
      <c r="L760" s="15" t="n"/>
      <c r="M760" s="15" t="n"/>
      <c r="N760" s="15" t="n"/>
      <c r="O760" s="15" t="n"/>
      <c r="P760" s="15" t="n"/>
      <c r="Q760" s="6" t="n"/>
      <c r="R760" s="14" t="n"/>
      <c r="S760" s="6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12" t="n"/>
      <c r="I761" s="12" t="n"/>
      <c r="J761" s="13" t="n"/>
      <c r="K761" s="13" t="n"/>
      <c r="L761" s="13" t="n"/>
      <c r="M761" s="13" t="n"/>
      <c r="N761" s="13" t="n"/>
      <c r="O761" s="13" t="n"/>
      <c r="P761" s="13" t="n"/>
      <c r="Q761" s="2" t="n"/>
      <c r="R761" s="12" t="n"/>
      <c r="S761" s="2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14" t="n"/>
      <c r="I762" s="14" t="n"/>
      <c r="J762" s="15" t="n"/>
      <c r="K762" s="15" t="n"/>
      <c r="L762" s="15" t="n"/>
      <c r="M762" s="15" t="n"/>
      <c r="N762" s="15" t="n"/>
      <c r="O762" s="15" t="n"/>
      <c r="P762" s="15" t="n"/>
      <c r="Q762" s="6" t="n"/>
      <c r="R762" s="14" t="n"/>
      <c r="S762" s="6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12" t="n"/>
      <c r="I763" s="12" t="n"/>
      <c r="J763" s="13" t="n"/>
      <c r="K763" s="13" t="n"/>
      <c r="L763" s="13" t="n"/>
      <c r="M763" s="13" t="n"/>
      <c r="N763" s="13" t="n"/>
      <c r="O763" s="13" t="n"/>
      <c r="P763" s="13" t="n"/>
      <c r="Q763" s="2" t="n"/>
      <c r="R763" s="12" t="n"/>
      <c r="S763" s="2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14" t="n"/>
      <c r="I764" s="14" t="n"/>
      <c r="J764" s="15" t="n"/>
      <c r="K764" s="15" t="n"/>
      <c r="L764" s="15" t="n"/>
      <c r="M764" s="15" t="n"/>
      <c r="N764" s="15" t="n"/>
      <c r="O764" s="15" t="n"/>
      <c r="P764" s="15" t="n"/>
      <c r="Q764" s="6" t="n"/>
      <c r="R764" s="14" t="n"/>
      <c r="S764" s="6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12" t="n"/>
      <c r="I765" s="12" t="n"/>
      <c r="J765" s="13" t="n"/>
      <c r="K765" s="13" t="n"/>
      <c r="L765" s="13" t="n"/>
      <c r="M765" s="13" t="n"/>
      <c r="N765" s="13" t="n"/>
      <c r="O765" s="13" t="n"/>
      <c r="P765" s="13" t="n"/>
      <c r="Q765" s="2" t="n"/>
      <c r="R765" s="12" t="n"/>
      <c r="S765" s="2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14" t="n"/>
      <c r="I766" s="14" t="n"/>
      <c r="J766" s="15" t="n"/>
      <c r="K766" s="15" t="n"/>
      <c r="L766" s="15" t="n"/>
      <c r="M766" s="15" t="n"/>
      <c r="N766" s="15" t="n"/>
      <c r="O766" s="15" t="n"/>
      <c r="P766" s="15" t="n"/>
      <c r="Q766" s="6" t="n"/>
      <c r="R766" s="14" t="n"/>
      <c r="S766" s="6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12" t="n"/>
      <c r="I767" s="12" t="n"/>
      <c r="J767" s="13" t="n"/>
      <c r="K767" s="13" t="n"/>
      <c r="L767" s="13" t="n"/>
      <c r="M767" s="13" t="n"/>
      <c r="N767" s="13" t="n"/>
      <c r="O767" s="13" t="n"/>
      <c r="P767" s="13" t="n"/>
      <c r="Q767" s="2" t="n"/>
      <c r="R767" s="12" t="n"/>
      <c r="S767" s="2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14" t="n"/>
      <c r="I768" s="14" t="n"/>
      <c r="J768" s="15" t="n"/>
      <c r="K768" s="15" t="n"/>
      <c r="L768" s="15" t="n"/>
      <c r="M768" s="15" t="n"/>
      <c r="N768" s="15" t="n"/>
      <c r="O768" s="15" t="n"/>
      <c r="P768" s="15" t="n"/>
      <c r="Q768" s="6" t="n"/>
      <c r="R768" s="14" t="n"/>
      <c r="S768" s="6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12" t="n"/>
      <c r="I769" s="12" t="n"/>
      <c r="J769" s="13" t="n"/>
      <c r="K769" s="13" t="n"/>
      <c r="L769" s="13" t="n"/>
      <c r="M769" s="13" t="n"/>
      <c r="N769" s="13" t="n"/>
      <c r="O769" s="13" t="n"/>
      <c r="P769" s="13" t="n"/>
      <c r="Q769" s="2" t="n"/>
      <c r="R769" s="12" t="n"/>
      <c r="S769" s="2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14" t="n"/>
      <c r="I770" s="14" t="n"/>
      <c r="J770" s="15" t="n"/>
      <c r="K770" s="15" t="n"/>
      <c r="L770" s="15" t="n"/>
      <c r="M770" s="15" t="n"/>
      <c r="N770" s="15" t="n"/>
      <c r="O770" s="15" t="n"/>
      <c r="P770" s="15" t="n"/>
      <c r="Q770" s="6" t="n"/>
      <c r="R770" s="14" t="n"/>
      <c r="S770" s="6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12" t="n"/>
      <c r="I771" s="12" t="n"/>
      <c r="J771" s="13" t="n"/>
      <c r="K771" s="13" t="n"/>
      <c r="L771" s="13" t="n"/>
      <c r="M771" s="13" t="n"/>
      <c r="N771" s="13" t="n"/>
      <c r="O771" s="13" t="n"/>
      <c r="P771" s="13" t="n"/>
      <c r="Q771" s="2" t="n"/>
      <c r="R771" s="12" t="n"/>
      <c r="S771" s="2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14" t="n"/>
      <c r="I772" s="14" t="n"/>
      <c r="J772" s="15" t="n"/>
      <c r="K772" s="15" t="n"/>
      <c r="L772" s="15" t="n"/>
      <c r="M772" s="15" t="n"/>
      <c r="N772" s="15" t="n"/>
      <c r="O772" s="15" t="n"/>
      <c r="P772" s="15" t="n"/>
      <c r="Q772" s="6" t="n"/>
      <c r="R772" s="14" t="n"/>
      <c r="S772" s="6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12" t="n"/>
      <c r="I773" s="12" t="n"/>
      <c r="J773" s="13" t="n"/>
      <c r="K773" s="13" t="n"/>
      <c r="L773" s="13" t="n"/>
      <c r="M773" s="13" t="n"/>
      <c r="N773" s="13" t="n"/>
      <c r="O773" s="13" t="n"/>
      <c r="P773" s="13" t="n"/>
      <c r="Q773" s="2" t="n"/>
      <c r="R773" s="12" t="n"/>
      <c r="S773" s="2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14" t="n"/>
      <c r="I774" s="14" t="n"/>
      <c r="J774" s="15" t="n"/>
      <c r="K774" s="15" t="n"/>
      <c r="L774" s="15" t="n"/>
      <c r="M774" s="15" t="n"/>
      <c r="N774" s="15" t="n"/>
      <c r="O774" s="15" t="n"/>
      <c r="P774" s="15" t="n"/>
      <c r="Q774" s="6" t="n"/>
      <c r="R774" s="14" t="n"/>
      <c r="S774" s="6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12" t="n"/>
      <c r="I775" s="12" t="n"/>
      <c r="J775" s="13" t="n"/>
      <c r="K775" s="13" t="n"/>
      <c r="L775" s="13" t="n"/>
      <c r="M775" s="13" t="n"/>
      <c r="N775" s="13" t="n"/>
      <c r="O775" s="13" t="n"/>
      <c r="P775" s="13" t="n"/>
      <c r="Q775" s="2" t="n"/>
      <c r="R775" s="12" t="n"/>
      <c r="S775" s="2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14" t="n"/>
      <c r="I776" s="14" t="n"/>
      <c r="J776" s="15" t="n"/>
      <c r="K776" s="15" t="n"/>
      <c r="L776" s="15" t="n"/>
      <c r="M776" s="15" t="n"/>
      <c r="N776" s="15" t="n"/>
      <c r="O776" s="15" t="n"/>
      <c r="P776" s="15" t="n"/>
      <c r="Q776" s="6" t="n"/>
      <c r="R776" s="14" t="n"/>
      <c r="S776" s="6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12" t="n"/>
      <c r="I777" s="12" t="n"/>
      <c r="J777" s="13" t="n"/>
      <c r="K777" s="13" t="n"/>
      <c r="L777" s="13" t="n"/>
      <c r="M777" s="13" t="n"/>
      <c r="N777" s="13" t="n"/>
      <c r="O777" s="13" t="n"/>
      <c r="P777" s="13" t="n"/>
      <c r="Q777" s="2" t="n"/>
      <c r="R777" s="12" t="n"/>
      <c r="S777" s="2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14" t="n"/>
      <c r="I778" s="14" t="n"/>
      <c r="J778" s="15" t="n"/>
      <c r="K778" s="15" t="n"/>
      <c r="L778" s="15" t="n"/>
      <c r="M778" s="15" t="n"/>
      <c r="N778" s="15" t="n"/>
      <c r="O778" s="15" t="n"/>
      <c r="P778" s="15" t="n"/>
      <c r="Q778" s="6" t="n"/>
      <c r="R778" s="14" t="n"/>
      <c r="S778" s="6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12" t="n"/>
      <c r="I779" s="12" t="n"/>
      <c r="J779" s="13" t="n"/>
      <c r="K779" s="13" t="n"/>
      <c r="L779" s="13" t="n"/>
      <c r="M779" s="13" t="n"/>
      <c r="N779" s="13" t="n"/>
      <c r="O779" s="13" t="n"/>
      <c r="P779" s="13" t="n"/>
      <c r="Q779" s="2" t="n"/>
      <c r="R779" s="12" t="n"/>
      <c r="S779" s="2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14" t="n"/>
      <c r="I780" s="14" t="n"/>
      <c r="J780" s="15" t="n"/>
      <c r="K780" s="15" t="n"/>
      <c r="L780" s="15" t="n"/>
      <c r="M780" s="15" t="n"/>
      <c r="N780" s="15" t="n"/>
      <c r="O780" s="15" t="n"/>
      <c r="P780" s="15" t="n"/>
      <c r="Q780" s="6" t="n"/>
      <c r="R780" s="14" t="n"/>
      <c r="S780" s="6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12" t="n"/>
      <c r="I781" s="12" t="n"/>
      <c r="J781" s="13" t="n"/>
      <c r="K781" s="13" t="n"/>
      <c r="L781" s="13" t="n"/>
      <c r="M781" s="13" t="n"/>
      <c r="N781" s="13" t="n"/>
      <c r="O781" s="13" t="n"/>
      <c r="P781" s="13" t="n"/>
      <c r="Q781" s="2" t="n"/>
      <c r="R781" s="12" t="n"/>
      <c r="S781" s="2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14" t="n"/>
      <c r="I782" s="14" t="n"/>
      <c r="J782" s="15" t="n"/>
      <c r="K782" s="15" t="n"/>
      <c r="L782" s="15" t="n"/>
      <c r="M782" s="15" t="n"/>
      <c r="N782" s="15" t="n"/>
      <c r="O782" s="15" t="n"/>
      <c r="P782" s="15" t="n"/>
      <c r="Q782" s="6" t="n"/>
      <c r="R782" s="14" t="n"/>
      <c r="S782" s="6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12" t="n"/>
      <c r="I783" s="12" t="n"/>
      <c r="J783" s="13" t="n"/>
      <c r="K783" s="13" t="n"/>
      <c r="L783" s="13" t="n"/>
      <c r="M783" s="13" t="n"/>
      <c r="N783" s="13" t="n"/>
      <c r="O783" s="13" t="n"/>
      <c r="P783" s="13" t="n"/>
      <c r="Q783" s="2" t="n"/>
      <c r="R783" s="12" t="n"/>
      <c r="S783" s="2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14" t="n"/>
      <c r="I784" s="14" t="n"/>
      <c r="J784" s="15" t="n"/>
      <c r="K784" s="15" t="n"/>
      <c r="L784" s="15" t="n"/>
      <c r="M784" s="15" t="n"/>
      <c r="N784" s="15" t="n"/>
      <c r="O784" s="15" t="n"/>
      <c r="P784" s="15" t="n"/>
      <c r="Q784" s="6" t="n"/>
      <c r="R784" s="14" t="n"/>
      <c r="S784" s="6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12" t="n"/>
      <c r="I785" s="12" t="n"/>
      <c r="J785" s="13" t="n"/>
      <c r="K785" s="13" t="n"/>
      <c r="L785" s="13" t="n"/>
      <c r="M785" s="13" t="n"/>
      <c r="N785" s="13" t="n"/>
      <c r="O785" s="13" t="n"/>
      <c r="P785" s="13" t="n"/>
      <c r="Q785" s="2" t="n"/>
      <c r="R785" s="12" t="n"/>
      <c r="S785" s="2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14" t="n"/>
      <c r="I786" s="14" t="n"/>
      <c r="J786" s="15" t="n"/>
      <c r="K786" s="15" t="n"/>
      <c r="L786" s="15" t="n"/>
      <c r="M786" s="15" t="n"/>
      <c r="N786" s="15" t="n"/>
      <c r="O786" s="15" t="n"/>
      <c r="P786" s="15" t="n"/>
      <c r="Q786" s="6" t="n"/>
      <c r="R786" s="14" t="n"/>
      <c r="S786" s="6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12" t="n"/>
      <c r="I787" s="12" t="n"/>
      <c r="J787" s="13" t="n"/>
      <c r="K787" s="13" t="n"/>
      <c r="L787" s="13" t="n"/>
      <c r="M787" s="13" t="n"/>
      <c r="N787" s="13" t="n"/>
      <c r="O787" s="13" t="n"/>
      <c r="P787" s="13" t="n"/>
      <c r="Q787" s="2" t="n"/>
      <c r="R787" s="12" t="n"/>
      <c r="S787" s="2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14" t="n"/>
      <c r="I788" s="14" t="n"/>
      <c r="J788" s="15" t="n"/>
      <c r="K788" s="15" t="n"/>
      <c r="L788" s="15" t="n"/>
      <c r="M788" s="15" t="n"/>
      <c r="N788" s="15" t="n"/>
      <c r="O788" s="15" t="n"/>
      <c r="P788" s="15" t="n"/>
      <c r="Q788" s="6" t="n"/>
      <c r="R788" s="14" t="n"/>
      <c r="S788" s="6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12" t="n"/>
      <c r="I789" s="12" t="n"/>
      <c r="J789" s="13" t="n"/>
      <c r="K789" s="13" t="n"/>
      <c r="L789" s="13" t="n"/>
      <c r="M789" s="13" t="n"/>
      <c r="N789" s="13" t="n"/>
      <c r="O789" s="13" t="n"/>
      <c r="P789" s="13" t="n"/>
      <c r="Q789" s="2" t="n"/>
      <c r="R789" s="12" t="n"/>
      <c r="S789" s="2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14" t="n"/>
      <c r="I790" s="14" t="n"/>
      <c r="J790" s="15" t="n"/>
      <c r="K790" s="15" t="n"/>
      <c r="L790" s="15" t="n"/>
      <c r="M790" s="15" t="n"/>
      <c r="N790" s="15" t="n"/>
      <c r="O790" s="15" t="n"/>
      <c r="P790" s="15" t="n"/>
      <c r="Q790" s="6" t="n"/>
      <c r="R790" s="14" t="n"/>
      <c r="S790" s="6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12" t="n"/>
      <c r="I791" s="12" t="n"/>
      <c r="J791" s="13" t="n"/>
      <c r="K791" s="13" t="n"/>
      <c r="L791" s="13" t="n"/>
      <c r="M791" s="13" t="n"/>
      <c r="N791" s="13" t="n"/>
      <c r="O791" s="13" t="n"/>
      <c r="P791" s="13" t="n"/>
      <c r="Q791" s="2" t="n"/>
      <c r="R791" s="12" t="n"/>
      <c r="S791" s="2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14" t="n"/>
      <c r="I792" s="14" t="n"/>
      <c r="J792" s="15" t="n"/>
      <c r="K792" s="15" t="n"/>
      <c r="L792" s="15" t="n"/>
      <c r="M792" s="15" t="n"/>
      <c r="N792" s="15" t="n"/>
      <c r="O792" s="15" t="n"/>
      <c r="P792" s="15" t="n"/>
      <c r="Q792" s="6" t="n"/>
      <c r="R792" s="14" t="n"/>
      <c r="S792" s="6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12" t="n"/>
      <c r="I793" s="12" t="n"/>
      <c r="J793" s="13" t="n"/>
      <c r="K793" s="13" t="n"/>
      <c r="L793" s="13" t="n"/>
      <c r="M793" s="13" t="n"/>
      <c r="N793" s="13" t="n"/>
      <c r="O793" s="13" t="n"/>
      <c r="P793" s="13" t="n"/>
      <c r="Q793" s="2" t="n"/>
      <c r="R793" s="12" t="n"/>
      <c r="S793" s="2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14" t="n"/>
      <c r="I794" s="14" t="n"/>
      <c r="J794" s="15" t="n"/>
      <c r="K794" s="15" t="n"/>
      <c r="L794" s="15" t="n"/>
      <c r="M794" s="15" t="n"/>
      <c r="N794" s="15" t="n"/>
      <c r="O794" s="15" t="n"/>
      <c r="P794" s="15" t="n"/>
      <c r="Q794" s="6" t="n"/>
      <c r="R794" s="14" t="n"/>
      <c r="S794" s="6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12" t="n"/>
      <c r="I795" s="12" t="n"/>
      <c r="J795" s="13" t="n"/>
      <c r="K795" s="13" t="n"/>
      <c r="L795" s="13" t="n"/>
      <c r="M795" s="13" t="n"/>
      <c r="N795" s="13" t="n"/>
      <c r="O795" s="13" t="n"/>
      <c r="P795" s="13" t="n"/>
      <c r="Q795" s="2" t="n"/>
      <c r="R795" s="12" t="n"/>
      <c r="S795" s="2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14" t="n"/>
      <c r="I796" s="14" t="n"/>
      <c r="J796" s="15" t="n"/>
      <c r="K796" s="15" t="n"/>
      <c r="L796" s="15" t="n"/>
      <c r="M796" s="15" t="n"/>
      <c r="N796" s="15" t="n"/>
      <c r="O796" s="15" t="n"/>
      <c r="P796" s="15" t="n"/>
      <c r="Q796" s="6" t="n"/>
      <c r="R796" s="14" t="n"/>
      <c r="S796" s="6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12" t="n"/>
      <c r="I797" s="12" t="n"/>
      <c r="J797" s="13" t="n"/>
      <c r="K797" s="13" t="n"/>
      <c r="L797" s="13" t="n"/>
      <c r="M797" s="13" t="n"/>
      <c r="N797" s="13" t="n"/>
      <c r="O797" s="13" t="n"/>
      <c r="P797" s="13" t="n"/>
      <c r="Q797" s="2" t="n"/>
      <c r="R797" s="12" t="n"/>
      <c r="S797" s="2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14" t="n"/>
      <c r="I798" s="14" t="n"/>
      <c r="J798" s="15" t="n"/>
      <c r="K798" s="15" t="n"/>
      <c r="L798" s="15" t="n"/>
      <c r="M798" s="15" t="n"/>
      <c r="N798" s="15" t="n"/>
      <c r="O798" s="15" t="n"/>
      <c r="P798" s="15" t="n"/>
      <c r="Q798" s="6" t="n"/>
      <c r="R798" s="14" t="n"/>
      <c r="S798" s="6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12" t="n"/>
      <c r="I799" s="12" t="n"/>
      <c r="J799" s="13" t="n"/>
      <c r="K799" s="13" t="n"/>
      <c r="L799" s="13" t="n"/>
      <c r="M799" s="13" t="n"/>
      <c r="N799" s="13" t="n"/>
      <c r="O799" s="13" t="n"/>
      <c r="P799" s="13" t="n"/>
      <c r="Q799" s="2" t="n"/>
      <c r="R799" s="12" t="n"/>
      <c r="S799" s="2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14" t="n"/>
      <c r="I800" s="14" t="n"/>
      <c r="J800" s="15" t="n"/>
      <c r="K800" s="15" t="n"/>
      <c r="L800" s="15" t="n"/>
      <c r="M800" s="15" t="n"/>
      <c r="N800" s="15" t="n"/>
      <c r="O800" s="15" t="n"/>
      <c r="P800" s="15" t="n"/>
      <c r="Q800" s="6" t="n"/>
      <c r="R800" s="14" t="n"/>
      <c r="S800" s="6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12" t="n"/>
      <c r="I801" s="12" t="n"/>
      <c r="J801" s="13" t="n"/>
      <c r="K801" s="13" t="n"/>
      <c r="L801" s="13" t="n"/>
      <c r="M801" s="13" t="n"/>
      <c r="N801" s="13" t="n"/>
      <c r="O801" s="13" t="n"/>
      <c r="P801" s="13" t="n"/>
      <c r="Q801" s="2" t="n"/>
      <c r="R801" s="12" t="n"/>
      <c r="S801" s="2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14" t="n"/>
      <c r="I802" s="14" t="n"/>
      <c r="J802" s="15" t="n"/>
      <c r="K802" s="15" t="n"/>
      <c r="L802" s="15" t="n"/>
      <c r="M802" s="15" t="n"/>
      <c r="N802" s="15" t="n"/>
      <c r="O802" s="15" t="n"/>
      <c r="P802" s="15" t="n"/>
      <c r="Q802" s="6" t="n"/>
      <c r="R802" s="14" t="n"/>
      <c r="S802" s="6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12" t="n"/>
      <c r="I803" s="12" t="n"/>
      <c r="J803" s="13" t="n"/>
      <c r="K803" s="13" t="n"/>
      <c r="L803" s="13" t="n"/>
      <c r="M803" s="13" t="n"/>
      <c r="N803" s="13" t="n"/>
      <c r="O803" s="13" t="n"/>
      <c r="P803" s="13" t="n"/>
      <c r="Q803" s="2" t="n"/>
      <c r="R803" s="12" t="n"/>
      <c r="S803" s="2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14" t="n"/>
      <c r="I804" s="14" t="n"/>
      <c r="J804" s="15" t="n"/>
      <c r="K804" s="15" t="n"/>
      <c r="L804" s="15" t="n"/>
      <c r="M804" s="15" t="n"/>
      <c r="N804" s="15" t="n"/>
      <c r="O804" s="15" t="n"/>
      <c r="P804" s="15" t="n"/>
      <c r="Q804" s="6" t="n"/>
      <c r="R804" s="14" t="n"/>
      <c r="S804" s="6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12" t="n"/>
      <c r="I805" s="12" t="n"/>
      <c r="J805" s="13" t="n"/>
      <c r="K805" s="13" t="n"/>
      <c r="L805" s="13" t="n"/>
      <c r="M805" s="13" t="n"/>
      <c r="N805" s="13" t="n"/>
      <c r="O805" s="13" t="n"/>
      <c r="P805" s="13" t="n"/>
      <c r="Q805" s="2" t="n"/>
      <c r="R805" s="12" t="n"/>
      <c r="S805" s="2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14" t="n"/>
      <c r="I806" s="14" t="n"/>
      <c r="J806" s="15" t="n"/>
      <c r="K806" s="15" t="n"/>
      <c r="L806" s="15" t="n"/>
      <c r="M806" s="15" t="n"/>
      <c r="N806" s="15" t="n"/>
      <c r="O806" s="15" t="n"/>
      <c r="P806" s="15" t="n"/>
      <c r="Q806" s="6" t="n"/>
      <c r="R806" s="14" t="n"/>
      <c r="S806" s="6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12" t="n"/>
      <c r="I807" s="12" t="n"/>
      <c r="J807" s="13" t="n"/>
      <c r="K807" s="13" t="n"/>
      <c r="L807" s="13" t="n"/>
      <c r="M807" s="13" t="n"/>
      <c r="N807" s="13" t="n"/>
      <c r="O807" s="13" t="n"/>
      <c r="P807" s="13" t="n"/>
      <c r="Q807" s="2" t="n"/>
      <c r="R807" s="12" t="n"/>
      <c r="S807" s="2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14" t="n"/>
      <c r="I808" s="14" t="n"/>
      <c r="J808" s="15" t="n"/>
      <c r="K808" s="15" t="n"/>
      <c r="L808" s="15" t="n"/>
      <c r="M808" s="15" t="n"/>
      <c r="N808" s="15" t="n"/>
      <c r="O808" s="15" t="n"/>
      <c r="P808" s="15" t="n"/>
      <c r="Q808" s="6" t="n"/>
      <c r="R808" s="14" t="n"/>
      <c r="S808" s="6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12" t="n"/>
      <c r="I809" s="12" t="n"/>
      <c r="J809" s="13" t="n"/>
      <c r="K809" s="13" t="n"/>
      <c r="L809" s="13" t="n"/>
      <c r="M809" s="13" t="n"/>
      <c r="N809" s="13" t="n"/>
      <c r="O809" s="13" t="n"/>
      <c r="P809" s="13" t="n"/>
      <c r="Q809" s="2" t="n"/>
      <c r="R809" s="12" t="n"/>
      <c r="S809" s="2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14" t="n"/>
      <c r="I810" s="14" t="n"/>
      <c r="J810" s="15" t="n"/>
      <c r="K810" s="15" t="n"/>
      <c r="L810" s="15" t="n"/>
      <c r="M810" s="15" t="n"/>
      <c r="N810" s="15" t="n"/>
      <c r="O810" s="15" t="n"/>
      <c r="P810" s="15" t="n"/>
      <c r="Q810" s="6" t="n"/>
      <c r="R810" s="14" t="n"/>
      <c r="S810" s="6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12" t="n"/>
      <c r="I811" s="12" t="n"/>
      <c r="J811" s="13" t="n"/>
      <c r="K811" s="13" t="n"/>
      <c r="L811" s="13" t="n"/>
      <c r="M811" s="13" t="n"/>
      <c r="N811" s="13" t="n"/>
      <c r="O811" s="13" t="n"/>
      <c r="P811" s="13" t="n"/>
      <c r="Q811" s="2" t="n"/>
      <c r="R811" s="12" t="n"/>
      <c r="S811" s="2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14" t="n"/>
      <c r="I812" s="14" t="n"/>
      <c r="J812" s="15" t="n"/>
      <c r="K812" s="15" t="n"/>
      <c r="L812" s="15" t="n"/>
      <c r="M812" s="15" t="n"/>
      <c r="N812" s="15" t="n"/>
      <c r="O812" s="15" t="n"/>
      <c r="P812" s="15" t="n"/>
      <c r="Q812" s="6" t="n"/>
      <c r="R812" s="14" t="n"/>
      <c r="S812" s="6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12" t="n"/>
      <c r="I813" s="12" t="n"/>
      <c r="J813" s="13" t="n"/>
      <c r="K813" s="13" t="n"/>
      <c r="L813" s="13" t="n"/>
      <c r="M813" s="13" t="n"/>
      <c r="N813" s="13" t="n"/>
      <c r="O813" s="13" t="n"/>
      <c r="P813" s="13" t="n"/>
      <c r="Q813" s="2" t="n"/>
      <c r="R813" s="12" t="n"/>
      <c r="S813" s="2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14" t="n"/>
      <c r="I814" s="14" t="n"/>
      <c r="J814" s="15" t="n"/>
      <c r="K814" s="15" t="n"/>
      <c r="L814" s="15" t="n"/>
      <c r="M814" s="15" t="n"/>
      <c r="N814" s="15" t="n"/>
      <c r="O814" s="15" t="n"/>
      <c r="P814" s="15" t="n"/>
      <c r="Q814" s="6" t="n"/>
      <c r="R814" s="14" t="n"/>
      <c r="S814" s="6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12" t="n"/>
      <c r="I815" s="12" t="n"/>
      <c r="J815" s="13" t="n"/>
      <c r="K815" s="13" t="n"/>
      <c r="L815" s="13" t="n"/>
      <c r="M815" s="13" t="n"/>
      <c r="N815" s="13" t="n"/>
      <c r="O815" s="13" t="n"/>
      <c r="P815" s="13" t="n"/>
      <c r="Q815" s="2" t="n"/>
      <c r="R815" s="12" t="n"/>
      <c r="S815" s="2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14" t="n"/>
      <c r="I816" s="14" t="n"/>
      <c r="J816" s="15" t="n"/>
      <c r="K816" s="15" t="n"/>
      <c r="L816" s="15" t="n"/>
      <c r="M816" s="15" t="n"/>
      <c r="N816" s="15" t="n"/>
      <c r="O816" s="15" t="n"/>
      <c r="P816" s="15" t="n"/>
      <c r="Q816" s="6" t="n"/>
      <c r="R816" s="14" t="n"/>
      <c r="S816" s="6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12" t="n"/>
      <c r="I817" s="12" t="n"/>
      <c r="J817" s="13" t="n"/>
      <c r="K817" s="13" t="n"/>
      <c r="L817" s="13" t="n"/>
      <c r="M817" s="13" t="n"/>
      <c r="N817" s="13" t="n"/>
      <c r="O817" s="13" t="n"/>
      <c r="P817" s="13" t="n"/>
      <c r="Q817" s="2" t="n"/>
      <c r="R817" s="12" t="n"/>
      <c r="S817" s="2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14" t="n"/>
      <c r="I818" s="14" t="n"/>
      <c r="J818" s="15" t="n"/>
      <c r="K818" s="15" t="n"/>
      <c r="L818" s="15" t="n"/>
      <c r="M818" s="15" t="n"/>
      <c r="N818" s="15" t="n"/>
      <c r="O818" s="15" t="n"/>
      <c r="P818" s="15" t="n"/>
      <c r="Q818" s="6" t="n"/>
      <c r="R818" s="14" t="n"/>
      <c r="S818" s="6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12" t="n"/>
      <c r="I819" s="12" t="n"/>
      <c r="J819" s="13" t="n"/>
      <c r="K819" s="13" t="n"/>
      <c r="L819" s="13" t="n"/>
      <c r="M819" s="13" t="n"/>
      <c r="N819" s="13" t="n"/>
      <c r="O819" s="13" t="n"/>
      <c r="P819" s="13" t="n"/>
      <c r="Q819" s="2" t="n"/>
      <c r="R819" s="12" t="n"/>
      <c r="S819" s="2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14" t="n"/>
      <c r="I820" s="14" t="n"/>
      <c r="J820" s="15" t="n"/>
      <c r="K820" s="15" t="n"/>
      <c r="L820" s="15" t="n"/>
      <c r="M820" s="15" t="n"/>
      <c r="N820" s="15" t="n"/>
      <c r="O820" s="15" t="n"/>
      <c r="P820" s="15" t="n"/>
      <c r="Q820" s="6" t="n"/>
      <c r="R820" s="14" t="n"/>
      <c r="S820" s="6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12" t="n"/>
      <c r="I821" s="12" t="n"/>
      <c r="J821" s="13" t="n"/>
      <c r="K821" s="13" t="n"/>
      <c r="L821" s="13" t="n"/>
      <c r="M821" s="13" t="n"/>
      <c r="N821" s="13" t="n"/>
      <c r="O821" s="13" t="n"/>
      <c r="P821" s="13" t="n"/>
      <c r="Q821" s="2" t="n"/>
      <c r="R821" s="12" t="n"/>
      <c r="S821" s="2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14" t="n"/>
      <c r="I822" s="14" t="n"/>
      <c r="J822" s="15" t="n"/>
      <c r="K822" s="15" t="n"/>
      <c r="L822" s="15" t="n"/>
      <c r="M822" s="15" t="n"/>
      <c r="N822" s="15" t="n"/>
      <c r="O822" s="15" t="n"/>
      <c r="P822" s="15" t="n"/>
      <c r="Q822" s="6" t="n"/>
      <c r="R822" s="14" t="n"/>
      <c r="S822" s="6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12" t="n"/>
      <c r="I823" s="12" t="n"/>
      <c r="J823" s="13" t="n"/>
      <c r="K823" s="13" t="n"/>
      <c r="L823" s="13" t="n"/>
      <c r="M823" s="13" t="n"/>
      <c r="N823" s="13" t="n"/>
      <c r="O823" s="13" t="n"/>
      <c r="P823" s="13" t="n"/>
      <c r="Q823" s="2" t="n"/>
      <c r="R823" s="12" t="n"/>
      <c r="S823" s="2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14" t="n"/>
      <c r="I824" s="14" t="n"/>
      <c r="J824" s="15" t="n"/>
      <c r="K824" s="15" t="n"/>
      <c r="L824" s="15" t="n"/>
      <c r="M824" s="15" t="n"/>
      <c r="N824" s="15" t="n"/>
      <c r="O824" s="15" t="n"/>
      <c r="P824" s="15" t="n"/>
      <c r="Q824" s="6" t="n"/>
      <c r="R824" s="14" t="n"/>
      <c r="S824" s="6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12" t="n"/>
      <c r="I825" s="12" t="n"/>
      <c r="J825" s="13" t="n"/>
      <c r="K825" s="13" t="n"/>
      <c r="L825" s="13" t="n"/>
      <c r="M825" s="13" t="n"/>
      <c r="N825" s="13" t="n"/>
      <c r="O825" s="13" t="n"/>
      <c r="P825" s="13" t="n"/>
      <c r="Q825" s="2" t="n"/>
      <c r="R825" s="12" t="n"/>
      <c r="S825" s="2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14" t="n"/>
      <c r="I826" s="14" t="n"/>
      <c r="J826" s="15" t="n"/>
      <c r="K826" s="15" t="n"/>
      <c r="L826" s="15" t="n"/>
      <c r="M826" s="15" t="n"/>
      <c r="N826" s="15" t="n"/>
      <c r="O826" s="15" t="n"/>
      <c r="P826" s="15" t="n"/>
      <c r="Q826" s="6" t="n"/>
      <c r="R826" s="14" t="n"/>
      <c r="S826" s="6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12" t="n"/>
      <c r="I827" s="12" t="n"/>
      <c r="J827" s="13" t="n"/>
      <c r="K827" s="13" t="n"/>
      <c r="L827" s="13" t="n"/>
      <c r="M827" s="13" t="n"/>
      <c r="N827" s="13" t="n"/>
      <c r="O827" s="13" t="n"/>
      <c r="P827" s="13" t="n"/>
      <c r="Q827" s="2" t="n"/>
      <c r="R827" s="12" t="n"/>
      <c r="S827" s="2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14" t="n"/>
      <c r="I828" s="14" t="n"/>
      <c r="J828" s="15" t="n"/>
      <c r="K828" s="15" t="n"/>
      <c r="L828" s="15" t="n"/>
      <c r="M828" s="15" t="n"/>
      <c r="N828" s="15" t="n"/>
      <c r="O828" s="15" t="n"/>
      <c r="P828" s="15" t="n"/>
      <c r="Q828" s="6" t="n"/>
      <c r="R828" s="14" t="n"/>
      <c r="S828" s="6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12" t="n"/>
      <c r="I829" s="12" t="n"/>
      <c r="J829" s="13" t="n"/>
      <c r="K829" s="13" t="n"/>
      <c r="L829" s="13" t="n"/>
      <c r="M829" s="13" t="n"/>
      <c r="N829" s="13" t="n"/>
      <c r="O829" s="13" t="n"/>
      <c r="P829" s="13" t="n"/>
      <c r="Q829" s="2" t="n"/>
      <c r="R829" s="12" t="n"/>
      <c r="S829" s="2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14" t="n"/>
      <c r="I830" s="14" t="n"/>
      <c r="J830" s="15" t="n"/>
      <c r="K830" s="15" t="n"/>
      <c r="L830" s="15" t="n"/>
      <c r="M830" s="15" t="n"/>
      <c r="N830" s="15" t="n"/>
      <c r="O830" s="15" t="n"/>
      <c r="P830" s="15" t="n"/>
      <c r="Q830" s="6" t="n"/>
      <c r="R830" s="14" t="n"/>
      <c r="S830" s="6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12" t="n"/>
      <c r="I831" s="12" t="n"/>
      <c r="J831" s="13" t="n"/>
      <c r="K831" s="13" t="n"/>
      <c r="L831" s="13" t="n"/>
      <c r="M831" s="13" t="n"/>
      <c r="N831" s="13" t="n"/>
      <c r="O831" s="13" t="n"/>
      <c r="P831" s="13" t="n"/>
      <c r="Q831" s="2" t="n"/>
      <c r="R831" s="12" t="n"/>
      <c r="S831" s="2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14" t="n"/>
      <c r="I832" s="14" t="n"/>
      <c r="J832" s="15" t="n"/>
      <c r="K832" s="15" t="n"/>
      <c r="L832" s="15" t="n"/>
      <c r="M832" s="15" t="n"/>
      <c r="N832" s="15" t="n"/>
      <c r="O832" s="15" t="n"/>
      <c r="P832" s="15" t="n"/>
      <c r="Q832" s="6" t="n"/>
      <c r="R832" s="14" t="n"/>
      <c r="S832" s="6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12" t="n"/>
      <c r="I833" s="12" t="n"/>
      <c r="J833" s="13" t="n"/>
      <c r="K833" s="13" t="n"/>
      <c r="L833" s="13" t="n"/>
      <c r="M833" s="13" t="n"/>
      <c r="N833" s="13" t="n"/>
      <c r="O833" s="13" t="n"/>
      <c r="P833" s="13" t="n"/>
      <c r="Q833" s="2" t="n"/>
      <c r="R833" s="12" t="n"/>
      <c r="S833" s="2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14" t="n"/>
      <c r="I834" s="14" t="n"/>
      <c r="J834" s="15" t="n"/>
      <c r="K834" s="15" t="n"/>
      <c r="L834" s="15" t="n"/>
      <c r="M834" s="15" t="n"/>
      <c r="N834" s="15" t="n"/>
      <c r="O834" s="15" t="n"/>
      <c r="P834" s="15" t="n"/>
      <c r="Q834" s="6" t="n"/>
      <c r="R834" s="14" t="n"/>
      <c r="S834" s="6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12" t="n"/>
      <c r="I835" s="12" t="n"/>
      <c r="J835" s="13" t="n"/>
      <c r="K835" s="13" t="n"/>
      <c r="L835" s="13" t="n"/>
      <c r="M835" s="13" t="n"/>
      <c r="N835" s="13" t="n"/>
      <c r="O835" s="13" t="n"/>
      <c r="P835" s="13" t="n"/>
      <c r="Q835" s="2" t="n"/>
      <c r="R835" s="12" t="n"/>
      <c r="S835" s="2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14" t="n"/>
      <c r="I836" s="14" t="n"/>
      <c r="J836" s="15" t="n"/>
      <c r="K836" s="15" t="n"/>
      <c r="L836" s="15" t="n"/>
      <c r="M836" s="15" t="n"/>
      <c r="N836" s="15" t="n"/>
      <c r="O836" s="15" t="n"/>
      <c r="P836" s="15" t="n"/>
      <c r="Q836" s="6" t="n"/>
      <c r="R836" s="14" t="n"/>
      <c r="S836" s="6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12" t="n"/>
      <c r="I837" s="12" t="n"/>
      <c r="J837" s="13" t="n"/>
      <c r="K837" s="13" t="n"/>
      <c r="L837" s="13" t="n"/>
      <c r="M837" s="13" t="n"/>
      <c r="N837" s="13" t="n"/>
      <c r="O837" s="13" t="n"/>
      <c r="P837" s="13" t="n"/>
      <c r="Q837" s="2" t="n"/>
      <c r="R837" s="12" t="n"/>
      <c r="S837" s="2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14" t="n"/>
      <c r="I838" s="14" t="n"/>
      <c r="J838" s="15" t="n"/>
      <c r="K838" s="15" t="n"/>
      <c r="L838" s="15" t="n"/>
      <c r="M838" s="15" t="n"/>
      <c r="N838" s="15" t="n"/>
      <c r="O838" s="15" t="n"/>
      <c r="P838" s="15" t="n"/>
      <c r="Q838" s="6" t="n"/>
      <c r="R838" s="14" t="n"/>
      <c r="S838" s="6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12" t="n"/>
      <c r="I839" s="12" t="n"/>
      <c r="J839" s="13" t="n"/>
      <c r="K839" s="13" t="n"/>
      <c r="L839" s="13" t="n"/>
      <c r="M839" s="13" t="n"/>
      <c r="N839" s="13" t="n"/>
      <c r="O839" s="13" t="n"/>
      <c r="P839" s="13" t="n"/>
      <c r="Q839" s="2" t="n"/>
      <c r="R839" s="12" t="n"/>
      <c r="S839" s="2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14" t="n"/>
      <c r="I840" s="14" t="n"/>
      <c r="J840" s="15" t="n"/>
      <c r="K840" s="15" t="n"/>
      <c r="L840" s="15" t="n"/>
      <c r="M840" s="15" t="n"/>
      <c r="N840" s="15" t="n"/>
      <c r="O840" s="15" t="n"/>
      <c r="P840" s="15" t="n"/>
      <c r="Q840" s="6" t="n"/>
      <c r="R840" s="14" t="n"/>
      <c r="S840" s="6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12" t="n"/>
      <c r="I841" s="12" t="n"/>
      <c r="J841" s="13" t="n"/>
      <c r="K841" s="13" t="n"/>
      <c r="L841" s="13" t="n"/>
      <c r="M841" s="13" t="n"/>
      <c r="N841" s="13" t="n"/>
      <c r="O841" s="13" t="n"/>
      <c r="P841" s="13" t="n"/>
      <c r="Q841" s="2" t="n"/>
      <c r="R841" s="12" t="n"/>
      <c r="S841" s="2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14" t="n"/>
      <c r="I842" s="14" t="n"/>
      <c r="J842" s="15" t="n"/>
      <c r="K842" s="15" t="n"/>
      <c r="L842" s="15" t="n"/>
      <c r="M842" s="15" t="n"/>
      <c r="N842" s="15" t="n"/>
      <c r="O842" s="15" t="n"/>
      <c r="P842" s="15" t="n"/>
      <c r="Q842" s="6" t="n"/>
      <c r="R842" s="14" t="n"/>
      <c r="S842" s="6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12" t="n"/>
      <c r="I843" s="12" t="n"/>
      <c r="J843" s="13" t="n"/>
      <c r="K843" s="13" t="n"/>
      <c r="L843" s="13" t="n"/>
      <c r="M843" s="13" t="n"/>
      <c r="N843" s="13" t="n"/>
      <c r="O843" s="13" t="n"/>
      <c r="P843" s="13" t="n"/>
      <c r="Q843" s="2" t="n"/>
      <c r="R843" s="12" t="n"/>
      <c r="S843" s="2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14" t="n"/>
      <c r="I844" s="14" t="n"/>
      <c r="J844" s="15" t="n"/>
      <c r="K844" s="15" t="n"/>
      <c r="L844" s="15" t="n"/>
      <c r="M844" s="15" t="n"/>
      <c r="N844" s="15" t="n"/>
      <c r="O844" s="15" t="n"/>
      <c r="P844" s="15" t="n"/>
      <c r="Q844" s="6" t="n"/>
      <c r="R844" s="14" t="n"/>
      <c r="S844" s="6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12" t="n"/>
      <c r="I845" s="12" t="n"/>
      <c r="J845" s="13" t="n"/>
      <c r="K845" s="13" t="n"/>
      <c r="L845" s="13" t="n"/>
      <c r="M845" s="13" t="n"/>
      <c r="N845" s="13" t="n"/>
      <c r="O845" s="13" t="n"/>
      <c r="P845" s="13" t="n"/>
      <c r="Q845" s="2" t="n"/>
      <c r="R845" s="12" t="n"/>
      <c r="S845" s="2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14" t="n"/>
      <c r="I846" s="14" t="n"/>
      <c r="J846" s="15" t="n"/>
      <c r="K846" s="15" t="n"/>
      <c r="L846" s="15" t="n"/>
      <c r="M846" s="15" t="n"/>
      <c r="N846" s="15" t="n"/>
      <c r="O846" s="15" t="n"/>
      <c r="P846" s="15" t="n"/>
      <c r="Q846" s="6" t="n"/>
      <c r="R846" s="14" t="n"/>
      <c r="S846" s="6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12" t="n"/>
      <c r="I847" s="12" t="n"/>
      <c r="J847" s="13" t="n"/>
      <c r="K847" s="13" t="n"/>
      <c r="L847" s="13" t="n"/>
      <c r="M847" s="13" t="n"/>
      <c r="N847" s="13" t="n"/>
      <c r="O847" s="13" t="n"/>
      <c r="P847" s="13" t="n"/>
      <c r="Q847" s="2" t="n"/>
      <c r="R847" s="12" t="n"/>
      <c r="S847" s="2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14" t="n"/>
      <c r="I848" s="14" t="n"/>
      <c r="J848" s="15" t="n"/>
      <c r="K848" s="15" t="n"/>
      <c r="L848" s="15" t="n"/>
      <c r="M848" s="15" t="n"/>
      <c r="N848" s="15" t="n"/>
      <c r="O848" s="15" t="n"/>
      <c r="P848" s="15" t="n"/>
      <c r="Q848" s="6" t="n"/>
      <c r="R848" s="14" t="n"/>
      <c r="S848" s="6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12" t="n"/>
      <c r="I849" s="12" t="n"/>
      <c r="J849" s="13" t="n"/>
      <c r="K849" s="13" t="n"/>
      <c r="L849" s="13" t="n"/>
      <c r="M849" s="13" t="n"/>
      <c r="N849" s="13" t="n"/>
      <c r="O849" s="13" t="n"/>
      <c r="P849" s="13" t="n"/>
      <c r="Q849" s="2" t="n"/>
      <c r="R849" s="12" t="n"/>
      <c r="S849" s="2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14" t="n"/>
      <c r="I850" s="14" t="n"/>
      <c r="J850" s="15" t="n"/>
      <c r="K850" s="15" t="n"/>
      <c r="L850" s="15" t="n"/>
      <c r="M850" s="15" t="n"/>
      <c r="N850" s="15" t="n"/>
      <c r="O850" s="15" t="n"/>
      <c r="P850" s="15" t="n"/>
      <c r="Q850" s="6" t="n"/>
      <c r="R850" s="14" t="n"/>
      <c r="S850" s="6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12" t="n"/>
      <c r="I851" s="12" t="n"/>
      <c r="J851" s="13" t="n"/>
      <c r="K851" s="13" t="n"/>
      <c r="L851" s="13" t="n"/>
      <c r="M851" s="13" t="n"/>
      <c r="N851" s="13" t="n"/>
      <c r="O851" s="13" t="n"/>
      <c r="P851" s="13" t="n"/>
      <c r="Q851" s="2" t="n"/>
      <c r="R851" s="12" t="n"/>
      <c r="S851" s="2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14" t="n"/>
      <c r="I852" s="14" t="n"/>
      <c r="J852" s="15" t="n"/>
      <c r="K852" s="15" t="n"/>
      <c r="L852" s="15" t="n"/>
      <c r="M852" s="15" t="n"/>
      <c r="N852" s="15" t="n"/>
      <c r="O852" s="15" t="n"/>
      <c r="P852" s="15" t="n"/>
      <c r="Q852" s="6" t="n"/>
      <c r="R852" s="14" t="n"/>
      <c r="S852" s="6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12" t="n"/>
      <c r="I853" s="12" t="n"/>
      <c r="J853" s="13" t="n"/>
      <c r="K853" s="13" t="n"/>
      <c r="L853" s="13" t="n"/>
      <c r="M853" s="13" t="n"/>
      <c r="N853" s="13" t="n"/>
      <c r="O853" s="13" t="n"/>
      <c r="P853" s="13" t="n"/>
      <c r="Q853" s="2" t="n"/>
      <c r="R853" s="12" t="n"/>
      <c r="S853" s="2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14" t="n"/>
      <c r="I854" s="14" t="n"/>
      <c r="J854" s="15" t="n"/>
      <c r="K854" s="15" t="n"/>
      <c r="L854" s="15" t="n"/>
      <c r="M854" s="15" t="n"/>
      <c r="N854" s="15" t="n"/>
      <c r="O854" s="15" t="n"/>
      <c r="P854" s="15" t="n"/>
      <c r="Q854" s="6" t="n"/>
      <c r="R854" s="14" t="n"/>
      <c r="S854" s="6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12" t="n"/>
      <c r="I855" s="12" t="n"/>
      <c r="J855" s="13" t="n"/>
      <c r="K855" s="13" t="n"/>
      <c r="L855" s="13" t="n"/>
      <c r="M855" s="13" t="n"/>
      <c r="N855" s="13" t="n"/>
      <c r="O855" s="13" t="n"/>
      <c r="P855" s="13" t="n"/>
      <c r="Q855" s="2" t="n"/>
      <c r="R855" s="12" t="n"/>
      <c r="S855" s="2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14" t="n"/>
      <c r="I856" s="14" t="n"/>
      <c r="J856" s="15" t="n"/>
      <c r="K856" s="15" t="n"/>
      <c r="L856" s="15" t="n"/>
      <c r="M856" s="15" t="n"/>
      <c r="N856" s="15" t="n"/>
      <c r="O856" s="15" t="n"/>
      <c r="P856" s="15" t="n"/>
      <c r="Q856" s="6" t="n"/>
      <c r="R856" s="14" t="n"/>
      <c r="S856" s="6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12" t="n"/>
      <c r="I857" s="12" t="n"/>
      <c r="J857" s="13" t="n"/>
      <c r="K857" s="13" t="n"/>
      <c r="L857" s="13" t="n"/>
      <c r="M857" s="13" t="n"/>
      <c r="N857" s="13" t="n"/>
      <c r="O857" s="13" t="n"/>
      <c r="P857" s="13" t="n"/>
      <c r="Q857" s="2" t="n"/>
      <c r="R857" s="12" t="n"/>
      <c r="S857" s="2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14" t="n"/>
      <c r="I858" s="14" t="n"/>
      <c r="J858" s="15" t="n"/>
      <c r="K858" s="15" t="n"/>
      <c r="L858" s="15" t="n"/>
      <c r="M858" s="15" t="n"/>
      <c r="N858" s="15" t="n"/>
      <c r="O858" s="15" t="n"/>
      <c r="P858" s="15" t="n"/>
      <c r="Q858" s="6" t="n"/>
      <c r="R858" s="14" t="n"/>
      <c r="S858" s="6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12" t="n"/>
      <c r="I859" s="12" t="n"/>
      <c r="J859" s="13" t="n"/>
      <c r="K859" s="13" t="n"/>
      <c r="L859" s="13" t="n"/>
      <c r="M859" s="13" t="n"/>
      <c r="N859" s="13" t="n"/>
      <c r="O859" s="13" t="n"/>
      <c r="P859" s="13" t="n"/>
      <c r="Q859" s="2" t="n"/>
      <c r="R859" s="12" t="n"/>
      <c r="S859" s="2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14" t="n"/>
      <c r="I860" s="14" t="n"/>
      <c r="J860" s="15" t="n"/>
      <c r="K860" s="15" t="n"/>
      <c r="L860" s="15" t="n"/>
      <c r="M860" s="15" t="n"/>
      <c r="N860" s="15" t="n"/>
      <c r="O860" s="15" t="n"/>
      <c r="P860" s="15" t="n"/>
      <c r="Q860" s="6" t="n"/>
      <c r="R860" s="14" t="n"/>
      <c r="S860" s="6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12" t="n"/>
      <c r="I861" s="12" t="n"/>
      <c r="J861" s="13" t="n"/>
      <c r="K861" s="13" t="n"/>
      <c r="L861" s="13" t="n"/>
      <c r="M861" s="13" t="n"/>
      <c r="N861" s="13" t="n"/>
      <c r="O861" s="13" t="n"/>
      <c r="P861" s="13" t="n"/>
      <c r="Q861" s="2" t="n"/>
      <c r="R861" s="12" t="n"/>
      <c r="S861" s="2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14" t="n"/>
      <c r="I862" s="14" t="n"/>
      <c r="J862" s="15" t="n"/>
      <c r="K862" s="15" t="n"/>
      <c r="L862" s="15" t="n"/>
      <c r="M862" s="15" t="n"/>
      <c r="N862" s="15" t="n"/>
      <c r="O862" s="15" t="n"/>
      <c r="P862" s="15" t="n"/>
      <c r="Q862" s="6" t="n"/>
      <c r="R862" s="14" t="n"/>
      <c r="S862" s="6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12" t="n"/>
      <c r="I863" s="12" t="n"/>
      <c r="J863" s="13" t="n"/>
      <c r="K863" s="13" t="n"/>
      <c r="L863" s="13" t="n"/>
      <c r="M863" s="13" t="n"/>
      <c r="N863" s="13" t="n"/>
      <c r="O863" s="13" t="n"/>
      <c r="P863" s="13" t="n"/>
      <c r="Q863" s="2" t="n"/>
      <c r="R863" s="12" t="n"/>
      <c r="S863" s="2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14" t="n"/>
      <c r="I864" s="14" t="n"/>
      <c r="J864" s="15" t="n"/>
      <c r="K864" s="15" t="n"/>
      <c r="L864" s="15" t="n"/>
      <c r="M864" s="15" t="n"/>
      <c r="N864" s="15" t="n"/>
      <c r="O864" s="15" t="n"/>
      <c r="P864" s="15" t="n"/>
      <c r="Q864" s="6" t="n"/>
      <c r="R864" s="14" t="n"/>
      <c r="S864" s="6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12" t="n"/>
      <c r="I865" s="12" t="n"/>
      <c r="J865" s="13" t="n"/>
      <c r="K865" s="13" t="n"/>
      <c r="L865" s="13" t="n"/>
      <c r="M865" s="13" t="n"/>
      <c r="N865" s="13" t="n"/>
      <c r="O865" s="13" t="n"/>
      <c r="P865" s="13" t="n"/>
      <c r="Q865" s="2" t="n"/>
      <c r="R865" s="12" t="n"/>
      <c r="S865" s="2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14" t="n"/>
      <c r="I866" s="14" t="n"/>
      <c r="J866" s="15" t="n"/>
      <c r="K866" s="15" t="n"/>
      <c r="L866" s="15" t="n"/>
      <c r="M866" s="15" t="n"/>
      <c r="N866" s="15" t="n"/>
      <c r="O866" s="15" t="n"/>
      <c r="P866" s="15" t="n"/>
      <c r="Q866" s="6" t="n"/>
      <c r="R866" s="14" t="n"/>
      <c r="S866" s="6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12" t="n"/>
      <c r="I867" s="12" t="n"/>
      <c r="J867" s="13" t="n"/>
      <c r="K867" s="13" t="n"/>
      <c r="L867" s="13" t="n"/>
      <c r="M867" s="13" t="n"/>
      <c r="N867" s="13" t="n"/>
      <c r="O867" s="13" t="n"/>
      <c r="P867" s="13" t="n"/>
      <c r="Q867" s="2" t="n"/>
      <c r="R867" s="12" t="n"/>
      <c r="S867" s="2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14" t="n"/>
      <c r="I868" s="14" t="n"/>
      <c r="J868" s="15" t="n"/>
      <c r="K868" s="15" t="n"/>
      <c r="L868" s="15" t="n"/>
      <c r="M868" s="15" t="n"/>
      <c r="N868" s="15" t="n"/>
      <c r="O868" s="15" t="n"/>
      <c r="P868" s="15" t="n"/>
      <c r="Q868" s="6" t="n"/>
      <c r="R868" s="14" t="n"/>
      <c r="S868" s="6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12" t="n"/>
      <c r="I869" s="12" t="n"/>
      <c r="J869" s="13" t="n"/>
      <c r="K869" s="13" t="n"/>
      <c r="L869" s="13" t="n"/>
      <c r="M869" s="13" t="n"/>
      <c r="N869" s="13" t="n"/>
      <c r="O869" s="13" t="n"/>
      <c r="P869" s="13" t="n"/>
      <c r="Q869" s="2" t="n"/>
      <c r="R869" s="12" t="n"/>
      <c r="S869" s="2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14" t="n"/>
      <c r="I870" s="14" t="n"/>
      <c r="J870" s="15" t="n"/>
      <c r="K870" s="15" t="n"/>
      <c r="L870" s="15" t="n"/>
      <c r="M870" s="15" t="n"/>
      <c r="N870" s="15" t="n"/>
      <c r="O870" s="15" t="n"/>
      <c r="P870" s="15" t="n"/>
      <c r="Q870" s="6" t="n"/>
      <c r="R870" s="14" t="n"/>
      <c r="S870" s="6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12" t="n"/>
      <c r="I871" s="12" t="n"/>
      <c r="J871" s="13" t="n"/>
      <c r="K871" s="13" t="n"/>
      <c r="L871" s="13" t="n"/>
      <c r="M871" s="13" t="n"/>
      <c r="N871" s="13" t="n"/>
      <c r="O871" s="13" t="n"/>
      <c r="P871" s="13" t="n"/>
      <c r="Q871" s="2" t="n"/>
      <c r="R871" s="12" t="n"/>
      <c r="S871" s="2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14" t="n"/>
      <c r="I872" s="14" t="n"/>
      <c r="J872" s="15" t="n"/>
      <c r="K872" s="15" t="n"/>
      <c r="L872" s="15" t="n"/>
      <c r="M872" s="15" t="n"/>
      <c r="N872" s="15" t="n"/>
      <c r="O872" s="15" t="n"/>
      <c r="P872" s="15" t="n"/>
      <c r="Q872" s="6" t="n"/>
      <c r="R872" s="14" t="n"/>
      <c r="S872" s="6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12" t="n"/>
      <c r="I873" s="12" t="n"/>
      <c r="J873" s="13" t="n"/>
      <c r="K873" s="13" t="n"/>
      <c r="L873" s="13" t="n"/>
      <c r="M873" s="13" t="n"/>
      <c r="N873" s="13" t="n"/>
      <c r="O873" s="13" t="n"/>
      <c r="P873" s="13" t="n"/>
      <c r="Q873" s="2" t="n"/>
      <c r="R873" s="12" t="n"/>
      <c r="S873" s="2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14" t="n"/>
      <c r="I874" s="14" t="n"/>
      <c r="J874" s="15" t="n"/>
      <c r="K874" s="15" t="n"/>
      <c r="L874" s="15" t="n"/>
      <c r="M874" s="15" t="n"/>
      <c r="N874" s="15" t="n"/>
      <c r="O874" s="15" t="n"/>
      <c r="P874" s="15" t="n"/>
      <c r="Q874" s="6" t="n"/>
      <c r="R874" s="14" t="n"/>
      <c r="S874" s="6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12" t="n"/>
      <c r="I875" s="12" t="n"/>
      <c r="J875" s="13" t="n"/>
      <c r="K875" s="13" t="n"/>
      <c r="L875" s="13" t="n"/>
      <c r="M875" s="13" t="n"/>
      <c r="N875" s="13" t="n"/>
      <c r="O875" s="13" t="n"/>
      <c r="P875" s="13" t="n"/>
      <c r="Q875" s="2" t="n"/>
      <c r="R875" s="12" t="n"/>
      <c r="S875" s="2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14" t="n"/>
      <c r="I876" s="14" t="n"/>
      <c r="J876" s="15" t="n"/>
      <c r="K876" s="15" t="n"/>
      <c r="L876" s="15" t="n"/>
      <c r="M876" s="15" t="n"/>
      <c r="N876" s="15" t="n"/>
      <c r="O876" s="15" t="n"/>
      <c r="P876" s="15" t="n"/>
      <c r="Q876" s="6" t="n"/>
      <c r="R876" s="14" t="n"/>
      <c r="S876" s="6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12" t="n"/>
      <c r="I877" s="12" t="n"/>
      <c r="J877" s="13" t="n"/>
      <c r="K877" s="13" t="n"/>
      <c r="L877" s="13" t="n"/>
      <c r="M877" s="13" t="n"/>
      <c r="N877" s="13" t="n"/>
      <c r="O877" s="13" t="n"/>
      <c r="P877" s="13" t="n"/>
      <c r="Q877" s="2" t="n"/>
      <c r="R877" s="12" t="n"/>
      <c r="S877" s="2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14" t="n"/>
      <c r="I878" s="14" t="n"/>
      <c r="J878" s="15" t="n"/>
      <c r="K878" s="15" t="n"/>
      <c r="L878" s="15" t="n"/>
      <c r="M878" s="15" t="n"/>
      <c r="N878" s="15" t="n"/>
      <c r="O878" s="15" t="n"/>
      <c r="P878" s="15" t="n"/>
      <c r="Q878" s="6" t="n"/>
      <c r="R878" s="14" t="n"/>
      <c r="S878" s="6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12" t="n"/>
      <c r="I879" s="12" t="n"/>
      <c r="J879" s="13" t="n"/>
      <c r="K879" s="13" t="n"/>
      <c r="L879" s="13" t="n"/>
      <c r="M879" s="13" t="n"/>
      <c r="N879" s="13" t="n"/>
      <c r="O879" s="13" t="n"/>
      <c r="P879" s="13" t="n"/>
      <c r="Q879" s="2" t="n"/>
      <c r="R879" s="12" t="n"/>
      <c r="S879" s="2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14" t="n"/>
      <c r="I880" s="14" t="n"/>
      <c r="J880" s="15" t="n"/>
      <c r="K880" s="15" t="n"/>
      <c r="L880" s="15" t="n"/>
      <c r="M880" s="15" t="n"/>
      <c r="N880" s="15" t="n"/>
      <c r="O880" s="15" t="n"/>
      <c r="P880" s="15" t="n"/>
      <c r="Q880" s="6" t="n"/>
      <c r="R880" s="14" t="n"/>
      <c r="S880" s="6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12" t="n"/>
      <c r="I881" s="12" t="n"/>
      <c r="J881" s="13" t="n"/>
      <c r="K881" s="13" t="n"/>
      <c r="L881" s="13" t="n"/>
      <c r="M881" s="13" t="n"/>
      <c r="N881" s="13" t="n"/>
      <c r="O881" s="13" t="n"/>
      <c r="P881" s="13" t="n"/>
      <c r="Q881" s="2" t="n"/>
      <c r="R881" s="12" t="n"/>
      <c r="S881" s="2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14" t="n"/>
      <c r="I882" s="14" t="n"/>
      <c r="J882" s="15" t="n"/>
      <c r="K882" s="15" t="n"/>
      <c r="L882" s="15" t="n"/>
      <c r="M882" s="15" t="n"/>
      <c r="N882" s="15" t="n"/>
      <c r="O882" s="15" t="n"/>
      <c r="P882" s="15" t="n"/>
      <c r="Q882" s="6" t="n"/>
      <c r="R882" s="14" t="n"/>
      <c r="S882" s="6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12" t="n"/>
      <c r="I883" s="12" t="n"/>
      <c r="J883" s="13" t="n"/>
      <c r="K883" s="13" t="n"/>
      <c r="L883" s="13" t="n"/>
      <c r="M883" s="13" t="n"/>
      <c r="N883" s="13" t="n"/>
      <c r="O883" s="13" t="n"/>
      <c r="P883" s="13" t="n"/>
      <c r="Q883" s="2" t="n"/>
      <c r="R883" s="12" t="n"/>
      <c r="S883" s="2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14" t="n"/>
      <c r="I884" s="14" t="n"/>
      <c r="J884" s="15" t="n"/>
      <c r="K884" s="15" t="n"/>
      <c r="L884" s="15" t="n"/>
      <c r="M884" s="15" t="n"/>
      <c r="N884" s="15" t="n"/>
      <c r="O884" s="15" t="n"/>
      <c r="P884" s="15" t="n"/>
      <c r="Q884" s="6" t="n"/>
      <c r="R884" s="14" t="n"/>
      <c r="S884" s="6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12" t="n"/>
      <c r="I885" s="12" t="n"/>
      <c r="J885" s="13" t="n"/>
      <c r="K885" s="13" t="n"/>
      <c r="L885" s="13" t="n"/>
      <c r="M885" s="13" t="n"/>
      <c r="N885" s="13" t="n"/>
      <c r="O885" s="13" t="n"/>
      <c r="P885" s="13" t="n"/>
      <c r="Q885" s="2" t="n"/>
      <c r="R885" s="12" t="n"/>
      <c r="S885" s="2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14" t="n"/>
      <c r="I886" s="14" t="n"/>
      <c r="J886" s="15" t="n"/>
      <c r="K886" s="15" t="n"/>
      <c r="L886" s="15" t="n"/>
      <c r="M886" s="15" t="n"/>
      <c r="N886" s="15" t="n"/>
      <c r="O886" s="15" t="n"/>
      <c r="P886" s="15" t="n"/>
      <c r="Q886" s="6" t="n"/>
      <c r="R886" s="14" t="n"/>
      <c r="S886" s="6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12" t="n"/>
      <c r="I887" s="12" t="n"/>
      <c r="J887" s="13" t="n"/>
      <c r="K887" s="13" t="n"/>
      <c r="L887" s="13" t="n"/>
      <c r="M887" s="13" t="n"/>
      <c r="N887" s="13" t="n"/>
      <c r="O887" s="13" t="n"/>
      <c r="P887" s="13" t="n"/>
      <c r="Q887" s="2" t="n"/>
      <c r="R887" s="12" t="n"/>
      <c r="S887" s="2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14" t="n"/>
      <c r="I888" s="14" t="n"/>
      <c r="J888" s="15" t="n"/>
      <c r="K888" s="15" t="n"/>
      <c r="L888" s="15" t="n"/>
      <c r="M888" s="15" t="n"/>
      <c r="N888" s="15" t="n"/>
      <c r="O888" s="15" t="n"/>
      <c r="P888" s="15" t="n"/>
      <c r="Q888" s="6" t="n"/>
      <c r="R888" s="14" t="n"/>
      <c r="S888" s="6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12" t="n"/>
      <c r="I889" s="12" t="n"/>
      <c r="J889" s="13" t="n"/>
      <c r="K889" s="13" t="n"/>
      <c r="L889" s="13" t="n"/>
      <c r="M889" s="13" t="n"/>
      <c r="N889" s="13" t="n"/>
      <c r="O889" s="13" t="n"/>
      <c r="P889" s="13" t="n"/>
      <c r="Q889" s="2" t="n"/>
      <c r="R889" s="12" t="n"/>
      <c r="S889" s="2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14" t="n"/>
      <c r="I890" s="14" t="n"/>
      <c r="J890" s="15" t="n"/>
      <c r="K890" s="15" t="n"/>
      <c r="L890" s="15" t="n"/>
      <c r="M890" s="15" t="n"/>
      <c r="N890" s="15" t="n"/>
      <c r="O890" s="15" t="n"/>
      <c r="P890" s="15" t="n"/>
      <c r="Q890" s="6" t="n"/>
      <c r="R890" s="14" t="n"/>
      <c r="S890" s="6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12" t="n"/>
      <c r="I891" s="12" t="n"/>
      <c r="J891" s="13" t="n"/>
      <c r="K891" s="13" t="n"/>
      <c r="L891" s="13" t="n"/>
      <c r="M891" s="13" t="n"/>
      <c r="N891" s="13" t="n"/>
      <c r="O891" s="13" t="n"/>
      <c r="P891" s="13" t="n"/>
      <c r="Q891" s="2" t="n"/>
      <c r="R891" s="12" t="n"/>
      <c r="S891" s="2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14" t="n"/>
      <c r="I892" s="14" t="n"/>
      <c r="J892" s="15" t="n"/>
      <c r="K892" s="15" t="n"/>
      <c r="L892" s="15" t="n"/>
      <c r="M892" s="15" t="n"/>
      <c r="N892" s="15" t="n"/>
      <c r="O892" s="15" t="n"/>
      <c r="P892" s="15" t="n"/>
      <c r="Q892" s="6" t="n"/>
      <c r="R892" s="14" t="n"/>
      <c r="S892" s="6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12" t="n"/>
      <c r="I893" s="12" t="n"/>
      <c r="J893" s="13" t="n"/>
      <c r="K893" s="13" t="n"/>
      <c r="L893" s="13" t="n"/>
      <c r="M893" s="13" t="n"/>
      <c r="N893" s="13" t="n"/>
      <c r="O893" s="13" t="n"/>
      <c r="P893" s="13" t="n"/>
      <c r="Q893" s="2" t="n"/>
      <c r="R893" s="12" t="n"/>
      <c r="S893" s="2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14" t="n"/>
      <c r="I894" s="14" t="n"/>
      <c r="J894" s="15" t="n"/>
      <c r="K894" s="15" t="n"/>
      <c r="L894" s="15" t="n"/>
      <c r="M894" s="15" t="n"/>
      <c r="N894" s="15" t="n"/>
      <c r="O894" s="15" t="n"/>
      <c r="P894" s="15" t="n"/>
      <c r="Q894" s="6" t="n"/>
      <c r="R894" s="14" t="n"/>
      <c r="S894" s="6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12" t="n"/>
      <c r="I895" s="12" t="n"/>
      <c r="J895" s="13" t="n"/>
      <c r="K895" s="13" t="n"/>
      <c r="L895" s="13" t="n"/>
      <c r="M895" s="13" t="n"/>
      <c r="N895" s="13" t="n"/>
      <c r="O895" s="13" t="n"/>
      <c r="P895" s="13" t="n"/>
      <c r="Q895" s="2" t="n"/>
      <c r="R895" s="12" t="n"/>
      <c r="S895" s="2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14" t="n"/>
      <c r="I896" s="14" t="n"/>
      <c r="J896" s="15" t="n"/>
      <c r="K896" s="15" t="n"/>
      <c r="L896" s="15" t="n"/>
      <c r="M896" s="15" t="n"/>
      <c r="N896" s="15" t="n"/>
      <c r="O896" s="15" t="n"/>
      <c r="P896" s="15" t="n"/>
      <c r="Q896" s="6" t="n"/>
      <c r="R896" s="14" t="n"/>
      <c r="S896" s="6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12" t="n"/>
      <c r="I897" s="12" t="n"/>
      <c r="J897" s="13" t="n"/>
      <c r="K897" s="13" t="n"/>
      <c r="L897" s="13" t="n"/>
      <c r="M897" s="13" t="n"/>
      <c r="N897" s="13" t="n"/>
      <c r="O897" s="13" t="n"/>
      <c r="P897" s="13" t="n"/>
      <c r="Q897" s="2" t="n"/>
      <c r="R897" s="12" t="n"/>
      <c r="S897" s="2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14" t="n"/>
      <c r="I898" s="14" t="n"/>
      <c r="J898" s="15" t="n"/>
      <c r="K898" s="15" t="n"/>
      <c r="L898" s="15" t="n"/>
      <c r="M898" s="15" t="n"/>
      <c r="N898" s="15" t="n"/>
      <c r="O898" s="15" t="n"/>
      <c r="P898" s="15" t="n"/>
      <c r="Q898" s="6" t="n"/>
      <c r="R898" s="14" t="n"/>
      <c r="S898" s="6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12" t="n"/>
      <c r="I899" s="12" t="n"/>
      <c r="J899" s="13" t="n"/>
      <c r="K899" s="13" t="n"/>
      <c r="L899" s="13" t="n"/>
      <c r="M899" s="13" t="n"/>
      <c r="N899" s="13" t="n"/>
      <c r="O899" s="13" t="n"/>
      <c r="P899" s="13" t="n"/>
      <c r="Q899" s="2" t="n"/>
      <c r="R899" s="12" t="n"/>
      <c r="S899" s="2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14" t="n"/>
      <c r="I900" s="14" t="n"/>
      <c r="J900" s="15" t="n"/>
      <c r="K900" s="15" t="n"/>
      <c r="L900" s="15" t="n"/>
      <c r="M900" s="15" t="n"/>
      <c r="N900" s="15" t="n"/>
      <c r="O900" s="15" t="n"/>
      <c r="P900" s="15" t="n"/>
      <c r="Q900" s="6" t="n"/>
      <c r="R900" s="14" t="n"/>
      <c r="S900" s="6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12" t="n"/>
      <c r="I901" s="12" t="n"/>
      <c r="J901" s="13" t="n"/>
      <c r="K901" s="13" t="n"/>
      <c r="L901" s="13" t="n"/>
      <c r="M901" s="13" t="n"/>
      <c r="N901" s="13" t="n"/>
      <c r="O901" s="13" t="n"/>
      <c r="P901" s="13" t="n"/>
      <c r="Q901" s="2" t="n"/>
      <c r="R901" s="12" t="n"/>
      <c r="S901" s="2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14" t="n"/>
      <c r="I902" s="14" t="n"/>
      <c r="J902" s="15" t="n"/>
      <c r="K902" s="15" t="n"/>
      <c r="L902" s="15" t="n"/>
      <c r="M902" s="15" t="n"/>
      <c r="N902" s="15" t="n"/>
      <c r="O902" s="15" t="n"/>
      <c r="P902" s="15" t="n"/>
      <c r="Q902" s="6" t="n"/>
      <c r="R902" s="14" t="n"/>
      <c r="S902" s="6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12" t="n"/>
      <c r="I903" s="12" t="n"/>
      <c r="J903" s="13" t="n"/>
      <c r="K903" s="13" t="n"/>
      <c r="L903" s="13" t="n"/>
      <c r="M903" s="13" t="n"/>
      <c r="N903" s="13" t="n"/>
      <c r="O903" s="13" t="n"/>
      <c r="P903" s="13" t="n"/>
      <c r="Q903" s="2" t="n"/>
      <c r="R903" s="12" t="n"/>
      <c r="S903" s="2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14" t="n"/>
      <c r="I904" s="14" t="n"/>
      <c r="J904" s="15" t="n"/>
      <c r="K904" s="15" t="n"/>
      <c r="L904" s="15" t="n"/>
      <c r="M904" s="15" t="n"/>
      <c r="N904" s="15" t="n"/>
      <c r="O904" s="15" t="n"/>
      <c r="P904" s="15" t="n"/>
      <c r="Q904" s="6" t="n"/>
      <c r="R904" s="14" t="n"/>
      <c r="S904" s="6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12" t="n"/>
      <c r="I905" s="12" t="n"/>
      <c r="J905" s="13" t="n"/>
      <c r="K905" s="13" t="n"/>
      <c r="L905" s="13" t="n"/>
      <c r="M905" s="13" t="n"/>
      <c r="N905" s="13" t="n"/>
      <c r="O905" s="13" t="n"/>
      <c r="P905" s="13" t="n"/>
      <c r="Q905" s="2" t="n"/>
      <c r="R905" s="12" t="n"/>
      <c r="S905" s="2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14" t="n"/>
      <c r="I906" s="14" t="n"/>
      <c r="J906" s="15" t="n"/>
      <c r="K906" s="15" t="n"/>
      <c r="L906" s="15" t="n"/>
      <c r="M906" s="15" t="n"/>
      <c r="N906" s="15" t="n"/>
      <c r="O906" s="15" t="n"/>
      <c r="P906" s="15" t="n"/>
      <c r="Q906" s="6" t="n"/>
      <c r="R906" s="14" t="n"/>
      <c r="S906" s="6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12" t="n"/>
      <c r="I907" s="12" t="n"/>
      <c r="J907" s="13" t="n"/>
      <c r="K907" s="13" t="n"/>
      <c r="L907" s="13" t="n"/>
      <c r="M907" s="13" t="n"/>
      <c r="N907" s="13" t="n"/>
      <c r="O907" s="13" t="n"/>
      <c r="P907" s="13" t="n"/>
      <c r="Q907" s="2" t="n"/>
      <c r="R907" s="12" t="n"/>
      <c r="S907" s="2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14" t="n"/>
      <c r="I908" s="14" t="n"/>
      <c r="J908" s="15" t="n"/>
      <c r="K908" s="15" t="n"/>
      <c r="L908" s="15" t="n"/>
      <c r="M908" s="15" t="n"/>
      <c r="N908" s="15" t="n"/>
      <c r="O908" s="15" t="n"/>
      <c r="P908" s="15" t="n"/>
      <c r="Q908" s="6" t="n"/>
      <c r="R908" s="14" t="n"/>
      <c r="S908" s="6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12" t="n"/>
      <c r="I909" s="12" t="n"/>
      <c r="J909" s="13" t="n"/>
      <c r="K909" s="13" t="n"/>
      <c r="L909" s="13" t="n"/>
      <c r="M909" s="13" t="n"/>
      <c r="N909" s="13" t="n"/>
      <c r="O909" s="13" t="n"/>
      <c r="P909" s="13" t="n"/>
      <c r="Q909" s="2" t="n"/>
      <c r="R909" s="12" t="n"/>
      <c r="S909" s="2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14" t="n"/>
      <c r="I910" s="14" t="n"/>
      <c r="J910" s="15" t="n"/>
      <c r="K910" s="15" t="n"/>
      <c r="L910" s="15" t="n"/>
      <c r="M910" s="15" t="n"/>
      <c r="N910" s="15" t="n"/>
      <c r="O910" s="15" t="n"/>
      <c r="P910" s="15" t="n"/>
      <c r="Q910" s="6" t="n"/>
      <c r="R910" s="14" t="n"/>
      <c r="S910" s="6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12" t="n"/>
      <c r="I911" s="12" t="n"/>
      <c r="J911" s="13" t="n"/>
      <c r="K911" s="13" t="n"/>
      <c r="L911" s="13" t="n"/>
      <c r="M911" s="13" t="n"/>
      <c r="N911" s="13" t="n"/>
      <c r="O911" s="13" t="n"/>
      <c r="P911" s="13" t="n"/>
      <c r="Q911" s="2" t="n"/>
      <c r="R911" s="12" t="n"/>
      <c r="S911" s="2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14" t="n"/>
      <c r="I912" s="14" t="n"/>
      <c r="J912" s="15" t="n"/>
      <c r="K912" s="15" t="n"/>
      <c r="L912" s="15" t="n"/>
      <c r="M912" s="15" t="n"/>
      <c r="N912" s="15" t="n"/>
      <c r="O912" s="15" t="n"/>
      <c r="P912" s="15" t="n"/>
      <c r="Q912" s="6" t="n"/>
      <c r="R912" s="14" t="n"/>
      <c r="S912" s="6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12" t="n"/>
      <c r="I913" s="12" t="n"/>
      <c r="J913" s="13" t="n"/>
      <c r="K913" s="13" t="n"/>
      <c r="L913" s="13" t="n"/>
      <c r="M913" s="13" t="n"/>
      <c r="N913" s="13" t="n"/>
      <c r="O913" s="13" t="n"/>
      <c r="P913" s="13" t="n"/>
      <c r="Q913" s="2" t="n"/>
      <c r="R913" s="12" t="n"/>
      <c r="S913" s="2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14" t="n"/>
      <c r="I914" s="14" t="n"/>
      <c r="J914" s="15" t="n"/>
      <c r="K914" s="15" t="n"/>
      <c r="L914" s="15" t="n"/>
      <c r="M914" s="15" t="n"/>
      <c r="N914" s="15" t="n"/>
      <c r="O914" s="15" t="n"/>
      <c r="P914" s="15" t="n"/>
      <c r="Q914" s="6" t="n"/>
      <c r="R914" s="14" t="n"/>
      <c r="S914" s="6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12" t="n"/>
      <c r="I915" s="12" t="n"/>
      <c r="J915" s="13" t="n"/>
      <c r="K915" s="13" t="n"/>
      <c r="L915" s="13" t="n"/>
      <c r="M915" s="13" t="n"/>
      <c r="N915" s="13" t="n"/>
      <c r="O915" s="13" t="n"/>
      <c r="P915" s="13" t="n"/>
      <c r="Q915" s="2" t="n"/>
      <c r="R915" s="12" t="n"/>
      <c r="S915" s="2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14" t="n"/>
      <c r="I916" s="14" t="n"/>
      <c r="J916" s="15" t="n"/>
      <c r="K916" s="15" t="n"/>
      <c r="L916" s="15" t="n"/>
      <c r="M916" s="15" t="n"/>
      <c r="N916" s="15" t="n"/>
      <c r="O916" s="15" t="n"/>
      <c r="P916" s="15" t="n"/>
      <c r="Q916" s="6" t="n"/>
      <c r="R916" s="14" t="n"/>
      <c r="S916" s="6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12" t="n"/>
      <c r="I917" s="12" t="n"/>
      <c r="J917" s="13" t="n"/>
      <c r="K917" s="13" t="n"/>
      <c r="L917" s="13" t="n"/>
      <c r="M917" s="13" t="n"/>
      <c r="N917" s="13" t="n"/>
      <c r="O917" s="13" t="n"/>
      <c r="P917" s="13" t="n"/>
      <c r="Q917" s="2" t="n"/>
      <c r="R917" s="12" t="n"/>
      <c r="S917" s="2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14" t="n"/>
      <c r="I918" s="14" t="n"/>
      <c r="J918" s="15" t="n"/>
      <c r="K918" s="15" t="n"/>
      <c r="L918" s="15" t="n"/>
      <c r="M918" s="15" t="n"/>
      <c r="N918" s="15" t="n"/>
      <c r="O918" s="15" t="n"/>
      <c r="P918" s="15" t="n"/>
      <c r="Q918" s="6" t="n"/>
      <c r="R918" s="14" t="n"/>
      <c r="S918" s="6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12" t="n"/>
      <c r="I919" s="12" t="n"/>
      <c r="J919" s="13" t="n"/>
      <c r="K919" s="13" t="n"/>
      <c r="L919" s="13" t="n"/>
      <c r="M919" s="13" t="n"/>
      <c r="N919" s="13" t="n"/>
      <c r="O919" s="13" t="n"/>
      <c r="P919" s="13" t="n"/>
      <c r="Q919" s="2" t="n"/>
      <c r="R919" s="12" t="n"/>
      <c r="S919" s="2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14" t="n"/>
      <c r="I920" s="14" t="n"/>
      <c r="J920" s="15" t="n"/>
      <c r="K920" s="15" t="n"/>
      <c r="L920" s="15" t="n"/>
      <c r="M920" s="15" t="n"/>
      <c r="N920" s="15" t="n"/>
      <c r="O920" s="15" t="n"/>
      <c r="P920" s="15" t="n"/>
      <c r="Q920" s="6" t="n"/>
      <c r="R920" s="14" t="n"/>
      <c r="S920" s="6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12" t="n"/>
      <c r="I921" s="12" t="n"/>
      <c r="J921" s="13" t="n"/>
      <c r="K921" s="13" t="n"/>
      <c r="L921" s="13" t="n"/>
      <c r="M921" s="13" t="n"/>
      <c r="N921" s="13" t="n"/>
      <c r="O921" s="13" t="n"/>
      <c r="P921" s="13" t="n"/>
      <c r="Q921" s="2" t="n"/>
      <c r="R921" s="12" t="n"/>
      <c r="S921" s="2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14" t="n"/>
      <c r="I922" s="14" t="n"/>
      <c r="J922" s="15" t="n"/>
      <c r="K922" s="15" t="n"/>
      <c r="L922" s="15" t="n"/>
      <c r="M922" s="15" t="n"/>
      <c r="N922" s="15" t="n"/>
      <c r="O922" s="15" t="n"/>
      <c r="P922" s="15" t="n"/>
      <c r="Q922" s="6" t="n"/>
      <c r="R922" s="14" t="n"/>
      <c r="S922" s="6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12" t="n"/>
      <c r="I923" s="12" t="n"/>
      <c r="J923" s="13" t="n"/>
      <c r="K923" s="13" t="n"/>
      <c r="L923" s="13" t="n"/>
      <c r="M923" s="13" t="n"/>
      <c r="N923" s="13" t="n"/>
      <c r="O923" s="13" t="n"/>
      <c r="P923" s="13" t="n"/>
      <c r="Q923" s="2" t="n"/>
      <c r="R923" s="12" t="n"/>
      <c r="S923" s="2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14" t="n"/>
      <c r="I924" s="14" t="n"/>
      <c r="J924" s="15" t="n"/>
      <c r="K924" s="15" t="n"/>
      <c r="L924" s="15" t="n"/>
      <c r="M924" s="15" t="n"/>
      <c r="N924" s="15" t="n"/>
      <c r="O924" s="15" t="n"/>
      <c r="P924" s="15" t="n"/>
      <c r="Q924" s="6" t="n"/>
      <c r="R924" s="14" t="n"/>
      <c r="S924" s="6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12" t="n"/>
      <c r="I925" s="12" t="n"/>
      <c r="J925" s="13" t="n"/>
      <c r="K925" s="13" t="n"/>
      <c r="L925" s="13" t="n"/>
      <c r="M925" s="13" t="n"/>
      <c r="N925" s="13" t="n"/>
      <c r="O925" s="13" t="n"/>
      <c r="P925" s="13" t="n"/>
      <c r="Q925" s="2" t="n"/>
      <c r="R925" s="12" t="n"/>
      <c r="S925" s="2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14" t="n"/>
      <c r="I926" s="14" t="n"/>
      <c r="J926" s="15" t="n"/>
      <c r="K926" s="15" t="n"/>
      <c r="L926" s="15" t="n"/>
      <c r="M926" s="15" t="n"/>
      <c r="N926" s="15" t="n"/>
      <c r="O926" s="15" t="n"/>
      <c r="P926" s="15" t="n"/>
      <c r="Q926" s="6" t="n"/>
      <c r="R926" s="14" t="n"/>
      <c r="S926" s="6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12" t="n"/>
      <c r="I927" s="12" t="n"/>
      <c r="J927" s="13" t="n"/>
      <c r="K927" s="13" t="n"/>
      <c r="L927" s="13" t="n"/>
      <c r="M927" s="13" t="n"/>
      <c r="N927" s="13" t="n"/>
      <c r="O927" s="13" t="n"/>
      <c r="P927" s="13" t="n"/>
      <c r="Q927" s="2" t="n"/>
      <c r="R927" s="12" t="n"/>
      <c r="S927" s="2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14" t="n"/>
      <c r="I928" s="14" t="n"/>
      <c r="J928" s="15" t="n"/>
      <c r="K928" s="15" t="n"/>
      <c r="L928" s="15" t="n"/>
      <c r="M928" s="15" t="n"/>
      <c r="N928" s="15" t="n"/>
      <c r="O928" s="15" t="n"/>
      <c r="P928" s="15" t="n"/>
      <c r="Q928" s="6" t="n"/>
      <c r="R928" s="14" t="n"/>
      <c r="S928" s="6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12" t="n"/>
      <c r="I929" s="12" t="n"/>
      <c r="J929" s="13" t="n"/>
      <c r="K929" s="13" t="n"/>
      <c r="L929" s="13" t="n"/>
      <c r="M929" s="13" t="n"/>
      <c r="N929" s="13" t="n"/>
      <c r="O929" s="13" t="n"/>
      <c r="P929" s="13" t="n"/>
      <c r="Q929" s="2" t="n"/>
      <c r="R929" s="12" t="n"/>
      <c r="S929" s="2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14" t="n"/>
      <c r="I930" s="14" t="n"/>
      <c r="J930" s="15" t="n"/>
      <c r="K930" s="15" t="n"/>
      <c r="L930" s="15" t="n"/>
      <c r="M930" s="15" t="n"/>
      <c r="N930" s="15" t="n"/>
      <c r="O930" s="15" t="n"/>
      <c r="P930" s="15" t="n"/>
      <c r="Q930" s="6" t="n"/>
      <c r="R930" s="14" t="n"/>
      <c r="S930" s="6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12" t="n"/>
      <c r="I931" s="12" t="n"/>
      <c r="J931" s="13" t="n"/>
      <c r="K931" s="13" t="n"/>
      <c r="L931" s="13" t="n"/>
      <c r="M931" s="13" t="n"/>
      <c r="N931" s="13" t="n"/>
      <c r="O931" s="13" t="n"/>
      <c r="P931" s="13" t="n"/>
      <c r="Q931" s="2" t="n"/>
      <c r="R931" s="12" t="n"/>
      <c r="S931" s="2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14" t="n"/>
      <c r="I932" s="14" t="n"/>
      <c r="J932" s="15" t="n"/>
      <c r="K932" s="15" t="n"/>
      <c r="L932" s="15" t="n"/>
      <c r="M932" s="15" t="n"/>
      <c r="N932" s="15" t="n"/>
      <c r="O932" s="15" t="n"/>
      <c r="P932" s="15" t="n"/>
      <c r="Q932" s="6" t="n"/>
      <c r="R932" s="14" t="n"/>
      <c r="S932" s="6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12" t="n"/>
      <c r="I933" s="12" t="n"/>
      <c r="J933" s="13" t="n"/>
      <c r="K933" s="13" t="n"/>
      <c r="L933" s="13" t="n"/>
      <c r="M933" s="13" t="n"/>
      <c r="N933" s="13" t="n"/>
      <c r="O933" s="13" t="n"/>
      <c r="P933" s="13" t="n"/>
      <c r="Q933" s="2" t="n"/>
      <c r="R933" s="12" t="n"/>
      <c r="S933" s="2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14" t="n"/>
      <c r="I934" s="14" t="n"/>
      <c r="J934" s="15" t="n"/>
      <c r="K934" s="15" t="n"/>
      <c r="L934" s="15" t="n"/>
      <c r="M934" s="15" t="n"/>
      <c r="N934" s="15" t="n"/>
      <c r="O934" s="15" t="n"/>
      <c r="P934" s="15" t="n"/>
      <c r="Q934" s="6" t="n"/>
      <c r="R934" s="14" t="n"/>
      <c r="S934" s="6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12" t="n"/>
      <c r="I935" s="12" t="n"/>
      <c r="J935" s="13" t="n"/>
      <c r="K935" s="13" t="n"/>
      <c r="L935" s="13" t="n"/>
      <c r="M935" s="13" t="n"/>
      <c r="N935" s="13" t="n"/>
      <c r="O935" s="13" t="n"/>
      <c r="P935" s="13" t="n"/>
      <c r="Q935" s="2" t="n"/>
      <c r="R935" s="12" t="n"/>
      <c r="S935" s="2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14" t="n"/>
      <c r="I936" s="14" t="n"/>
      <c r="J936" s="15" t="n"/>
      <c r="K936" s="15" t="n"/>
      <c r="L936" s="15" t="n"/>
      <c r="M936" s="15" t="n"/>
      <c r="N936" s="15" t="n"/>
      <c r="O936" s="15" t="n"/>
      <c r="P936" s="15" t="n"/>
      <c r="Q936" s="6" t="n"/>
      <c r="R936" s="14" t="n"/>
      <c r="S936" s="6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12" t="n"/>
      <c r="I937" s="12" t="n"/>
      <c r="J937" s="13" t="n"/>
      <c r="K937" s="13" t="n"/>
      <c r="L937" s="13" t="n"/>
      <c r="M937" s="13" t="n"/>
      <c r="N937" s="13" t="n"/>
      <c r="O937" s="13" t="n"/>
      <c r="P937" s="13" t="n"/>
      <c r="Q937" s="2" t="n"/>
      <c r="R937" s="12" t="n"/>
      <c r="S937" s="2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14" t="n"/>
      <c r="I938" s="14" t="n"/>
      <c r="J938" s="15" t="n"/>
      <c r="K938" s="15" t="n"/>
      <c r="L938" s="15" t="n"/>
      <c r="M938" s="15" t="n"/>
      <c r="N938" s="15" t="n"/>
      <c r="O938" s="15" t="n"/>
      <c r="P938" s="15" t="n"/>
      <c r="Q938" s="6" t="n"/>
      <c r="R938" s="14" t="n"/>
      <c r="S938" s="6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12" t="n"/>
      <c r="I939" s="12" t="n"/>
      <c r="J939" s="13" t="n"/>
      <c r="K939" s="13" t="n"/>
      <c r="L939" s="13" t="n"/>
      <c r="M939" s="13" t="n"/>
      <c r="N939" s="13" t="n"/>
      <c r="O939" s="13" t="n"/>
      <c r="P939" s="13" t="n"/>
      <c r="Q939" s="2" t="n"/>
      <c r="R939" s="12" t="n"/>
      <c r="S939" s="2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14" t="n"/>
      <c r="I940" s="14" t="n"/>
      <c r="J940" s="15" t="n"/>
      <c r="K940" s="15" t="n"/>
      <c r="L940" s="15" t="n"/>
      <c r="M940" s="15" t="n"/>
      <c r="N940" s="15" t="n"/>
      <c r="O940" s="15" t="n"/>
      <c r="P940" s="15" t="n"/>
      <c r="Q940" s="6" t="n"/>
      <c r="R940" s="14" t="n"/>
      <c r="S940" s="6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12" t="n"/>
      <c r="I941" s="12" t="n"/>
      <c r="J941" s="13" t="n"/>
      <c r="K941" s="13" t="n"/>
      <c r="L941" s="13" t="n"/>
      <c r="M941" s="13" t="n"/>
      <c r="N941" s="13" t="n"/>
      <c r="O941" s="13" t="n"/>
      <c r="P941" s="13" t="n"/>
      <c r="Q941" s="2" t="n"/>
      <c r="R941" s="12" t="n"/>
      <c r="S941" s="2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14" t="n"/>
      <c r="I942" s="14" t="n"/>
      <c r="J942" s="15" t="n"/>
      <c r="K942" s="15" t="n"/>
      <c r="L942" s="15" t="n"/>
      <c r="M942" s="15" t="n"/>
      <c r="N942" s="15" t="n"/>
      <c r="O942" s="15" t="n"/>
      <c r="P942" s="15" t="n"/>
      <c r="Q942" s="6" t="n"/>
      <c r="R942" s="14" t="n"/>
      <c r="S942" s="6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12" t="n"/>
      <c r="I943" s="12" t="n"/>
      <c r="J943" s="13" t="n"/>
      <c r="K943" s="13" t="n"/>
      <c r="L943" s="13" t="n"/>
      <c r="M943" s="13" t="n"/>
      <c r="N943" s="13" t="n"/>
      <c r="O943" s="13" t="n"/>
      <c r="P943" s="13" t="n"/>
      <c r="Q943" s="2" t="n"/>
      <c r="R943" s="12" t="n"/>
      <c r="S943" s="2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14" t="n"/>
      <c r="I944" s="14" t="n"/>
      <c r="J944" s="15" t="n"/>
      <c r="K944" s="15" t="n"/>
      <c r="L944" s="15" t="n"/>
      <c r="M944" s="15" t="n"/>
      <c r="N944" s="15" t="n"/>
      <c r="O944" s="15" t="n"/>
      <c r="P944" s="15" t="n"/>
      <c r="Q944" s="6" t="n"/>
      <c r="R944" s="14" t="n"/>
      <c r="S944" s="6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12" t="n"/>
      <c r="I945" s="12" t="n"/>
      <c r="J945" s="13" t="n"/>
      <c r="K945" s="13" t="n"/>
      <c r="L945" s="13" t="n"/>
      <c r="M945" s="13" t="n"/>
      <c r="N945" s="13" t="n"/>
      <c r="O945" s="13" t="n"/>
      <c r="P945" s="13" t="n"/>
      <c r="Q945" s="2" t="n"/>
      <c r="R945" s="12" t="n"/>
      <c r="S945" s="2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14" t="n"/>
      <c r="I946" s="14" t="n"/>
      <c r="J946" s="15" t="n"/>
      <c r="K946" s="15" t="n"/>
      <c r="L946" s="15" t="n"/>
      <c r="M946" s="15" t="n"/>
      <c r="N946" s="15" t="n"/>
      <c r="O946" s="15" t="n"/>
      <c r="P946" s="15" t="n"/>
      <c r="Q946" s="6" t="n"/>
      <c r="R946" s="14" t="n"/>
      <c r="S946" s="6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12" t="n"/>
      <c r="I947" s="12" t="n"/>
      <c r="J947" s="13" t="n"/>
      <c r="K947" s="13" t="n"/>
      <c r="L947" s="13" t="n"/>
      <c r="M947" s="13" t="n"/>
      <c r="N947" s="13" t="n"/>
      <c r="O947" s="13" t="n"/>
      <c r="P947" s="13" t="n"/>
      <c r="Q947" s="2" t="n"/>
      <c r="R947" s="12" t="n"/>
      <c r="S947" s="2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14" t="n"/>
      <c r="I948" s="14" t="n"/>
      <c r="J948" s="15" t="n"/>
      <c r="K948" s="15" t="n"/>
      <c r="L948" s="15" t="n"/>
      <c r="M948" s="15" t="n"/>
      <c r="N948" s="15" t="n"/>
      <c r="O948" s="15" t="n"/>
      <c r="P948" s="15" t="n"/>
      <c r="Q948" s="6" t="n"/>
      <c r="R948" s="14" t="n"/>
      <c r="S948" s="6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12" t="n"/>
      <c r="I949" s="12" t="n"/>
      <c r="J949" s="13" t="n"/>
      <c r="K949" s="13" t="n"/>
      <c r="L949" s="13" t="n"/>
      <c r="M949" s="13" t="n"/>
      <c r="N949" s="13" t="n"/>
      <c r="O949" s="13" t="n"/>
      <c r="P949" s="13" t="n"/>
      <c r="Q949" s="2" t="n"/>
      <c r="R949" s="12" t="n"/>
      <c r="S949" s="2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14" t="n"/>
      <c r="I950" s="14" t="n"/>
      <c r="J950" s="15" t="n"/>
      <c r="K950" s="15" t="n"/>
      <c r="L950" s="15" t="n"/>
      <c r="M950" s="15" t="n"/>
      <c r="N950" s="15" t="n"/>
      <c r="O950" s="15" t="n"/>
      <c r="P950" s="15" t="n"/>
      <c r="Q950" s="6" t="n"/>
      <c r="R950" s="14" t="n"/>
      <c r="S950" s="6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12" t="n"/>
      <c r="I951" s="12" t="n"/>
      <c r="J951" s="13" t="n"/>
      <c r="K951" s="13" t="n"/>
      <c r="L951" s="13" t="n"/>
      <c r="M951" s="13" t="n"/>
      <c r="N951" s="13" t="n"/>
      <c r="O951" s="13" t="n"/>
      <c r="P951" s="13" t="n"/>
      <c r="Q951" s="2" t="n"/>
      <c r="R951" s="12" t="n"/>
      <c r="S951" s="2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14" t="n"/>
      <c r="I952" s="14" t="n"/>
      <c r="J952" s="15" t="n"/>
      <c r="K952" s="15" t="n"/>
      <c r="L952" s="15" t="n"/>
      <c r="M952" s="15" t="n"/>
      <c r="N952" s="15" t="n"/>
      <c r="O952" s="15" t="n"/>
      <c r="P952" s="15" t="n"/>
      <c r="Q952" s="6" t="n"/>
      <c r="R952" s="14" t="n"/>
      <c r="S952" s="6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12" t="n"/>
      <c r="I953" s="12" t="n"/>
      <c r="J953" s="13" t="n"/>
      <c r="K953" s="13" t="n"/>
      <c r="L953" s="13" t="n"/>
      <c r="M953" s="13" t="n"/>
      <c r="N953" s="13" t="n"/>
      <c r="O953" s="13" t="n"/>
      <c r="P953" s="13" t="n"/>
      <c r="Q953" s="2" t="n"/>
      <c r="R953" s="12" t="n"/>
      <c r="S953" s="2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14" t="n"/>
      <c r="I954" s="14" t="n"/>
      <c r="J954" s="15" t="n"/>
      <c r="K954" s="15" t="n"/>
      <c r="L954" s="15" t="n"/>
      <c r="M954" s="15" t="n"/>
      <c r="N954" s="15" t="n"/>
      <c r="O954" s="15" t="n"/>
      <c r="P954" s="15" t="n"/>
      <c r="Q954" s="6" t="n"/>
      <c r="R954" s="14" t="n"/>
      <c r="S954" s="6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12" t="n"/>
      <c r="I955" s="12" t="n"/>
      <c r="J955" s="13" t="n"/>
      <c r="K955" s="13" t="n"/>
      <c r="L955" s="13" t="n"/>
      <c r="M955" s="13" t="n"/>
      <c r="N955" s="13" t="n"/>
      <c r="O955" s="13" t="n"/>
      <c r="P955" s="13" t="n"/>
      <c r="Q955" s="2" t="n"/>
      <c r="R955" s="12" t="n"/>
      <c r="S955" s="2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14" t="n"/>
      <c r="I956" s="14" t="n"/>
      <c r="J956" s="15" t="n"/>
      <c r="K956" s="15" t="n"/>
      <c r="L956" s="15" t="n"/>
      <c r="M956" s="15" t="n"/>
      <c r="N956" s="15" t="n"/>
      <c r="O956" s="15" t="n"/>
      <c r="P956" s="15" t="n"/>
      <c r="Q956" s="6" t="n"/>
      <c r="R956" s="14" t="n"/>
      <c r="S956" s="6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12" t="n"/>
      <c r="I957" s="12" t="n"/>
      <c r="J957" s="13" t="n"/>
      <c r="K957" s="13" t="n"/>
      <c r="L957" s="13" t="n"/>
      <c r="M957" s="13" t="n"/>
      <c r="N957" s="13" t="n"/>
      <c r="O957" s="13" t="n"/>
      <c r="P957" s="13" t="n"/>
      <c r="Q957" s="2" t="n"/>
      <c r="R957" s="12" t="n"/>
      <c r="S957" s="2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14" t="n"/>
      <c r="I958" s="14" t="n"/>
      <c r="J958" s="15" t="n"/>
      <c r="K958" s="15" t="n"/>
      <c r="L958" s="15" t="n"/>
      <c r="M958" s="15" t="n"/>
      <c r="N958" s="15" t="n"/>
      <c r="O958" s="15" t="n"/>
      <c r="P958" s="15" t="n"/>
      <c r="Q958" s="6" t="n"/>
      <c r="R958" s="14" t="n"/>
      <c r="S958" s="6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12" t="n"/>
      <c r="I959" s="12" t="n"/>
      <c r="J959" s="13" t="n"/>
      <c r="K959" s="13" t="n"/>
      <c r="L959" s="13" t="n"/>
      <c r="M959" s="13" t="n"/>
      <c r="N959" s="13" t="n"/>
      <c r="O959" s="13" t="n"/>
      <c r="P959" s="13" t="n"/>
      <c r="Q959" s="2" t="n"/>
      <c r="R959" s="12" t="n"/>
      <c r="S959" s="2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14" t="n"/>
      <c r="I960" s="14" t="n"/>
      <c r="J960" s="15" t="n"/>
      <c r="K960" s="15" t="n"/>
      <c r="L960" s="15" t="n"/>
      <c r="M960" s="15" t="n"/>
      <c r="N960" s="15" t="n"/>
      <c r="O960" s="15" t="n"/>
      <c r="P960" s="15" t="n"/>
      <c r="Q960" s="6" t="n"/>
      <c r="R960" s="14" t="n"/>
      <c r="S960" s="6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12" t="n"/>
      <c r="I961" s="12" t="n"/>
      <c r="J961" s="13" t="n"/>
      <c r="K961" s="13" t="n"/>
      <c r="L961" s="13" t="n"/>
      <c r="M961" s="13" t="n"/>
      <c r="N961" s="13" t="n"/>
      <c r="O961" s="13" t="n"/>
      <c r="P961" s="13" t="n"/>
      <c r="Q961" s="2" t="n"/>
      <c r="R961" s="12" t="n"/>
      <c r="S961" s="2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14" t="n"/>
      <c r="I962" s="14" t="n"/>
      <c r="J962" s="15" t="n"/>
      <c r="K962" s="15" t="n"/>
      <c r="L962" s="15" t="n"/>
      <c r="M962" s="15" t="n"/>
      <c r="N962" s="15" t="n"/>
      <c r="O962" s="15" t="n"/>
      <c r="P962" s="15" t="n"/>
      <c r="Q962" s="6" t="n"/>
      <c r="R962" s="14" t="n"/>
      <c r="S962" s="6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12" t="n"/>
      <c r="I963" s="12" t="n"/>
      <c r="J963" s="13" t="n"/>
      <c r="K963" s="13" t="n"/>
      <c r="L963" s="13" t="n"/>
      <c r="M963" s="13" t="n"/>
      <c r="N963" s="13" t="n"/>
      <c r="O963" s="13" t="n"/>
      <c r="P963" s="13" t="n"/>
      <c r="Q963" s="2" t="n"/>
      <c r="R963" s="12" t="n"/>
      <c r="S963" s="2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14" t="n"/>
      <c r="I964" s="14" t="n"/>
      <c r="J964" s="15" t="n"/>
      <c r="K964" s="15" t="n"/>
      <c r="L964" s="15" t="n"/>
      <c r="M964" s="15" t="n"/>
      <c r="N964" s="15" t="n"/>
      <c r="O964" s="15" t="n"/>
      <c r="P964" s="15" t="n"/>
      <c r="Q964" s="6" t="n"/>
      <c r="R964" s="14" t="n"/>
      <c r="S964" s="6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12" t="n"/>
      <c r="I965" s="12" t="n"/>
      <c r="J965" s="13" t="n"/>
      <c r="K965" s="13" t="n"/>
      <c r="L965" s="13" t="n"/>
      <c r="M965" s="13" t="n"/>
      <c r="N965" s="13" t="n"/>
      <c r="O965" s="13" t="n"/>
      <c r="P965" s="13" t="n"/>
      <c r="Q965" s="2" t="n"/>
      <c r="R965" s="12" t="n"/>
      <c r="S965" s="2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14" t="n"/>
      <c r="I966" s="14" t="n"/>
      <c r="J966" s="15" t="n"/>
      <c r="K966" s="15" t="n"/>
      <c r="L966" s="15" t="n"/>
      <c r="M966" s="15" t="n"/>
      <c r="N966" s="15" t="n"/>
      <c r="O966" s="15" t="n"/>
      <c r="P966" s="15" t="n"/>
      <c r="Q966" s="6" t="n"/>
      <c r="R966" s="14" t="n"/>
      <c r="S966" s="6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12" t="n"/>
      <c r="I967" s="12" t="n"/>
      <c r="J967" s="13" t="n"/>
      <c r="K967" s="13" t="n"/>
      <c r="L967" s="13" t="n"/>
      <c r="M967" s="13" t="n"/>
      <c r="N967" s="13" t="n"/>
      <c r="O967" s="13" t="n"/>
      <c r="P967" s="13" t="n"/>
      <c r="Q967" s="2" t="n"/>
      <c r="R967" s="12" t="n"/>
      <c r="S967" s="2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14" t="n"/>
      <c r="I968" s="14" t="n"/>
      <c r="J968" s="15" t="n"/>
      <c r="K968" s="15" t="n"/>
      <c r="L968" s="15" t="n"/>
      <c r="M968" s="15" t="n"/>
      <c r="N968" s="15" t="n"/>
      <c r="O968" s="15" t="n"/>
      <c r="P968" s="15" t="n"/>
      <c r="Q968" s="6" t="n"/>
      <c r="R968" s="14" t="n"/>
      <c r="S968" s="6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12" t="n"/>
      <c r="I969" s="12" t="n"/>
      <c r="J969" s="13" t="n"/>
      <c r="K969" s="13" t="n"/>
      <c r="L969" s="13" t="n"/>
      <c r="M969" s="13" t="n"/>
      <c r="N969" s="13" t="n"/>
      <c r="O969" s="13" t="n"/>
      <c r="P969" s="13" t="n"/>
      <c r="Q969" s="2" t="n"/>
      <c r="R969" s="12" t="n"/>
      <c r="S969" s="2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14" t="n"/>
      <c r="I970" s="14" t="n"/>
      <c r="J970" s="15" t="n"/>
      <c r="K970" s="15" t="n"/>
      <c r="L970" s="15" t="n"/>
      <c r="M970" s="15" t="n"/>
      <c r="N970" s="15" t="n"/>
      <c r="O970" s="15" t="n"/>
      <c r="P970" s="15" t="n"/>
      <c r="Q970" s="6" t="n"/>
      <c r="R970" s="14" t="n"/>
      <c r="S970" s="6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12" t="n"/>
      <c r="I971" s="12" t="n"/>
      <c r="J971" s="13" t="n"/>
      <c r="K971" s="13" t="n"/>
      <c r="L971" s="13" t="n"/>
      <c r="M971" s="13" t="n"/>
      <c r="N971" s="13" t="n"/>
      <c r="O971" s="13" t="n"/>
      <c r="P971" s="13" t="n"/>
      <c r="Q971" s="2" t="n"/>
      <c r="R971" s="12" t="n"/>
      <c r="S971" s="2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14" t="n"/>
      <c r="I972" s="14" t="n"/>
      <c r="J972" s="15" t="n"/>
      <c r="K972" s="15" t="n"/>
      <c r="L972" s="15" t="n"/>
      <c r="M972" s="15" t="n"/>
      <c r="N972" s="15" t="n"/>
      <c r="O972" s="15" t="n"/>
      <c r="P972" s="15" t="n"/>
      <c r="Q972" s="6" t="n"/>
      <c r="R972" s="14" t="n"/>
      <c r="S972" s="6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12" t="n"/>
      <c r="I973" s="12" t="n"/>
      <c r="J973" s="13" t="n"/>
      <c r="K973" s="13" t="n"/>
      <c r="L973" s="13" t="n"/>
      <c r="M973" s="13" t="n"/>
      <c r="N973" s="13" t="n"/>
      <c r="O973" s="13" t="n"/>
      <c r="P973" s="13" t="n"/>
      <c r="Q973" s="2" t="n"/>
      <c r="R973" s="12" t="n"/>
      <c r="S973" s="2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14" t="n"/>
      <c r="I974" s="14" t="n"/>
      <c r="J974" s="15" t="n"/>
      <c r="K974" s="15" t="n"/>
      <c r="L974" s="15" t="n"/>
      <c r="M974" s="15" t="n"/>
      <c r="N974" s="15" t="n"/>
      <c r="O974" s="15" t="n"/>
      <c r="P974" s="15" t="n"/>
      <c r="Q974" s="6" t="n"/>
      <c r="R974" s="14" t="n"/>
      <c r="S974" s="6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12" t="n"/>
      <c r="I975" s="12" t="n"/>
      <c r="J975" s="13" t="n"/>
      <c r="K975" s="13" t="n"/>
      <c r="L975" s="13" t="n"/>
      <c r="M975" s="13" t="n"/>
      <c r="N975" s="13" t="n"/>
      <c r="O975" s="13" t="n"/>
      <c r="P975" s="13" t="n"/>
      <c r="Q975" s="2" t="n"/>
      <c r="R975" s="12" t="n"/>
      <c r="S975" s="2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14" t="n"/>
      <c r="I976" s="14" t="n"/>
      <c r="J976" s="15" t="n"/>
      <c r="K976" s="15" t="n"/>
      <c r="L976" s="15" t="n"/>
      <c r="M976" s="15" t="n"/>
      <c r="N976" s="15" t="n"/>
      <c r="O976" s="15" t="n"/>
      <c r="P976" s="15" t="n"/>
      <c r="Q976" s="6" t="n"/>
      <c r="R976" s="14" t="n"/>
      <c r="S976" s="6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12" t="n"/>
      <c r="I977" s="12" t="n"/>
      <c r="J977" s="13" t="n"/>
      <c r="K977" s="13" t="n"/>
      <c r="L977" s="13" t="n"/>
      <c r="M977" s="13" t="n"/>
      <c r="N977" s="13" t="n"/>
      <c r="O977" s="13" t="n"/>
      <c r="P977" s="13" t="n"/>
      <c r="Q977" s="2" t="n"/>
      <c r="R977" s="12" t="n"/>
      <c r="S977" s="2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14" t="n"/>
      <c r="I978" s="14" t="n"/>
      <c r="J978" s="15" t="n"/>
      <c r="K978" s="15" t="n"/>
      <c r="L978" s="15" t="n"/>
      <c r="M978" s="15" t="n"/>
      <c r="N978" s="15" t="n"/>
      <c r="O978" s="15" t="n"/>
      <c r="P978" s="15" t="n"/>
      <c r="Q978" s="6" t="n"/>
      <c r="R978" s="14" t="n"/>
      <c r="S978" s="6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12" t="n"/>
      <c r="I979" s="12" t="n"/>
      <c r="J979" s="13" t="n"/>
      <c r="K979" s="13" t="n"/>
      <c r="L979" s="13" t="n"/>
      <c r="M979" s="13" t="n"/>
      <c r="N979" s="13" t="n"/>
      <c r="O979" s="13" t="n"/>
      <c r="P979" s="13" t="n"/>
      <c r="Q979" s="2" t="n"/>
      <c r="R979" s="12" t="n"/>
      <c r="S979" s="2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14" t="n"/>
      <c r="I980" s="14" t="n"/>
      <c r="J980" s="15" t="n"/>
      <c r="K980" s="15" t="n"/>
      <c r="L980" s="15" t="n"/>
      <c r="M980" s="15" t="n"/>
      <c r="N980" s="15" t="n"/>
      <c r="O980" s="15" t="n"/>
      <c r="P980" s="15" t="n"/>
      <c r="Q980" s="6" t="n"/>
      <c r="R980" s="14" t="n"/>
      <c r="S980" s="6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12" t="n"/>
      <c r="I981" s="12" t="n"/>
      <c r="J981" s="13" t="n"/>
      <c r="K981" s="13" t="n"/>
      <c r="L981" s="13" t="n"/>
      <c r="M981" s="13" t="n"/>
      <c r="N981" s="13" t="n"/>
      <c r="O981" s="13" t="n"/>
      <c r="P981" s="13" t="n"/>
      <c r="Q981" s="2" t="n"/>
      <c r="R981" s="12" t="n"/>
      <c r="S981" s="2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14" t="n"/>
      <c r="I982" s="14" t="n"/>
      <c r="J982" s="15" t="n"/>
      <c r="K982" s="15" t="n"/>
      <c r="L982" s="15" t="n"/>
      <c r="M982" s="15" t="n"/>
      <c r="N982" s="15" t="n"/>
      <c r="O982" s="15" t="n"/>
      <c r="P982" s="15" t="n"/>
      <c r="Q982" s="6" t="n"/>
      <c r="R982" s="14" t="n"/>
      <c r="S982" s="6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12" t="n"/>
      <c r="I983" s="12" t="n"/>
      <c r="J983" s="13" t="n"/>
      <c r="K983" s="13" t="n"/>
      <c r="L983" s="13" t="n"/>
      <c r="M983" s="13" t="n"/>
      <c r="N983" s="13" t="n"/>
      <c r="O983" s="13" t="n"/>
      <c r="P983" s="13" t="n"/>
      <c r="Q983" s="2" t="n"/>
      <c r="R983" s="12" t="n"/>
      <c r="S983" s="2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14" t="n"/>
      <c r="I984" s="14" t="n"/>
      <c r="J984" s="15" t="n"/>
      <c r="K984" s="15" t="n"/>
      <c r="L984" s="15" t="n"/>
      <c r="M984" s="15" t="n"/>
      <c r="N984" s="15" t="n"/>
      <c r="O984" s="15" t="n"/>
      <c r="P984" s="15" t="n"/>
      <c r="Q984" s="6" t="n"/>
      <c r="R984" s="14" t="n"/>
      <c r="S984" s="6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12" t="n"/>
      <c r="I985" s="12" t="n"/>
      <c r="J985" s="13" t="n"/>
      <c r="K985" s="13" t="n"/>
      <c r="L985" s="13" t="n"/>
      <c r="M985" s="13" t="n"/>
      <c r="N985" s="13" t="n"/>
      <c r="O985" s="13" t="n"/>
      <c r="P985" s="13" t="n"/>
      <c r="Q985" s="2" t="n"/>
      <c r="R985" s="12" t="n"/>
      <c r="S985" s="2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14" t="n"/>
      <c r="I986" s="14" t="n"/>
      <c r="J986" s="15" t="n"/>
      <c r="K986" s="15" t="n"/>
      <c r="L986" s="15" t="n"/>
      <c r="M986" s="15" t="n"/>
      <c r="N986" s="15" t="n"/>
      <c r="O986" s="15" t="n"/>
      <c r="P986" s="15" t="n"/>
      <c r="Q986" s="6" t="n"/>
      <c r="R986" s="14" t="n"/>
      <c r="S986" s="6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12" t="n"/>
      <c r="I987" s="12" t="n"/>
      <c r="J987" s="13" t="n"/>
      <c r="K987" s="13" t="n"/>
      <c r="L987" s="13" t="n"/>
      <c r="M987" s="13" t="n"/>
      <c r="N987" s="13" t="n"/>
      <c r="O987" s="13" t="n"/>
      <c r="P987" s="13" t="n"/>
      <c r="Q987" s="2" t="n"/>
      <c r="R987" s="12" t="n"/>
      <c r="S987" s="2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14" t="n"/>
      <c r="I988" s="14" t="n"/>
      <c r="J988" s="15" t="n"/>
      <c r="K988" s="15" t="n"/>
      <c r="L988" s="15" t="n"/>
      <c r="M988" s="15" t="n"/>
      <c r="N988" s="15" t="n"/>
      <c r="O988" s="15" t="n"/>
      <c r="P988" s="15" t="n"/>
      <c r="Q988" s="6" t="n"/>
      <c r="R988" s="14" t="n"/>
      <c r="S988" s="6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12" t="n"/>
      <c r="I989" s="12" t="n"/>
      <c r="J989" s="13" t="n"/>
      <c r="K989" s="13" t="n"/>
      <c r="L989" s="13" t="n"/>
      <c r="M989" s="13" t="n"/>
      <c r="N989" s="13" t="n"/>
      <c r="O989" s="13" t="n"/>
      <c r="P989" s="13" t="n"/>
      <c r="Q989" s="2" t="n"/>
      <c r="R989" s="12" t="n"/>
      <c r="S989" s="2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14" t="n"/>
      <c r="I990" s="14" t="n"/>
      <c r="J990" s="15" t="n"/>
      <c r="K990" s="15" t="n"/>
      <c r="L990" s="15" t="n"/>
      <c r="M990" s="15" t="n"/>
      <c r="N990" s="15" t="n"/>
      <c r="O990" s="15" t="n"/>
      <c r="P990" s="15" t="n"/>
      <c r="Q990" s="6" t="n"/>
      <c r="R990" s="14" t="n"/>
      <c r="S990" s="6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12" t="n"/>
      <c r="I991" s="12" t="n"/>
      <c r="J991" s="13" t="n"/>
      <c r="K991" s="13" t="n"/>
      <c r="L991" s="13" t="n"/>
      <c r="M991" s="13" t="n"/>
      <c r="N991" s="13" t="n"/>
      <c r="O991" s="13" t="n"/>
      <c r="P991" s="13" t="n"/>
      <c r="Q991" s="2" t="n"/>
      <c r="R991" s="12" t="n"/>
      <c r="S991" s="2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14" t="n"/>
      <c r="I992" s="14" t="n"/>
      <c r="J992" s="15" t="n"/>
      <c r="K992" s="15" t="n"/>
      <c r="L992" s="15" t="n"/>
      <c r="M992" s="15" t="n"/>
      <c r="N992" s="15" t="n"/>
      <c r="O992" s="15" t="n"/>
      <c r="P992" s="15" t="n"/>
      <c r="Q992" s="6" t="n"/>
      <c r="R992" s="14" t="n"/>
      <c r="S992" s="6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12" t="n"/>
      <c r="I993" s="12" t="n"/>
      <c r="J993" s="13" t="n"/>
      <c r="K993" s="13" t="n"/>
      <c r="L993" s="13" t="n"/>
      <c r="M993" s="13" t="n"/>
      <c r="N993" s="13" t="n"/>
      <c r="O993" s="13" t="n"/>
      <c r="P993" s="13" t="n"/>
      <c r="Q993" s="2" t="n"/>
      <c r="R993" s="12" t="n"/>
      <c r="S993" s="2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14" t="n"/>
      <c r="I994" s="14" t="n"/>
      <c r="J994" s="15" t="n"/>
      <c r="K994" s="15" t="n"/>
      <c r="L994" s="15" t="n"/>
      <c r="M994" s="15" t="n"/>
      <c r="N994" s="15" t="n"/>
      <c r="O994" s="15" t="n"/>
      <c r="P994" s="15" t="n"/>
      <c r="Q994" s="6" t="n"/>
      <c r="R994" s="14" t="n"/>
      <c r="S994" s="6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12" t="n"/>
      <c r="I995" s="12" t="n"/>
      <c r="J995" s="13" t="n"/>
      <c r="K995" s="13" t="n"/>
      <c r="L995" s="13" t="n"/>
      <c r="M995" s="13" t="n"/>
      <c r="N995" s="13" t="n"/>
      <c r="O995" s="13" t="n"/>
      <c r="P995" s="13" t="n"/>
      <c r="Q995" s="2" t="n"/>
      <c r="R995" s="12" t="n"/>
      <c r="S995" s="2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14" t="n"/>
      <c r="I996" s="14" t="n"/>
      <c r="J996" s="15" t="n"/>
      <c r="K996" s="15" t="n"/>
      <c r="L996" s="15" t="n"/>
      <c r="M996" s="15" t="n"/>
      <c r="N996" s="15" t="n"/>
      <c r="O996" s="15" t="n"/>
      <c r="P996" s="15" t="n"/>
      <c r="Q996" s="6" t="n"/>
      <c r="R996" s="14" t="n"/>
      <c r="S996" s="6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12" t="n"/>
      <c r="I997" s="12" t="n"/>
      <c r="J997" s="13" t="n"/>
      <c r="K997" s="13" t="n"/>
      <c r="L997" s="13" t="n"/>
      <c r="M997" s="13" t="n"/>
      <c r="N997" s="13" t="n"/>
      <c r="O997" s="13" t="n"/>
      <c r="P997" s="13" t="n"/>
      <c r="Q997" s="2" t="n"/>
      <c r="R997" s="12" t="n"/>
      <c r="S997" s="2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14" t="n"/>
      <c r="I998" s="14" t="n"/>
      <c r="J998" s="15" t="n"/>
      <c r="K998" s="15" t="n"/>
      <c r="L998" s="15" t="n"/>
      <c r="M998" s="15" t="n"/>
      <c r="N998" s="15" t="n"/>
      <c r="O998" s="15" t="n"/>
      <c r="P998" s="15" t="n"/>
      <c r="Q998" s="6" t="n"/>
      <c r="R998" s="14" t="n"/>
      <c r="S998" s="6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12" t="n"/>
      <c r="I999" s="12" t="n"/>
      <c r="J999" s="13" t="n"/>
      <c r="K999" s="13" t="n"/>
      <c r="L999" s="13" t="n"/>
      <c r="M999" s="13" t="n"/>
      <c r="N999" s="13" t="n"/>
      <c r="O999" s="13" t="n"/>
      <c r="P999" s="13" t="n"/>
      <c r="Q999" s="2" t="n"/>
      <c r="R999" s="12" t="n"/>
      <c r="S999" s="2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14" t="n"/>
      <c r="I1000" s="14" t="n"/>
      <c r="J1000" s="15" t="n"/>
      <c r="K1000" s="15" t="n"/>
      <c r="L1000" s="15" t="n"/>
      <c r="M1000" s="15" t="n"/>
      <c r="N1000" s="15" t="n"/>
      <c r="O1000" s="15" t="n"/>
      <c r="P1000" s="15" t="n"/>
      <c r="Q1000" s="6" t="n"/>
      <c r="R1000" s="14" t="n"/>
      <c r="S1000" s="6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12" t="n"/>
      <c r="I1001" s="12" t="n"/>
      <c r="J1001" s="13" t="n"/>
      <c r="K1001" s="13" t="n"/>
      <c r="L1001" s="13" t="n"/>
      <c r="M1001" s="13" t="n"/>
      <c r="N1001" s="13" t="n"/>
      <c r="O1001" s="13" t="n"/>
      <c r="P1001" s="13" t="n"/>
      <c r="Q1001" s="2" t="n"/>
      <c r="R1001" s="12" t="n"/>
      <c r="S1001" s="2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14" t="n"/>
      <c r="I1002" s="14" t="n"/>
      <c r="J1002" s="15" t="n"/>
      <c r="K1002" s="15" t="n"/>
      <c r="L1002" s="15" t="n"/>
      <c r="M1002" s="15" t="n"/>
      <c r="N1002" s="15" t="n"/>
      <c r="O1002" s="15" t="n"/>
      <c r="P1002" s="15" t="n"/>
      <c r="Q1002" s="6" t="n"/>
      <c r="R1002" s="14" t="n"/>
      <c r="S1002" s="6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12" t="n"/>
      <c r="I1003" s="12" t="n"/>
      <c r="J1003" s="13" t="n"/>
      <c r="K1003" s="13" t="n"/>
      <c r="L1003" s="13" t="n"/>
      <c r="M1003" s="13" t="n"/>
      <c r="N1003" s="13" t="n"/>
      <c r="O1003" s="13" t="n"/>
      <c r="P1003" s="13" t="n"/>
      <c r="Q1003" s="2" t="n"/>
      <c r="R1003" s="12" t="n"/>
      <c r="S1003" s="2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14" t="n"/>
      <c r="I1004" s="14" t="n"/>
      <c r="J1004" s="15" t="n"/>
      <c r="K1004" s="15" t="n"/>
      <c r="L1004" s="15" t="n"/>
      <c r="M1004" s="15" t="n"/>
      <c r="N1004" s="15" t="n"/>
      <c r="O1004" s="15" t="n"/>
      <c r="P1004" s="15" t="n"/>
      <c r="Q1004" s="6" t="n"/>
      <c r="R1004" s="14" t="n"/>
      <c r="S1004" s="6" t="n"/>
    </row>
  </sheetData>
  <autoFilter ref="A4:S504"/>
  <dataValidations count="2">
    <dataValidation sqref="C5:C504" showDropDown="0" showInputMessage="0" showErrorMessage="0" allowBlank="1" type="list">
      <formula1>"Q1,Q2,Q3,Q4"</formula1>
    </dataValidation>
    <dataValidation sqref="Q5:Q504" showDropDown="0" showInputMessage="0" showErrorMessage="0" allowBlank="1" type="list">
      <formula1>"Draft,Open,Sent,Paid,Past Due,Skip - Inactive,Void"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28" customWidth="1" min="5" max="5"/>
    <col width="16" customWidth="1" min="6" max="6"/>
    <col width="18" customWidth="1" min="7" max="7"/>
    <col width="22" customWidth="1" min="8" max="8"/>
    <col width="22" customWidth="1" min="9" max="9"/>
    <col width="16" customWidth="1" min="10" max="10"/>
    <col width="40" customWidth="1" min="11" max="11"/>
  </cols>
  <sheetData>
    <row r="1">
      <c r="A1" s="1" t="inlineStr">
        <is>
          <t>Payments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1" t="inlineStr">
        <is>
          <t>Payment ID</t>
        </is>
      </c>
      <c r="B4" s="11" t="inlineStr">
        <is>
          <t>Date Received</t>
        </is>
      </c>
      <c r="C4" s="11" t="inlineStr">
        <is>
          <t>Unit ID</t>
        </is>
      </c>
      <c r="D4" s="11" t="inlineStr">
        <is>
          <t>Invoice No.</t>
        </is>
      </c>
      <c r="E4" s="11" t="inlineStr">
        <is>
          <t>Owner Name</t>
        </is>
      </c>
      <c r="F4" s="11" t="inlineStr">
        <is>
          <t>Amount Paid</t>
        </is>
      </c>
      <c r="G4" s="11" t="inlineStr">
        <is>
          <t>Payment Method</t>
        </is>
      </c>
      <c r="H4" s="11" t="inlineStr">
        <is>
          <t>Reference No.</t>
        </is>
      </c>
      <c r="I4" s="11" t="inlineStr">
        <is>
          <t>Deposit Account</t>
        </is>
      </c>
      <c r="J4" s="11" t="inlineStr">
        <is>
          <t>Receipt Sent?</t>
        </is>
      </c>
      <c r="K4" s="11" t="inlineStr">
        <is>
          <t>Notes</t>
        </is>
      </c>
    </row>
    <row r="5">
      <c r="A5" s="2" t="n"/>
      <c r="B5" s="12" t="n"/>
      <c r="C5" s="2" t="n"/>
      <c r="D5" s="2" t="n"/>
      <c r="E5" s="2">
        <f>IF($C5="","",IFERROR(INDEX(Units_Owners!$C$5:$C$504,MATCH($C5,Units_Owners!$A$5:$A$504,0)),""))</f>
        <v/>
      </c>
      <c r="F5" s="13" t="n"/>
      <c r="G5" s="2" t="n"/>
      <c r="H5" s="2" t="n"/>
      <c r="I5" s="2" t="n"/>
      <c r="J5" s="2" t="n"/>
      <c r="K5" s="2" t="n"/>
    </row>
    <row r="6">
      <c r="A6" s="6" t="n"/>
      <c r="B6" s="14" t="n"/>
      <c r="C6" s="6" t="n"/>
      <c r="D6" s="6" t="n"/>
      <c r="E6" s="2">
        <f>IF($C6="","",IFERROR(INDEX(Units_Owners!$C$5:$C$504,MATCH($C6,Units_Owners!$A$5:$A$504,0)),""))</f>
        <v/>
      </c>
      <c r="F6" s="15" t="n"/>
      <c r="G6" s="6" t="n"/>
      <c r="H6" s="6" t="n"/>
      <c r="I6" s="6" t="n"/>
      <c r="J6" s="6" t="n"/>
      <c r="K6" s="6" t="n"/>
    </row>
    <row r="7">
      <c r="A7" s="2" t="n"/>
      <c r="B7" s="12" t="n"/>
      <c r="C7" s="2" t="n"/>
      <c r="D7" s="2" t="n"/>
      <c r="E7" s="2">
        <f>IF($C7="","",IFERROR(INDEX(Units_Owners!$C$5:$C$504,MATCH($C7,Units_Owners!$A$5:$A$504,0)),""))</f>
        <v/>
      </c>
      <c r="F7" s="13" t="n"/>
      <c r="G7" s="2" t="n"/>
      <c r="H7" s="2" t="n"/>
      <c r="I7" s="2" t="n"/>
      <c r="J7" s="2" t="n"/>
      <c r="K7" s="2" t="n"/>
    </row>
    <row r="8">
      <c r="A8" s="6" t="n"/>
      <c r="B8" s="14" t="n"/>
      <c r="C8" s="6" t="n"/>
      <c r="D8" s="6" t="n"/>
      <c r="E8" s="2">
        <f>IF($C8="","",IFERROR(INDEX(Units_Owners!$C$5:$C$504,MATCH($C8,Units_Owners!$A$5:$A$504,0)),""))</f>
        <v/>
      </c>
      <c r="F8" s="15" t="n"/>
      <c r="G8" s="6" t="n"/>
      <c r="H8" s="6" t="n"/>
      <c r="I8" s="6" t="n"/>
      <c r="J8" s="6" t="n"/>
      <c r="K8" s="6" t="n"/>
    </row>
    <row r="9">
      <c r="A9" s="2" t="n"/>
      <c r="B9" s="12" t="n"/>
      <c r="C9" s="2" t="n"/>
      <c r="D9" s="2" t="n"/>
      <c r="E9" s="2">
        <f>IF($C9="","",IFERROR(INDEX(Units_Owners!$C$5:$C$504,MATCH($C9,Units_Owners!$A$5:$A$504,0)),""))</f>
        <v/>
      </c>
      <c r="F9" s="13" t="n"/>
      <c r="G9" s="2" t="n"/>
      <c r="H9" s="2" t="n"/>
      <c r="I9" s="2" t="n"/>
      <c r="J9" s="2" t="n"/>
      <c r="K9" s="2" t="n"/>
    </row>
    <row r="10">
      <c r="A10" s="6" t="n"/>
      <c r="B10" s="14" t="n"/>
      <c r="C10" s="6" t="n"/>
      <c r="D10" s="6" t="n"/>
      <c r="E10" s="2">
        <f>IF($C10="","",IFERROR(INDEX(Units_Owners!$C$5:$C$504,MATCH($C10,Units_Owners!$A$5:$A$504,0)),""))</f>
        <v/>
      </c>
      <c r="F10" s="15" t="n"/>
      <c r="G10" s="6" t="n"/>
      <c r="H10" s="6" t="n"/>
      <c r="I10" s="6" t="n"/>
      <c r="J10" s="6" t="n"/>
      <c r="K10" s="6" t="n"/>
    </row>
    <row r="11">
      <c r="A11" s="2" t="n"/>
      <c r="B11" s="12" t="n"/>
      <c r="C11" s="2" t="n"/>
      <c r="D11" s="2" t="n"/>
      <c r="E11" s="2">
        <f>IF($C11="","",IFERROR(INDEX(Units_Owners!$C$5:$C$504,MATCH($C11,Units_Owners!$A$5:$A$504,0)),""))</f>
        <v/>
      </c>
      <c r="F11" s="13" t="n"/>
      <c r="G11" s="2" t="n"/>
      <c r="H11" s="2" t="n"/>
      <c r="I11" s="2" t="n"/>
      <c r="J11" s="2" t="n"/>
      <c r="K11" s="2" t="n"/>
    </row>
    <row r="12">
      <c r="A12" s="6" t="n"/>
      <c r="B12" s="14" t="n"/>
      <c r="C12" s="6" t="n"/>
      <c r="D12" s="6" t="n"/>
      <c r="E12" s="2">
        <f>IF($C12="","",IFERROR(INDEX(Units_Owners!$C$5:$C$504,MATCH($C12,Units_Owners!$A$5:$A$504,0)),""))</f>
        <v/>
      </c>
      <c r="F12" s="15" t="n"/>
      <c r="G12" s="6" t="n"/>
      <c r="H12" s="6" t="n"/>
      <c r="I12" s="6" t="n"/>
      <c r="J12" s="6" t="n"/>
      <c r="K12" s="6" t="n"/>
    </row>
    <row r="13">
      <c r="A13" s="2" t="n"/>
      <c r="B13" s="12" t="n"/>
      <c r="C13" s="2" t="n"/>
      <c r="D13" s="2" t="n"/>
      <c r="E13" s="2">
        <f>IF($C13="","",IFERROR(INDEX(Units_Owners!$C$5:$C$504,MATCH($C13,Units_Owners!$A$5:$A$504,0)),""))</f>
        <v/>
      </c>
      <c r="F13" s="13" t="n"/>
      <c r="G13" s="2" t="n"/>
      <c r="H13" s="2" t="n"/>
      <c r="I13" s="2" t="n"/>
      <c r="J13" s="2" t="n"/>
      <c r="K13" s="2" t="n"/>
    </row>
    <row r="14">
      <c r="A14" s="6" t="n"/>
      <c r="B14" s="14" t="n"/>
      <c r="C14" s="6" t="n"/>
      <c r="D14" s="6" t="n"/>
      <c r="E14" s="2">
        <f>IF($C14="","",IFERROR(INDEX(Units_Owners!$C$5:$C$504,MATCH($C14,Units_Owners!$A$5:$A$504,0)),""))</f>
        <v/>
      </c>
      <c r="F14" s="15" t="n"/>
      <c r="G14" s="6" t="n"/>
      <c r="H14" s="6" t="n"/>
      <c r="I14" s="6" t="n"/>
      <c r="J14" s="6" t="n"/>
      <c r="K14" s="6" t="n"/>
    </row>
    <row r="15">
      <c r="A15" s="2" t="n"/>
      <c r="B15" s="12" t="n"/>
      <c r="C15" s="2" t="n"/>
      <c r="D15" s="2" t="n"/>
      <c r="E15" s="2">
        <f>IF($C15="","",IFERROR(INDEX(Units_Owners!$C$5:$C$504,MATCH($C15,Units_Owners!$A$5:$A$504,0)),""))</f>
        <v/>
      </c>
      <c r="F15" s="13" t="n"/>
      <c r="G15" s="2" t="n"/>
      <c r="H15" s="2" t="n"/>
      <c r="I15" s="2" t="n"/>
      <c r="J15" s="2" t="n"/>
      <c r="K15" s="2" t="n"/>
    </row>
    <row r="16">
      <c r="A16" s="6" t="n"/>
      <c r="B16" s="14" t="n"/>
      <c r="C16" s="6" t="n"/>
      <c r="D16" s="6" t="n"/>
      <c r="E16" s="2">
        <f>IF($C16="","",IFERROR(INDEX(Units_Owners!$C$5:$C$504,MATCH($C16,Units_Owners!$A$5:$A$504,0)),""))</f>
        <v/>
      </c>
      <c r="F16" s="15" t="n"/>
      <c r="G16" s="6" t="n"/>
      <c r="H16" s="6" t="n"/>
      <c r="I16" s="6" t="n"/>
      <c r="J16" s="6" t="n"/>
      <c r="K16" s="6" t="n"/>
    </row>
    <row r="17">
      <c r="A17" s="2" t="n"/>
      <c r="B17" s="12" t="n"/>
      <c r="C17" s="2" t="n"/>
      <c r="D17" s="2" t="n"/>
      <c r="E17" s="2">
        <f>IF($C17="","",IFERROR(INDEX(Units_Owners!$C$5:$C$504,MATCH($C17,Units_Owners!$A$5:$A$504,0)),""))</f>
        <v/>
      </c>
      <c r="F17" s="13" t="n"/>
      <c r="G17" s="2" t="n"/>
      <c r="H17" s="2" t="n"/>
      <c r="I17" s="2" t="n"/>
      <c r="J17" s="2" t="n"/>
      <c r="K17" s="2" t="n"/>
    </row>
    <row r="18">
      <c r="A18" s="6" t="n"/>
      <c r="B18" s="14" t="n"/>
      <c r="C18" s="6" t="n"/>
      <c r="D18" s="6" t="n"/>
      <c r="E18" s="2">
        <f>IF($C18="","",IFERROR(INDEX(Units_Owners!$C$5:$C$504,MATCH($C18,Units_Owners!$A$5:$A$504,0)),""))</f>
        <v/>
      </c>
      <c r="F18" s="15" t="n"/>
      <c r="G18" s="6" t="n"/>
      <c r="H18" s="6" t="n"/>
      <c r="I18" s="6" t="n"/>
      <c r="J18" s="6" t="n"/>
      <c r="K18" s="6" t="n"/>
    </row>
    <row r="19">
      <c r="A19" s="2" t="n"/>
      <c r="B19" s="12" t="n"/>
      <c r="C19" s="2" t="n"/>
      <c r="D19" s="2" t="n"/>
      <c r="E19" s="2">
        <f>IF($C19="","",IFERROR(INDEX(Units_Owners!$C$5:$C$504,MATCH($C19,Units_Owners!$A$5:$A$504,0)),""))</f>
        <v/>
      </c>
      <c r="F19" s="13" t="n"/>
      <c r="G19" s="2" t="n"/>
      <c r="H19" s="2" t="n"/>
      <c r="I19" s="2" t="n"/>
      <c r="J19" s="2" t="n"/>
      <c r="K19" s="2" t="n"/>
    </row>
    <row r="20">
      <c r="A20" s="6" t="n"/>
      <c r="B20" s="14" t="n"/>
      <c r="C20" s="6" t="n"/>
      <c r="D20" s="6" t="n"/>
      <c r="E20" s="2">
        <f>IF($C20="","",IFERROR(INDEX(Units_Owners!$C$5:$C$504,MATCH($C20,Units_Owners!$A$5:$A$504,0)),""))</f>
        <v/>
      </c>
      <c r="F20" s="15" t="n"/>
      <c r="G20" s="6" t="n"/>
      <c r="H20" s="6" t="n"/>
      <c r="I20" s="6" t="n"/>
      <c r="J20" s="6" t="n"/>
      <c r="K20" s="6" t="n"/>
    </row>
    <row r="21">
      <c r="A21" s="2" t="n"/>
      <c r="B21" s="12" t="n"/>
      <c r="C21" s="2" t="n"/>
      <c r="D21" s="2" t="n"/>
      <c r="E21" s="2">
        <f>IF($C21="","",IFERROR(INDEX(Units_Owners!$C$5:$C$504,MATCH($C21,Units_Owners!$A$5:$A$504,0)),""))</f>
        <v/>
      </c>
      <c r="F21" s="13" t="n"/>
      <c r="G21" s="2" t="n"/>
      <c r="H21" s="2" t="n"/>
      <c r="I21" s="2" t="n"/>
      <c r="J21" s="2" t="n"/>
      <c r="K21" s="2" t="n"/>
    </row>
    <row r="22">
      <c r="A22" s="6" t="n"/>
      <c r="B22" s="14" t="n"/>
      <c r="C22" s="6" t="n"/>
      <c r="D22" s="6" t="n"/>
      <c r="E22" s="2">
        <f>IF($C22="","",IFERROR(INDEX(Units_Owners!$C$5:$C$504,MATCH($C22,Units_Owners!$A$5:$A$504,0)),""))</f>
        <v/>
      </c>
      <c r="F22" s="15" t="n"/>
      <c r="G22" s="6" t="n"/>
      <c r="H22" s="6" t="n"/>
      <c r="I22" s="6" t="n"/>
      <c r="J22" s="6" t="n"/>
      <c r="K22" s="6" t="n"/>
    </row>
    <row r="23">
      <c r="A23" s="2" t="n"/>
      <c r="B23" s="12" t="n"/>
      <c r="C23" s="2" t="n"/>
      <c r="D23" s="2" t="n"/>
      <c r="E23" s="2">
        <f>IF($C23="","",IFERROR(INDEX(Units_Owners!$C$5:$C$504,MATCH($C23,Units_Owners!$A$5:$A$504,0)),""))</f>
        <v/>
      </c>
      <c r="F23" s="13" t="n"/>
      <c r="G23" s="2" t="n"/>
      <c r="H23" s="2" t="n"/>
      <c r="I23" s="2" t="n"/>
      <c r="J23" s="2" t="n"/>
      <c r="K23" s="2" t="n"/>
    </row>
    <row r="24">
      <c r="A24" s="6" t="n"/>
      <c r="B24" s="14" t="n"/>
      <c r="C24" s="6" t="n"/>
      <c r="D24" s="6" t="n"/>
      <c r="E24" s="2">
        <f>IF($C24="","",IFERROR(INDEX(Units_Owners!$C$5:$C$504,MATCH($C24,Units_Owners!$A$5:$A$504,0)),""))</f>
        <v/>
      </c>
      <c r="F24" s="15" t="n"/>
      <c r="G24" s="6" t="n"/>
      <c r="H24" s="6" t="n"/>
      <c r="I24" s="6" t="n"/>
      <c r="J24" s="6" t="n"/>
      <c r="K24" s="6" t="n"/>
    </row>
    <row r="25">
      <c r="A25" s="2" t="n"/>
      <c r="B25" s="12" t="n"/>
      <c r="C25" s="2" t="n"/>
      <c r="D25" s="2" t="n"/>
      <c r="E25" s="2">
        <f>IF($C25="","",IFERROR(INDEX(Units_Owners!$C$5:$C$504,MATCH($C25,Units_Owners!$A$5:$A$504,0)),""))</f>
        <v/>
      </c>
      <c r="F25" s="13" t="n"/>
      <c r="G25" s="2" t="n"/>
      <c r="H25" s="2" t="n"/>
      <c r="I25" s="2" t="n"/>
      <c r="J25" s="2" t="n"/>
      <c r="K25" s="2" t="n"/>
    </row>
    <row r="26">
      <c r="A26" s="6" t="n"/>
      <c r="B26" s="14" t="n"/>
      <c r="C26" s="6" t="n"/>
      <c r="D26" s="6" t="n"/>
      <c r="E26" s="2">
        <f>IF($C26="","",IFERROR(INDEX(Units_Owners!$C$5:$C$504,MATCH($C26,Units_Owners!$A$5:$A$504,0)),""))</f>
        <v/>
      </c>
      <c r="F26" s="15" t="n"/>
      <c r="G26" s="6" t="n"/>
      <c r="H26" s="6" t="n"/>
      <c r="I26" s="6" t="n"/>
      <c r="J26" s="6" t="n"/>
      <c r="K26" s="6" t="n"/>
    </row>
    <row r="27">
      <c r="A27" s="2" t="n"/>
      <c r="B27" s="12" t="n"/>
      <c r="C27" s="2" t="n"/>
      <c r="D27" s="2" t="n"/>
      <c r="E27" s="2">
        <f>IF($C27="","",IFERROR(INDEX(Units_Owners!$C$5:$C$504,MATCH($C27,Units_Owners!$A$5:$A$504,0)),""))</f>
        <v/>
      </c>
      <c r="F27" s="13" t="n"/>
      <c r="G27" s="2" t="n"/>
      <c r="H27" s="2" t="n"/>
      <c r="I27" s="2" t="n"/>
      <c r="J27" s="2" t="n"/>
      <c r="K27" s="2" t="n"/>
    </row>
    <row r="28">
      <c r="A28" s="6" t="n"/>
      <c r="B28" s="14" t="n"/>
      <c r="C28" s="6" t="n"/>
      <c r="D28" s="6" t="n"/>
      <c r="E28" s="2">
        <f>IF($C28="","",IFERROR(INDEX(Units_Owners!$C$5:$C$504,MATCH($C28,Units_Owners!$A$5:$A$504,0)),""))</f>
        <v/>
      </c>
      <c r="F28" s="15" t="n"/>
      <c r="G28" s="6" t="n"/>
      <c r="H28" s="6" t="n"/>
      <c r="I28" s="6" t="n"/>
      <c r="J28" s="6" t="n"/>
      <c r="K28" s="6" t="n"/>
    </row>
    <row r="29">
      <c r="A29" s="2" t="n"/>
      <c r="B29" s="12" t="n"/>
      <c r="C29" s="2" t="n"/>
      <c r="D29" s="2" t="n"/>
      <c r="E29" s="2">
        <f>IF($C29="","",IFERROR(INDEX(Units_Owners!$C$5:$C$504,MATCH($C29,Units_Owners!$A$5:$A$504,0)),""))</f>
        <v/>
      </c>
      <c r="F29" s="13" t="n"/>
      <c r="G29" s="2" t="n"/>
      <c r="H29" s="2" t="n"/>
      <c r="I29" s="2" t="n"/>
      <c r="J29" s="2" t="n"/>
      <c r="K29" s="2" t="n"/>
    </row>
    <row r="30">
      <c r="A30" s="6" t="n"/>
      <c r="B30" s="14" t="n"/>
      <c r="C30" s="6" t="n"/>
      <c r="D30" s="6" t="n"/>
      <c r="E30" s="2">
        <f>IF($C30="","",IFERROR(INDEX(Units_Owners!$C$5:$C$504,MATCH($C30,Units_Owners!$A$5:$A$504,0)),""))</f>
        <v/>
      </c>
      <c r="F30" s="15" t="n"/>
      <c r="G30" s="6" t="n"/>
      <c r="H30" s="6" t="n"/>
      <c r="I30" s="6" t="n"/>
      <c r="J30" s="6" t="n"/>
      <c r="K30" s="6" t="n"/>
    </row>
    <row r="31">
      <c r="A31" s="2" t="n"/>
      <c r="B31" s="12" t="n"/>
      <c r="C31" s="2" t="n"/>
      <c r="D31" s="2" t="n"/>
      <c r="E31" s="2">
        <f>IF($C31="","",IFERROR(INDEX(Units_Owners!$C$5:$C$504,MATCH($C31,Units_Owners!$A$5:$A$504,0)),""))</f>
        <v/>
      </c>
      <c r="F31" s="13" t="n"/>
      <c r="G31" s="2" t="n"/>
      <c r="H31" s="2" t="n"/>
      <c r="I31" s="2" t="n"/>
      <c r="J31" s="2" t="n"/>
      <c r="K31" s="2" t="n"/>
    </row>
    <row r="32">
      <c r="A32" s="6" t="n"/>
      <c r="B32" s="14" t="n"/>
      <c r="C32" s="6" t="n"/>
      <c r="D32" s="6" t="n"/>
      <c r="E32" s="2">
        <f>IF($C32="","",IFERROR(INDEX(Units_Owners!$C$5:$C$504,MATCH($C32,Units_Owners!$A$5:$A$504,0)),""))</f>
        <v/>
      </c>
      <c r="F32" s="15" t="n"/>
      <c r="G32" s="6" t="n"/>
      <c r="H32" s="6" t="n"/>
      <c r="I32" s="6" t="n"/>
      <c r="J32" s="6" t="n"/>
      <c r="K32" s="6" t="n"/>
    </row>
    <row r="33">
      <c r="A33" s="2" t="n"/>
      <c r="B33" s="12" t="n"/>
      <c r="C33" s="2" t="n"/>
      <c r="D33" s="2" t="n"/>
      <c r="E33" s="2">
        <f>IF($C33="","",IFERROR(INDEX(Units_Owners!$C$5:$C$504,MATCH($C33,Units_Owners!$A$5:$A$504,0)),""))</f>
        <v/>
      </c>
      <c r="F33" s="13" t="n"/>
      <c r="G33" s="2" t="n"/>
      <c r="H33" s="2" t="n"/>
      <c r="I33" s="2" t="n"/>
      <c r="J33" s="2" t="n"/>
      <c r="K33" s="2" t="n"/>
    </row>
    <row r="34">
      <c r="A34" s="6" t="n"/>
      <c r="B34" s="14" t="n"/>
      <c r="C34" s="6" t="n"/>
      <c r="D34" s="6" t="n"/>
      <c r="E34" s="2">
        <f>IF($C34="","",IFERROR(INDEX(Units_Owners!$C$5:$C$504,MATCH($C34,Units_Owners!$A$5:$A$504,0)),""))</f>
        <v/>
      </c>
      <c r="F34" s="15" t="n"/>
      <c r="G34" s="6" t="n"/>
      <c r="H34" s="6" t="n"/>
      <c r="I34" s="6" t="n"/>
      <c r="J34" s="6" t="n"/>
      <c r="K34" s="6" t="n"/>
    </row>
    <row r="35">
      <c r="A35" s="2" t="n"/>
      <c r="B35" s="12" t="n"/>
      <c r="C35" s="2" t="n"/>
      <c r="D35" s="2" t="n"/>
      <c r="E35" s="2">
        <f>IF($C35="","",IFERROR(INDEX(Units_Owners!$C$5:$C$504,MATCH($C35,Units_Owners!$A$5:$A$504,0)),""))</f>
        <v/>
      </c>
      <c r="F35" s="13" t="n"/>
      <c r="G35" s="2" t="n"/>
      <c r="H35" s="2" t="n"/>
      <c r="I35" s="2" t="n"/>
      <c r="J35" s="2" t="n"/>
      <c r="K35" s="2" t="n"/>
    </row>
    <row r="36">
      <c r="A36" s="6" t="n"/>
      <c r="B36" s="14" t="n"/>
      <c r="C36" s="6" t="n"/>
      <c r="D36" s="6" t="n"/>
      <c r="E36" s="2">
        <f>IF($C36="","",IFERROR(INDEX(Units_Owners!$C$5:$C$504,MATCH($C36,Units_Owners!$A$5:$A$504,0)),""))</f>
        <v/>
      </c>
      <c r="F36" s="15" t="n"/>
      <c r="G36" s="6" t="n"/>
      <c r="H36" s="6" t="n"/>
      <c r="I36" s="6" t="n"/>
      <c r="J36" s="6" t="n"/>
      <c r="K36" s="6" t="n"/>
    </row>
    <row r="37">
      <c r="A37" s="2" t="n"/>
      <c r="B37" s="12" t="n"/>
      <c r="C37" s="2" t="n"/>
      <c r="D37" s="2" t="n"/>
      <c r="E37" s="2">
        <f>IF($C37="","",IFERROR(INDEX(Units_Owners!$C$5:$C$504,MATCH($C37,Units_Owners!$A$5:$A$504,0)),""))</f>
        <v/>
      </c>
      <c r="F37" s="13" t="n"/>
      <c r="G37" s="2" t="n"/>
      <c r="H37" s="2" t="n"/>
      <c r="I37" s="2" t="n"/>
      <c r="J37" s="2" t="n"/>
      <c r="K37" s="2" t="n"/>
    </row>
    <row r="38">
      <c r="A38" s="6" t="n"/>
      <c r="B38" s="14" t="n"/>
      <c r="C38" s="6" t="n"/>
      <c r="D38" s="6" t="n"/>
      <c r="E38" s="2">
        <f>IF($C38="","",IFERROR(INDEX(Units_Owners!$C$5:$C$504,MATCH($C38,Units_Owners!$A$5:$A$504,0)),""))</f>
        <v/>
      </c>
      <c r="F38" s="15" t="n"/>
      <c r="G38" s="6" t="n"/>
      <c r="H38" s="6" t="n"/>
      <c r="I38" s="6" t="n"/>
      <c r="J38" s="6" t="n"/>
      <c r="K38" s="6" t="n"/>
    </row>
    <row r="39">
      <c r="A39" s="2" t="n"/>
      <c r="B39" s="12" t="n"/>
      <c r="C39" s="2" t="n"/>
      <c r="D39" s="2" t="n"/>
      <c r="E39" s="2">
        <f>IF($C39="","",IFERROR(INDEX(Units_Owners!$C$5:$C$504,MATCH($C39,Units_Owners!$A$5:$A$504,0)),""))</f>
        <v/>
      </c>
      <c r="F39" s="13" t="n"/>
      <c r="G39" s="2" t="n"/>
      <c r="H39" s="2" t="n"/>
      <c r="I39" s="2" t="n"/>
      <c r="J39" s="2" t="n"/>
      <c r="K39" s="2" t="n"/>
    </row>
    <row r="40">
      <c r="A40" s="6" t="n"/>
      <c r="B40" s="14" t="n"/>
      <c r="C40" s="6" t="n"/>
      <c r="D40" s="6" t="n"/>
      <c r="E40" s="2">
        <f>IF($C40="","",IFERROR(INDEX(Units_Owners!$C$5:$C$504,MATCH($C40,Units_Owners!$A$5:$A$504,0)),""))</f>
        <v/>
      </c>
      <c r="F40" s="15" t="n"/>
      <c r="G40" s="6" t="n"/>
      <c r="H40" s="6" t="n"/>
      <c r="I40" s="6" t="n"/>
      <c r="J40" s="6" t="n"/>
      <c r="K40" s="6" t="n"/>
    </row>
    <row r="41">
      <c r="A41" s="2" t="n"/>
      <c r="B41" s="12" t="n"/>
      <c r="C41" s="2" t="n"/>
      <c r="D41" s="2" t="n"/>
      <c r="E41" s="2">
        <f>IF($C41="","",IFERROR(INDEX(Units_Owners!$C$5:$C$504,MATCH($C41,Units_Owners!$A$5:$A$504,0)),""))</f>
        <v/>
      </c>
      <c r="F41" s="13" t="n"/>
      <c r="G41" s="2" t="n"/>
      <c r="H41" s="2" t="n"/>
      <c r="I41" s="2" t="n"/>
      <c r="J41" s="2" t="n"/>
      <c r="K41" s="2" t="n"/>
    </row>
    <row r="42">
      <c r="A42" s="6" t="n"/>
      <c r="B42" s="14" t="n"/>
      <c r="C42" s="6" t="n"/>
      <c r="D42" s="6" t="n"/>
      <c r="E42" s="2">
        <f>IF($C42="","",IFERROR(INDEX(Units_Owners!$C$5:$C$504,MATCH($C42,Units_Owners!$A$5:$A$504,0)),""))</f>
        <v/>
      </c>
      <c r="F42" s="15" t="n"/>
      <c r="G42" s="6" t="n"/>
      <c r="H42" s="6" t="n"/>
      <c r="I42" s="6" t="n"/>
      <c r="J42" s="6" t="n"/>
      <c r="K42" s="6" t="n"/>
    </row>
    <row r="43">
      <c r="A43" s="2" t="n"/>
      <c r="B43" s="12" t="n"/>
      <c r="C43" s="2" t="n"/>
      <c r="D43" s="2" t="n"/>
      <c r="E43" s="2">
        <f>IF($C43="","",IFERROR(INDEX(Units_Owners!$C$5:$C$504,MATCH($C43,Units_Owners!$A$5:$A$504,0)),""))</f>
        <v/>
      </c>
      <c r="F43" s="13" t="n"/>
      <c r="G43" s="2" t="n"/>
      <c r="H43" s="2" t="n"/>
      <c r="I43" s="2" t="n"/>
      <c r="J43" s="2" t="n"/>
      <c r="K43" s="2" t="n"/>
    </row>
    <row r="44">
      <c r="A44" s="6" t="n"/>
      <c r="B44" s="14" t="n"/>
      <c r="C44" s="6" t="n"/>
      <c r="D44" s="6" t="n"/>
      <c r="E44" s="2">
        <f>IF($C44="","",IFERROR(INDEX(Units_Owners!$C$5:$C$504,MATCH($C44,Units_Owners!$A$5:$A$504,0)),""))</f>
        <v/>
      </c>
      <c r="F44" s="15" t="n"/>
      <c r="G44" s="6" t="n"/>
      <c r="H44" s="6" t="n"/>
      <c r="I44" s="6" t="n"/>
      <c r="J44" s="6" t="n"/>
      <c r="K44" s="6" t="n"/>
    </row>
    <row r="45">
      <c r="A45" s="2" t="n"/>
      <c r="B45" s="12" t="n"/>
      <c r="C45" s="2" t="n"/>
      <c r="D45" s="2" t="n"/>
      <c r="E45" s="2">
        <f>IF($C45="","",IFERROR(INDEX(Units_Owners!$C$5:$C$504,MATCH($C45,Units_Owners!$A$5:$A$504,0)),""))</f>
        <v/>
      </c>
      <c r="F45" s="13" t="n"/>
      <c r="G45" s="2" t="n"/>
      <c r="H45" s="2" t="n"/>
      <c r="I45" s="2" t="n"/>
      <c r="J45" s="2" t="n"/>
      <c r="K45" s="2" t="n"/>
    </row>
    <row r="46">
      <c r="A46" s="6" t="n"/>
      <c r="B46" s="14" t="n"/>
      <c r="C46" s="6" t="n"/>
      <c r="D46" s="6" t="n"/>
      <c r="E46" s="2">
        <f>IF($C46="","",IFERROR(INDEX(Units_Owners!$C$5:$C$504,MATCH($C46,Units_Owners!$A$5:$A$504,0)),""))</f>
        <v/>
      </c>
      <c r="F46" s="15" t="n"/>
      <c r="G46" s="6" t="n"/>
      <c r="H46" s="6" t="n"/>
      <c r="I46" s="6" t="n"/>
      <c r="J46" s="6" t="n"/>
      <c r="K46" s="6" t="n"/>
    </row>
    <row r="47">
      <c r="A47" s="2" t="n"/>
      <c r="B47" s="12" t="n"/>
      <c r="C47" s="2" t="n"/>
      <c r="D47" s="2" t="n"/>
      <c r="E47" s="2">
        <f>IF($C47="","",IFERROR(INDEX(Units_Owners!$C$5:$C$504,MATCH($C47,Units_Owners!$A$5:$A$504,0)),""))</f>
        <v/>
      </c>
      <c r="F47" s="13" t="n"/>
      <c r="G47" s="2" t="n"/>
      <c r="H47" s="2" t="n"/>
      <c r="I47" s="2" t="n"/>
      <c r="J47" s="2" t="n"/>
      <c r="K47" s="2" t="n"/>
    </row>
    <row r="48">
      <c r="A48" s="6" t="n"/>
      <c r="B48" s="14" t="n"/>
      <c r="C48" s="6" t="n"/>
      <c r="D48" s="6" t="n"/>
      <c r="E48" s="2">
        <f>IF($C48="","",IFERROR(INDEX(Units_Owners!$C$5:$C$504,MATCH($C48,Units_Owners!$A$5:$A$504,0)),""))</f>
        <v/>
      </c>
      <c r="F48" s="15" t="n"/>
      <c r="G48" s="6" t="n"/>
      <c r="H48" s="6" t="n"/>
      <c r="I48" s="6" t="n"/>
      <c r="J48" s="6" t="n"/>
      <c r="K48" s="6" t="n"/>
    </row>
    <row r="49">
      <c r="A49" s="2" t="n"/>
      <c r="B49" s="12" t="n"/>
      <c r="C49" s="2" t="n"/>
      <c r="D49" s="2" t="n"/>
      <c r="E49" s="2">
        <f>IF($C49="","",IFERROR(INDEX(Units_Owners!$C$5:$C$504,MATCH($C49,Units_Owners!$A$5:$A$504,0)),""))</f>
        <v/>
      </c>
      <c r="F49" s="13" t="n"/>
      <c r="G49" s="2" t="n"/>
      <c r="H49" s="2" t="n"/>
      <c r="I49" s="2" t="n"/>
      <c r="J49" s="2" t="n"/>
      <c r="K49" s="2" t="n"/>
    </row>
    <row r="50">
      <c r="A50" s="6" t="n"/>
      <c r="B50" s="14" t="n"/>
      <c r="C50" s="6" t="n"/>
      <c r="D50" s="6" t="n"/>
      <c r="E50" s="2">
        <f>IF($C50="","",IFERROR(INDEX(Units_Owners!$C$5:$C$504,MATCH($C50,Units_Owners!$A$5:$A$504,0)),""))</f>
        <v/>
      </c>
      <c r="F50" s="15" t="n"/>
      <c r="G50" s="6" t="n"/>
      <c r="H50" s="6" t="n"/>
      <c r="I50" s="6" t="n"/>
      <c r="J50" s="6" t="n"/>
      <c r="K50" s="6" t="n"/>
    </row>
    <row r="51">
      <c r="A51" s="2" t="n"/>
      <c r="B51" s="12" t="n"/>
      <c r="C51" s="2" t="n"/>
      <c r="D51" s="2" t="n"/>
      <c r="E51" s="2">
        <f>IF($C51="","",IFERROR(INDEX(Units_Owners!$C$5:$C$504,MATCH($C51,Units_Owners!$A$5:$A$504,0)),""))</f>
        <v/>
      </c>
      <c r="F51" s="13" t="n"/>
      <c r="G51" s="2" t="n"/>
      <c r="H51" s="2" t="n"/>
      <c r="I51" s="2" t="n"/>
      <c r="J51" s="2" t="n"/>
      <c r="K51" s="2" t="n"/>
    </row>
    <row r="52">
      <c r="A52" s="6" t="n"/>
      <c r="B52" s="14" t="n"/>
      <c r="C52" s="6" t="n"/>
      <c r="D52" s="6" t="n"/>
      <c r="E52" s="2">
        <f>IF($C52="","",IFERROR(INDEX(Units_Owners!$C$5:$C$504,MATCH($C52,Units_Owners!$A$5:$A$504,0)),""))</f>
        <v/>
      </c>
      <c r="F52" s="15" t="n"/>
      <c r="G52" s="6" t="n"/>
      <c r="H52" s="6" t="n"/>
      <c r="I52" s="6" t="n"/>
      <c r="J52" s="6" t="n"/>
      <c r="K52" s="6" t="n"/>
    </row>
    <row r="53">
      <c r="A53" s="2" t="n"/>
      <c r="B53" s="12" t="n"/>
      <c r="C53" s="2" t="n"/>
      <c r="D53" s="2" t="n"/>
      <c r="E53" s="2">
        <f>IF($C53="","",IFERROR(INDEX(Units_Owners!$C$5:$C$504,MATCH($C53,Units_Owners!$A$5:$A$504,0)),""))</f>
        <v/>
      </c>
      <c r="F53" s="13" t="n"/>
      <c r="G53" s="2" t="n"/>
      <c r="H53" s="2" t="n"/>
      <c r="I53" s="2" t="n"/>
      <c r="J53" s="2" t="n"/>
      <c r="K53" s="2" t="n"/>
    </row>
    <row r="54">
      <c r="A54" s="6" t="n"/>
      <c r="B54" s="14" t="n"/>
      <c r="C54" s="6" t="n"/>
      <c r="D54" s="6" t="n"/>
      <c r="E54" s="2">
        <f>IF($C54="","",IFERROR(INDEX(Units_Owners!$C$5:$C$504,MATCH($C54,Units_Owners!$A$5:$A$504,0)),""))</f>
        <v/>
      </c>
      <c r="F54" s="15" t="n"/>
      <c r="G54" s="6" t="n"/>
      <c r="H54" s="6" t="n"/>
      <c r="I54" s="6" t="n"/>
      <c r="J54" s="6" t="n"/>
      <c r="K54" s="6" t="n"/>
    </row>
    <row r="55">
      <c r="A55" s="2" t="n"/>
      <c r="B55" s="12" t="n"/>
      <c r="C55" s="2" t="n"/>
      <c r="D55" s="2" t="n"/>
      <c r="E55" s="2">
        <f>IF($C55="","",IFERROR(INDEX(Units_Owners!$C$5:$C$504,MATCH($C55,Units_Owners!$A$5:$A$504,0)),""))</f>
        <v/>
      </c>
      <c r="F55" s="13" t="n"/>
      <c r="G55" s="2" t="n"/>
      <c r="H55" s="2" t="n"/>
      <c r="I55" s="2" t="n"/>
      <c r="J55" s="2" t="n"/>
      <c r="K55" s="2" t="n"/>
    </row>
    <row r="56">
      <c r="A56" s="6" t="n"/>
      <c r="B56" s="14" t="n"/>
      <c r="C56" s="6" t="n"/>
      <c r="D56" s="6" t="n"/>
      <c r="E56" s="2">
        <f>IF($C56="","",IFERROR(INDEX(Units_Owners!$C$5:$C$504,MATCH($C56,Units_Owners!$A$5:$A$504,0)),""))</f>
        <v/>
      </c>
      <c r="F56" s="15" t="n"/>
      <c r="G56" s="6" t="n"/>
      <c r="H56" s="6" t="n"/>
      <c r="I56" s="6" t="n"/>
      <c r="J56" s="6" t="n"/>
      <c r="K56" s="6" t="n"/>
    </row>
    <row r="57">
      <c r="A57" s="2" t="n"/>
      <c r="B57" s="12" t="n"/>
      <c r="C57" s="2" t="n"/>
      <c r="D57" s="2" t="n"/>
      <c r="E57" s="2">
        <f>IF($C57="","",IFERROR(INDEX(Units_Owners!$C$5:$C$504,MATCH($C57,Units_Owners!$A$5:$A$504,0)),""))</f>
        <v/>
      </c>
      <c r="F57" s="13" t="n"/>
      <c r="G57" s="2" t="n"/>
      <c r="H57" s="2" t="n"/>
      <c r="I57" s="2" t="n"/>
      <c r="J57" s="2" t="n"/>
      <c r="K57" s="2" t="n"/>
    </row>
    <row r="58">
      <c r="A58" s="6" t="n"/>
      <c r="B58" s="14" t="n"/>
      <c r="C58" s="6" t="n"/>
      <c r="D58" s="6" t="n"/>
      <c r="E58" s="2">
        <f>IF($C58="","",IFERROR(INDEX(Units_Owners!$C$5:$C$504,MATCH($C58,Units_Owners!$A$5:$A$504,0)),""))</f>
        <v/>
      </c>
      <c r="F58" s="15" t="n"/>
      <c r="G58" s="6" t="n"/>
      <c r="H58" s="6" t="n"/>
      <c r="I58" s="6" t="n"/>
      <c r="J58" s="6" t="n"/>
      <c r="K58" s="6" t="n"/>
    </row>
    <row r="59">
      <c r="A59" s="2" t="n"/>
      <c r="B59" s="12" t="n"/>
      <c r="C59" s="2" t="n"/>
      <c r="D59" s="2" t="n"/>
      <c r="E59" s="2">
        <f>IF($C59="","",IFERROR(INDEX(Units_Owners!$C$5:$C$504,MATCH($C59,Units_Owners!$A$5:$A$504,0)),""))</f>
        <v/>
      </c>
      <c r="F59" s="13" t="n"/>
      <c r="G59" s="2" t="n"/>
      <c r="H59" s="2" t="n"/>
      <c r="I59" s="2" t="n"/>
      <c r="J59" s="2" t="n"/>
      <c r="K59" s="2" t="n"/>
    </row>
    <row r="60">
      <c r="A60" s="6" t="n"/>
      <c r="B60" s="14" t="n"/>
      <c r="C60" s="6" t="n"/>
      <c r="D60" s="6" t="n"/>
      <c r="E60" s="2">
        <f>IF($C60="","",IFERROR(INDEX(Units_Owners!$C$5:$C$504,MATCH($C60,Units_Owners!$A$5:$A$504,0)),""))</f>
        <v/>
      </c>
      <c r="F60" s="15" t="n"/>
      <c r="G60" s="6" t="n"/>
      <c r="H60" s="6" t="n"/>
      <c r="I60" s="6" t="n"/>
      <c r="J60" s="6" t="n"/>
      <c r="K60" s="6" t="n"/>
    </row>
    <row r="61">
      <c r="A61" s="2" t="n"/>
      <c r="B61" s="12" t="n"/>
      <c r="C61" s="2" t="n"/>
      <c r="D61" s="2" t="n"/>
      <c r="E61" s="2">
        <f>IF($C61="","",IFERROR(INDEX(Units_Owners!$C$5:$C$504,MATCH($C61,Units_Owners!$A$5:$A$504,0)),""))</f>
        <v/>
      </c>
      <c r="F61" s="13" t="n"/>
      <c r="G61" s="2" t="n"/>
      <c r="H61" s="2" t="n"/>
      <c r="I61" s="2" t="n"/>
      <c r="J61" s="2" t="n"/>
      <c r="K61" s="2" t="n"/>
    </row>
    <row r="62">
      <c r="A62" s="6" t="n"/>
      <c r="B62" s="14" t="n"/>
      <c r="C62" s="6" t="n"/>
      <c r="D62" s="6" t="n"/>
      <c r="E62" s="2">
        <f>IF($C62="","",IFERROR(INDEX(Units_Owners!$C$5:$C$504,MATCH($C62,Units_Owners!$A$5:$A$504,0)),""))</f>
        <v/>
      </c>
      <c r="F62" s="15" t="n"/>
      <c r="G62" s="6" t="n"/>
      <c r="H62" s="6" t="n"/>
      <c r="I62" s="6" t="n"/>
      <c r="J62" s="6" t="n"/>
      <c r="K62" s="6" t="n"/>
    </row>
    <row r="63">
      <c r="A63" s="2" t="n"/>
      <c r="B63" s="12" t="n"/>
      <c r="C63" s="2" t="n"/>
      <c r="D63" s="2" t="n"/>
      <c r="E63" s="2">
        <f>IF($C63="","",IFERROR(INDEX(Units_Owners!$C$5:$C$504,MATCH($C63,Units_Owners!$A$5:$A$504,0)),""))</f>
        <v/>
      </c>
      <c r="F63" s="13" t="n"/>
      <c r="G63" s="2" t="n"/>
      <c r="H63" s="2" t="n"/>
      <c r="I63" s="2" t="n"/>
      <c r="J63" s="2" t="n"/>
      <c r="K63" s="2" t="n"/>
    </row>
    <row r="64">
      <c r="A64" s="6" t="n"/>
      <c r="B64" s="14" t="n"/>
      <c r="C64" s="6" t="n"/>
      <c r="D64" s="6" t="n"/>
      <c r="E64" s="2">
        <f>IF($C64="","",IFERROR(INDEX(Units_Owners!$C$5:$C$504,MATCH($C64,Units_Owners!$A$5:$A$504,0)),""))</f>
        <v/>
      </c>
      <c r="F64" s="15" t="n"/>
      <c r="G64" s="6" t="n"/>
      <c r="H64" s="6" t="n"/>
      <c r="I64" s="6" t="n"/>
      <c r="J64" s="6" t="n"/>
      <c r="K64" s="6" t="n"/>
    </row>
    <row r="65">
      <c r="A65" s="2" t="n"/>
      <c r="B65" s="12" t="n"/>
      <c r="C65" s="2" t="n"/>
      <c r="D65" s="2" t="n"/>
      <c r="E65" s="2">
        <f>IF($C65="","",IFERROR(INDEX(Units_Owners!$C$5:$C$504,MATCH($C65,Units_Owners!$A$5:$A$504,0)),""))</f>
        <v/>
      </c>
      <c r="F65" s="13" t="n"/>
      <c r="G65" s="2" t="n"/>
      <c r="H65" s="2" t="n"/>
      <c r="I65" s="2" t="n"/>
      <c r="J65" s="2" t="n"/>
      <c r="K65" s="2" t="n"/>
    </row>
    <row r="66">
      <c r="A66" s="6" t="n"/>
      <c r="B66" s="14" t="n"/>
      <c r="C66" s="6" t="n"/>
      <c r="D66" s="6" t="n"/>
      <c r="E66" s="2">
        <f>IF($C66="","",IFERROR(INDEX(Units_Owners!$C$5:$C$504,MATCH($C66,Units_Owners!$A$5:$A$504,0)),""))</f>
        <v/>
      </c>
      <c r="F66" s="15" t="n"/>
      <c r="G66" s="6" t="n"/>
      <c r="H66" s="6" t="n"/>
      <c r="I66" s="6" t="n"/>
      <c r="J66" s="6" t="n"/>
      <c r="K66" s="6" t="n"/>
    </row>
    <row r="67">
      <c r="A67" s="2" t="n"/>
      <c r="B67" s="12" t="n"/>
      <c r="C67" s="2" t="n"/>
      <c r="D67" s="2" t="n"/>
      <c r="E67" s="2">
        <f>IF($C67="","",IFERROR(INDEX(Units_Owners!$C$5:$C$504,MATCH($C67,Units_Owners!$A$5:$A$504,0)),""))</f>
        <v/>
      </c>
      <c r="F67" s="13" t="n"/>
      <c r="G67" s="2" t="n"/>
      <c r="H67" s="2" t="n"/>
      <c r="I67" s="2" t="n"/>
      <c r="J67" s="2" t="n"/>
      <c r="K67" s="2" t="n"/>
    </row>
    <row r="68">
      <c r="A68" s="6" t="n"/>
      <c r="B68" s="14" t="n"/>
      <c r="C68" s="6" t="n"/>
      <c r="D68" s="6" t="n"/>
      <c r="E68" s="2">
        <f>IF($C68="","",IFERROR(INDEX(Units_Owners!$C$5:$C$504,MATCH($C68,Units_Owners!$A$5:$A$504,0)),""))</f>
        <v/>
      </c>
      <c r="F68" s="15" t="n"/>
      <c r="G68" s="6" t="n"/>
      <c r="H68" s="6" t="n"/>
      <c r="I68" s="6" t="n"/>
      <c r="J68" s="6" t="n"/>
      <c r="K68" s="6" t="n"/>
    </row>
    <row r="69">
      <c r="A69" s="2" t="n"/>
      <c r="B69" s="12" t="n"/>
      <c r="C69" s="2" t="n"/>
      <c r="D69" s="2" t="n"/>
      <c r="E69" s="2">
        <f>IF($C69="","",IFERROR(INDEX(Units_Owners!$C$5:$C$504,MATCH($C69,Units_Owners!$A$5:$A$504,0)),""))</f>
        <v/>
      </c>
      <c r="F69" s="13" t="n"/>
      <c r="G69" s="2" t="n"/>
      <c r="H69" s="2" t="n"/>
      <c r="I69" s="2" t="n"/>
      <c r="J69" s="2" t="n"/>
      <c r="K69" s="2" t="n"/>
    </row>
    <row r="70">
      <c r="A70" s="6" t="n"/>
      <c r="B70" s="14" t="n"/>
      <c r="C70" s="6" t="n"/>
      <c r="D70" s="6" t="n"/>
      <c r="E70" s="2">
        <f>IF($C70="","",IFERROR(INDEX(Units_Owners!$C$5:$C$504,MATCH($C70,Units_Owners!$A$5:$A$504,0)),""))</f>
        <v/>
      </c>
      <c r="F70" s="15" t="n"/>
      <c r="G70" s="6" t="n"/>
      <c r="H70" s="6" t="n"/>
      <c r="I70" s="6" t="n"/>
      <c r="J70" s="6" t="n"/>
      <c r="K70" s="6" t="n"/>
    </row>
    <row r="71">
      <c r="A71" s="2" t="n"/>
      <c r="B71" s="12" t="n"/>
      <c r="C71" s="2" t="n"/>
      <c r="D71" s="2" t="n"/>
      <c r="E71" s="2">
        <f>IF($C71="","",IFERROR(INDEX(Units_Owners!$C$5:$C$504,MATCH($C71,Units_Owners!$A$5:$A$504,0)),""))</f>
        <v/>
      </c>
      <c r="F71" s="13" t="n"/>
      <c r="G71" s="2" t="n"/>
      <c r="H71" s="2" t="n"/>
      <c r="I71" s="2" t="n"/>
      <c r="J71" s="2" t="n"/>
      <c r="K71" s="2" t="n"/>
    </row>
    <row r="72">
      <c r="A72" s="6" t="n"/>
      <c r="B72" s="14" t="n"/>
      <c r="C72" s="6" t="n"/>
      <c r="D72" s="6" t="n"/>
      <c r="E72" s="2">
        <f>IF($C72="","",IFERROR(INDEX(Units_Owners!$C$5:$C$504,MATCH($C72,Units_Owners!$A$5:$A$504,0)),""))</f>
        <v/>
      </c>
      <c r="F72" s="15" t="n"/>
      <c r="G72" s="6" t="n"/>
      <c r="H72" s="6" t="n"/>
      <c r="I72" s="6" t="n"/>
      <c r="J72" s="6" t="n"/>
      <c r="K72" s="6" t="n"/>
    </row>
    <row r="73">
      <c r="A73" s="2" t="n"/>
      <c r="B73" s="12" t="n"/>
      <c r="C73" s="2" t="n"/>
      <c r="D73" s="2" t="n"/>
      <c r="E73" s="2">
        <f>IF($C73="","",IFERROR(INDEX(Units_Owners!$C$5:$C$504,MATCH($C73,Units_Owners!$A$5:$A$504,0)),""))</f>
        <v/>
      </c>
      <c r="F73" s="13" t="n"/>
      <c r="G73" s="2" t="n"/>
      <c r="H73" s="2" t="n"/>
      <c r="I73" s="2" t="n"/>
      <c r="J73" s="2" t="n"/>
      <c r="K73" s="2" t="n"/>
    </row>
    <row r="74">
      <c r="A74" s="6" t="n"/>
      <c r="B74" s="14" t="n"/>
      <c r="C74" s="6" t="n"/>
      <c r="D74" s="6" t="n"/>
      <c r="E74" s="2">
        <f>IF($C74="","",IFERROR(INDEX(Units_Owners!$C$5:$C$504,MATCH($C74,Units_Owners!$A$5:$A$504,0)),""))</f>
        <v/>
      </c>
      <c r="F74" s="15" t="n"/>
      <c r="G74" s="6" t="n"/>
      <c r="H74" s="6" t="n"/>
      <c r="I74" s="6" t="n"/>
      <c r="J74" s="6" t="n"/>
      <c r="K74" s="6" t="n"/>
    </row>
    <row r="75">
      <c r="A75" s="2" t="n"/>
      <c r="B75" s="12" t="n"/>
      <c r="C75" s="2" t="n"/>
      <c r="D75" s="2" t="n"/>
      <c r="E75" s="2">
        <f>IF($C75="","",IFERROR(INDEX(Units_Owners!$C$5:$C$504,MATCH($C75,Units_Owners!$A$5:$A$504,0)),""))</f>
        <v/>
      </c>
      <c r="F75" s="13" t="n"/>
      <c r="G75" s="2" t="n"/>
      <c r="H75" s="2" t="n"/>
      <c r="I75" s="2" t="n"/>
      <c r="J75" s="2" t="n"/>
      <c r="K75" s="2" t="n"/>
    </row>
    <row r="76">
      <c r="A76" s="6" t="n"/>
      <c r="B76" s="14" t="n"/>
      <c r="C76" s="6" t="n"/>
      <c r="D76" s="6" t="n"/>
      <c r="E76" s="2">
        <f>IF($C76="","",IFERROR(INDEX(Units_Owners!$C$5:$C$504,MATCH($C76,Units_Owners!$A$5:$A$504,0)),""))</f>
        <v/>
      </c>
      <c r="F76" s="15" t="n"/>
      <c r="G76" s="6" t="n"/>
      <c r="H76" s="6" t="n"/>
      <c r="I76" s="6" t="n"/>
      <c r="J76" s="6" t="n"/>
      <c r="K76" s="6" t="n"/>
    </row>
    <row r="77">
      <c r="A77" s="2" t="n"/>
      <c r="B77" s="12" t="n"/>
      <c r="C77" s="2" t="n"/>
      <c r="D77" s="2" t="n"/>
      <c r="E77" s="2">
        <f>IF($C77="","",IFERROR(INDEX(Units_Owners!$C$5:$C$504,MATCH($C77,Units_Owners!$A$5:$A$504,0)),""))</f>
        <v/>
      </c>
      <c r="F77" s="13" t="n"/>
      <c r="G77" s="2" t="n"/>
      <c r="H77" s="2" t="n"/>
      <c r="I77" s="2" t="n"/>
      <c r="J77" s="2" t="n"/>
      <c r="K77" s="2" t="n"/>
    </row>
    <row r="78">
      <c r="A78" s="6" t="n"/>
      <c r="B78" s="14" t="n"/>
      <c r="C78" s="6" t="n"/>
      <c r="D78" s="6" t="n"/>
      <c r="E78" s="2">
        <f>IF($C78="","",IFERROR(INDEX(Units_Owners!$C$5:$C$504,MATCH($C78,Units_Owners!$A$5:$A$504,0)),""))</f>
        <v/>
      </c>
      <c r="F78" s="15" t="n"/>
      <c r="G78" s="6" t="n"/>
      <c r="H78" s="6" t="n"/>
      <c r="I78" s="6" t="n"/>
      <c r="J78" s="6" t="n"/>
      <c r="K78" s="6" t="n"/>
    </row>
    <row r="79">
      <c r="A79" s="2" t="n"/>
      <c r="B79" s="12" t="n"/>
      <c r="C79" s="2" t="n"/>
      <c r="D79" s="2" t="n"/>
      <c r="E79" s="2">
        <f>IF($C79="","",IFERROR(INDEX(Units_Owners!$C$5:$C$504,MATCH($C79,Units_Owners!$A$5:$A$504,0)),""))</f>
        <v/>
      </c>
      <c r="F79" s="13" t="n"/>
      <c r="G79" s="2" t="n"/>
      <c r="H79" s="2" t="n"/>
      <c r="I79" s="2" t="n"/>
      <c r="J79" s="2" t="n"/>
      <c r="K79" s="2" t="n"/>
    </row>
    <row r="80">
      <c r="A80" s="6" t="n"/>
      <c r="B80" s="14" t="n"/>
      <c r="C80" s="6" t="n"/>
      <c r="D80" s="6" t="n"/>
      <c r="E80" s="2">
        <f>IF($C80="","",IFERROR(INDEX(Units_Owners!$C$5:$C$504,MATCH($C80,Units_Owners!$A$5:$A$504,0)),""))</f>
        <v/>
      </c>
      <c r="F80" s="15" t="n"/>
      <c r="G80" s="6" t="n"/>
      <c r="H80" s="6" t="n"/>
      <c r="I80" s="6" t="n"/>
      <c r="J80" s="6" t="n"/>
      <c r="K80" s="6" t="n"/>
    </row>
    <row r="81">
      <c r="A81" s="2" t="n"/>
      <c r="B81" s="12" t="n"/>
      <c r="C81" s="2" t="n"/>
      <c r="D81" s="2" t="n"/>
      <c r="E81" s="2">
        <f>IF($C81="","",IFERROR(INDEX(Units_Owners!$C$5:$C$504,MATCH($C81,Units_Owners!$A$5:$A$504,0)),""))</f>
        <v/>
      </c>
      <c r="F81" s="13" t="n"/>
      <c r="G81" s="2" t="n"/>
      <c r="H81" s="2" t="n"/>
      <c r="I81" s="2" t="n"/>
      <c r="J81" s="2" t="n"/>
      <c r="K81" s="2" t="n"/>
    </row>
    <row r="82">
      <c r="A82" s="6" t="n"/>
      <c r="B82" s="14" t="n"/>
      <c r="C82" s="6" t="n"/>
      <c r="D82" s="6" t="n"/>
      <c r="E82" s="2">
        <f>IF($C82="","",IFERROR(INDEX(Units_Owners!$C$5:$C$504,MATCH($C82,Units_Owners!$A$5:$A$504,0)),""))</f>
        <v/>
      </c>
      <c r="F82" s="15" t="n"/>
      <c r="G82" s="6" t="n"/>
      <c r="H82" s="6" t="n"/>
      <c r="I82" s="6" t="n"/>
      <c r="J82" s="6" t="n"/>
      <c r="K82" s="6" t="n"/>
    </row>
    <row r="83">
      <c r="A83" s="2" t="n"/>
      <c r="B83" s="12" t="n"/>
      <c r="C83" s="2" t="n"/>
      <c r="D83" s="2" t="n"/>
      <c r="E83" s="2">
        <f>IF($C83="","",IFERROR(INDEX(Units_Owners!$C$5:$C$504,MATCH($C83,Units_Owners!$A$5:$A$504,0)),""))</f>
        <v/>
      </c>
      <c r="F83" s="13" t="n"/>
      <c r="G83" s="2" t="n"/>
      <c r="H83" s="2" t="n"/>
      <c r="I83" s="2" t="n"/>
      <c r="J83" s="2" t="n"/>
      <c r="K83" s="2" t="n"/>
    </row>
    <row r="84">
      <c r="A84" s="6" t="n"/>
      <c r="B84" s="14" t="n"/>
      <c r="C84" s="6" t="n"/>
      <c r="D84" s="6" t="n"/>
      <c r="E84" s="2">
        <f>IF($C84="","",IFERROR(INDEX(Units_Owners!$C$5:$C$504,MATCH($C84,Units_Owners!$A$5:$A$504,0)),""))</f>
        <v/>
      </c>
      <c r="F84" s="15" t="n"/>
      <c r="G84" s="6" t="n"/>
      <c r="H84" s="6" t="n"/>
      <c r="I84" s="6" t="n"/>
      <c r="J84" s="6" t="n"/>
      <c r="K84" s="6" t="n"/>
    </row>
    <row r="85">
      <c r="A85" s="2" t="n"/>
      <c r="B85" s="12" t="n"/>
      <c r="C85" s="2" t="n"/>
      <c r="D85" s="2" t="n"/>
      <c r="E85" s="2">
        <f>IF($C85="","",IFERROR(INDEX(Units_Owners!$C$5:$C$504,MATCH($C85,Units_Owners!$A$5:$A$504,0)),""))</f>
        <v/>
      </c>
      <c r="F85" s="13" t="n"/>
      <c r="G85" s="2" t="n"/>
      <c r="H85" s="2" t="n"/>
      <c r="I85" s="2" t="n"/>
      <c r="J85" s="2" t="n"/>
      <c r="K85" s="2" t="n"/>
    </row>
    <row r="86">
      <c r="A86" s="6" t="n"/>
      <c r="B86" s="14" t="n"/>
      <c r="C86" s="6" t="n"/>
      <c r="D86" s="6" t="n"/>
      <c r="E86" s="2">
        <f>IF($C86="","",IFERROR(INDEX(Units_Owners!$C$5:$C$504,MATCH($C86,Units_Owners!$A$5:$A$504,0)),""))</f>
        <v/>
      </c>
      <c r="F86" s="15" t="n"/>
      <c r="G86" s="6" t="n"/>
      <c r="H86" s="6" t="n"/>
      <c r="I86" s="6" t="n"/>
      <c r="J86" s="6" t="n"/>
      <c r="K86" s="6" t="n"/>
    </row>
    <row r="87">
      <c r="A87" s="2" t="n"/>
      <c r="B87" s="12" t="n"/>
      <c r="C87" s="2" t="n"/>
      <c r="D87" s="2" t="n"/>
      <c r="E87" s="2">
        <f>IF($C87="","",IFERROR(INDEX(Units_Owners!$C$5:$C$504,MATCH($C87,Units_Owners!$A$5:$A$504,0)),""))</f>
        <v/>
      </c>
      <c r="F87" s="13" t="n"/>
      <c r="G87" s="2" t="n"/>
      <c r="H87" s="2" t="n"/>
      <c r="I87" s="2" t="n"/>
      <c r="J87" s="2" t="n"/>
      <c r="K87" s="2" t="n"/>
    </row>
    <row r="88">
      <c r="A88" s="6" t="n"/>
      <c r="B88" s="14" t="n"/>
      <c r="C88" s="6" t="n"/>
      <c r="D88" s="6" t="n"/>
      <c r="E88" s="2">
        <f>IF($C88="","",IFERROR(INDEX(Units_Owners!$C$5:$C$504,MATCH($C88,Units_Owners!$A$5:$A$504,0)),""))</f>
        <v/>
      </c>
      <c r="F88" s="15" t="n"/>
      <c r="G88" s="6" t="n"/>
      <c r="H88" s="6" t="n"/>
      <c r="I88" s="6" t="n"/>
      <c r="J88" s="6" t="n"/>
      <c r="K88" s="6" t="n"/>
    </row>
    <row r="89">
      <c r="A89" s="2" t="n"/>
      <c r="B89" s="12" t="n"/>
      <c r="C89" s="2" t="n"/>
      <c r="D89" s="2" t="n"/>
      <c r="E89" s="2">
        <f>IF($C89="","",IFERROR(INDEX(Units_Owners!$C$5:$C$504,MATCH($C89,Units_Owners!$A$5:$A$504,0)),""))</f>
        <v/>
      </c>
      <c r="F89" s="13" t="n"/>
      <c r="G89" s="2" t="n"/>
      <c r="H89" s="2" t="n"/>
      <c r="I89" s="2" t="n"/>
      <c r="J89" s="2" t="n"/>
      <c r="K89" s="2" t="n"/>
    </row>
    <row r="90">
      <c r="A90" s="6" t="n"/>
      <c r="B90" s="14" t="n"/>
      <c r="C90" s="6" t="n"/>
      <c r="D90" s="6" t="n"/>
      <c r="E90" s="2">
        <f>IF($C90="","",IFERROR(INDEX(Units_Owners!$C$5:$C$504,MATCH($C90,Units_Owners!$A$5:$A$504,0)),""))</f>
        <v/>
      </c>
      <c r="F90" s="15" t="n"/>
      <c r="G90" s="6" t="n"/>
      <c r="H90" s="6" t="n"/>
      <c r="I90" s="6" t="n"/>
      <c r="J90" s="6" t="n"/>
      <c r="K90" s="6" t="n"/>
    </row>
    <row r="91">
      <c r="A91" s="2" t="n"/>
      <c r="B91" s="12" t="n"/>
      <c r="C91" s="2" t="n"/>
      <c r="D91" s="2" t="n"/>
      <c r="E91" s="2">
        <f>IF($C91="","",IFERROR(INDEX(Units_Owners!$C$5:$C$504,MATCH($C91,Units_Owners!$A$5:$A$504,0)),""))</f>
        <v/>
      </c>
      <c r="F91" s="13" t="n"/>
      <c r="G91" s="2" t="n"/>
      <c r="H91" s="2" t="n"/>
      <c r="I91" s="2" t="n"/>
      <c r="J91" s="2" t="n"/>
      <c r="K91" s="2" t="n"/>
    </row>
    <row r="92">
      <c r="A92" s="6" t="n"/>
      <c r="B92" s="14" t="n"/>
      <c r="C92" s="6" t="n"/>
      <c r="D92" s="6" t="n"/>
      <c r="E92" s="2">
        <f>IF($C92="","",IFERROR(INDEX(Units_Owners!$C$5:$C$504,MATCH($C92,Units_Owners!$A$5:$A$504,0)),""))</f>
        <v/>
      </c>
      <c r="F92" s="15" t="n"/>
      <c r="G92" s="6" t="n"/>
      <c r="H92" s="6" t="n"/>
      <c r="I92" s="6" t="n"/>
      <c r="J92" s="6" t="n"/>
      <c r="K92" s="6" t="n"/>
    </row>
    <row r="93">
      <c r="A93" s="2" t="n"/>
      <c r="B93" s="12" t="n"/>
      <c r="C93" s="2" t="n"/>
      <c r="D93" s="2" t="n"/>
      <c r="E93" s="2">
        <f>IF($C93="","",IFERROR(INDEX(Units_Owners!$C$5:$C$504,MATCH($C93,Units_Owners!$A$5:$A$504,0)),""))</f>
        <v/>
      </c>
      <c r="F93" s="13" t="n"/>
      <c r="G93" s="2" t="n"/>
      <c r="H93" s="2" t="n"/>
      <c r="I93" s="2" t="n"/>
      <c r="J93" s="2" t="n"/>
      <c r="K93" s="2" t="n"/>
    </row>
    <row r="94">
      <c r="A94" s="6" t="n"/>
      <c r="B94" s="14" t="n"/>
      <c r="C94" s="6" t="n"/>
      <c r="D94" s="6" t="n"/>
      <c r="E94" s="2">
        <f>IF($C94="","",IFERROR(INDEX(Units_Owners!$C$5:$C$504,MATCH($C94,Units_Owners!$A$5:$A$504,0)),""))</f>
        <v/>
      </c>
      <c r="F94" s="15" t="n"/>
      <c r="G94" s="6" t="n"/>
      <c r="H94" s="6" t="n"/>
      <c r="I94" s="6" t="n"/>
      <c r="J94" s="6" t="n"/>
      <c r="K94" s="6" t="n"/>
    </row>
    <row r="95">
      <c r="A95" s="2" t="n"/>
      <c r="B95" s="12" t="n"/>
      <c r="C95" s="2" t="n"/>
      <c r="D95" s="2" t="n"/>
      <c r="E95" s="2">
        <f>IF($C95="","",IFERROR(INDEX(Units_Owners!$C$5:$C$504,MATCH($C95,Units_Owners!$A$5:$A$504,0)),""))</f>
        <v/>
      </c>
      <c r="F95" s="13" t="n"/>
      <c r="G95" s="2" t="n"/>
      <c r="H95" s="2" t="n"/>
      <c r="I95" s="2" t="n"/>
      <c r="J95" s="2" t="n"/>
      <c r="K95" s="2" t="n"/>
    </row>
    <row r="96">
      <c r="A96" s="6" t="n"/>
      <c r="B96" s="14" t="n"/>
      <c r="C96" s="6" t="n"/>
      <c r="D96" s="6" t="n"/>
      <c r="E96" s="2">
        <f>IF($C96="","",IFERROR(INDEX(Units_Owners!$C$5:$C$504,MATCH($C96,Units_Owners!$A$5:$A$504,0)),""))</f>
        <v/>
      </c>
      <c r="F96" s="15" t="n"/>
      <c r="G96" s="6" t="n"/>
      <c r="H96" s="6" t="n"/>
      <c r="I96" s="6" t="n"/>
      <c r="J96" s="6" t="n"/>
      <c r="K96" s="6" t="n"/>
    </row>
    <row r="97">
      <c r="A97" s="2" t="n"/>
      <c r="B97" s="12" t="n"/>
      <c r="C97" s="2" t="n"/>
      <c r="D97" s="2" t="n"/>
      <c r="E97" s="2">
        <f>IF($C97="","",IFERROR(INDEX(Units_Owners!$C$5:$C$504,MATCH($C97,Units_Owners!$A$5:$A$504,0)),""))</f>
        <v/>
      </c>
      <c r="F97" s="13" t="n"/>
      <c r="G97" s="2" t="n"/>
      <c r="H97" s="2" t="n"/>
      <c r="I97" s="2" t="n"/>
      <c r="J97" s="2" t="n"/>
      <c r="K97" s="2" t="n"/>
    </row>
    <row r="98">
      <c r="A98" s="6" t="n"/>
      <c r="B98" s="14" t="n"/>
      <c r="C98" s="6" t="n"/>
      <c r="D98" s="6" t="n"/>
      <c r="E98" s="2">
        <f>IF($C98="","",IFERROR(INDEX(Units_Owners!$C$5:$C$504,MATCH($C98,Units_Owners!$A$5:$A$504,0)),""))</f>
        <v/>
      </c>
      <c r="F98" s="15" t="n"/>
      <c r="G98" s="6" t="n"/>
      <c r="H98" s="6" t="n"/>
      <c r="I98" s="6" t="n"/>
      <c r="J98" s="6" t="n"/>
      <c r="K98" s="6" t="n"/>
    </row>
    <row r="99">
      <c r="A99" s="2" t="n"/>
      <c r="B99" s="12" t="n"/>
      <c r="C99" s="2" t="n"/>
      <c r="D99" s="2" t="n"/>
      <c r="E99" s="2">
        <f>IF($C99="","",IFERROR(INDEX(Units_Owners!$C$5:$C$504,MATCH($C99,Units_Owners!$A$5:$A$504,0)),""))</f>
        <v/>
      </c>
      <c r="F99" s="13" t="n"/>
      <c r="G99" s="2" t="n"/>
      <c r="H99" s="2" t="n"/>
      <c r="I99" s="2" t="n"/>
      <c r="J99" s="2" t="n"/>
      <c r="K99" s="2" t="n"/>
    </row>
    <row r="100">
      <c r="A100" s="6" t="n"/>
      <c r="B100" s="14" t="n"/>
      <c r="C100" s="6" t="n"/>
      <c r="D100" s="6" t="n"/>
      <c r="E100" s="2">
        <f>IF($C100="","",IFERROR(INDEX(Units_Owners!$C$5:$C$504,MATCH($C100,Units_Owners!$A$5:$A$504,0)),""))</f>
        <v/>
      </c>
      <c r="F100" s="15" t="n"/>
      <c r="G100" s="6" t="n"/>
      <c r="H100" s="6" t="n"/>
      <c r="I100" s="6" t="n"/>
      <c r="J100" s="6" t="n"/>
      <c r="K100" s="6" t="n"/>
    </row>
    <row r="101">
      <c r="A101" s="2" t="n"/>
      <c r="B101" s="12" t="n"/>
      <c r="C101" s="2" t="n"/>
      <c r="D101" s="2" t="n"/>
      <c r="E101" s="2">
        <f>IF($C101="","",IFERROR(INDEX(Units_Owners!$C$5:$C$504,MATCH($C101,Units_Owners!$A$5:$A$504,0)),""))</f>
        <v/>
      </c>
      <c r="F101" s="13" t="n"/>
      <c r="G101" s="2" t="n"/>
      <c r="H101" s="2" t="n"/>
      <c r="I101" s="2" t="n"/>
      <c r="J101" s="2" t="n"/>
      <c r="K101" s="2" t="n"/>
    </row>
    <row r="102">
      <c r="A102" s="6" t="n"/>
      <c r="B102" s="14" t="n"/>
      <c r="C102" s="6" t="n"/>
      <c r="D102" s="6" t="n"/>
      <c r="E102" s="2">
        <f>IF($C102="","",IFERROR(INDEX(Units_Owners!$C$5:$C$504,MATCH($C102,Units_Owners!$A$5:$A$504,0)),""))</f>
        <v/>
      </c>
      <c r="F102" s="15" t="n"/>
      <c r="G102" s="6" t="n"/>
      <c r="H102" s="6" t="n"/>
      <c r="I102" s="6" t="n"/>
      <c r="J102" s="6" t="n"/>
      <c r="K102" s="6" t="n"/>
    </row>
    <row r="103">
      <c r="A103" s="2" t="n"/>
      <c r="B103" s="12" t="n"/>
      <c r="C103" s="2" t="n"/>
      <c r="D103" s="2" t="n"/>
      <c r="E103" s="2">
        <f>IF($C103="","",IFERROR(INDEX(Units_Owners!$C$5:$C$504,MATCH($C103,Units_Owners!$A$5:$A$504,0)),""))</f>
        <v/>
      </c>
      <c r="F103" s="13" t="n"/>
      <c r="G103" s="2" t="n"/>
      <c r="H103" s="2" t="n"/>
      <c r="I103" s="2" t="n"/>
      <c r="J103" s="2" t="n"/>
      <c r="K103" s="2" t="n"/>
    </row>
    <row r="104">
      <c r="A104" s="6" t="n"/>
      <c r="B104" s="14" t="n"/>
      <c r="C104" s="6" t="n"/>
      <c r="D104" s="6" t="n"/>
      <c r="E104" s="2">
        <f>IF($C104="","",IFERROR(INDEX(Units_Owners!$C$5:$C$504,MATCH($C104,Units_Owners!$A$5:$A$504,0)),""))</f>
        <v/>
      </c>
      <c r="F104" s="15" t="n"/>
      <c r="G104" s="6" t="n"/>
      <c r="H104" s="6" t="n"/>
      <c r="I104" s="6" t="n"/>
      <c r="J104" s="6" t="n"/>
      <c r="K104" s="6" t="n"/>
    </row>
    <row r="105">
      <c r="A105" s="2" t="n"/>
      <c r="B105" s="12" t="n"/>
      <c r="C105" s="2" t="n"/>
      <c r="D105" s="2" t="n"/>
      <c r="E105" s="2">
        <f>IF($C105="","",IFERROR(INDEX(Units_Owners!$C$5:$C$504,MATCH($C105,Units_Owners!$A$5:$A$504,0)),""))</f>
        <v/>
      </c>
      <c r="F105" s="13" t="n"/>
      <c r="G105" s="2" t="n"/>
      <c r="H105" s="2" t="n"/>
      <c r="I105" s="2" t="n"/>
      <c r="J105" s="2" t="n"/>
      <c r="K105" s="2" t="n"/>
    </row>
    <row r="106">
      <c r="A106" s="6" t="n"/>
      <c r="B106" s="14" t="n"/>
      <c r="C106" s="6" t="n"/>
      <c r="D106" s="6" t="n"/>
      <c r="E106" s="2">
        <f>IF($C106="","",IFERROR(INDEX(Units_Owners!$C$5:$C$504,MATCH($C106,Units_Owners!$A$5:$A$504,0)),""))</f>
        <v/>
      </c>
      <c r="F106" s="15" t="n"/>
      <c r="G106" s="6" t="n"/>
      <c r="H106" s="6" t="n"/>
      <c r="I106" s="6" t="n"/>
      <c r="J106" s="6" t="n"/>
      <c r="K106" s="6" t="n"/>
    </row>
    <row r="107">
      <c r="A107" s="2" t="n"/>
      <c r="B107" s="12" t="n"/>
      <c r="C107" s="2" t="n"/>
      <c r="D107" s="2" t="n"/>
      <c r="E107" s="2">
        <f>IF($C107="","",IFERROR(INDEX(Units_Owners!$C$5:$C$504,MATCH($C107,Units_Owners!$A$5:$A$504,0)),""))</f>
        <v/>
      </c>
      <c r="F107" s="13" t="n"/>
      <c r="G107" s="2" t="n"/>
      <c r="H107" s="2" t="n"/>
      <c r="I107" s="2" t="n"/>
      <c r="J107" s="2" t="n"/>
      <c r="K107" s="2" t="n"/>
    </row>
    <row r="108">
      <c r="A108" s="6" t="n"/>
      <c r="B108" s="14" t="n"/>
      <c r="C108" s="6" t="n"/>
      <c r="D108" s="6" t="n"/>
      <c r="E108" s="2">
        <f>IF($C108="","",IFERROR(INDEX(Units_Owners!$C$5:$C$504,MATCH($C108,Units_Owners!$A$5:$A$504,0)),""))</f>
        <v/>
      </c>
      <c r="F108" s="15" t="n"/>
      <c r="G108" s="6" t="n"/>
      <c r="H108" s="6" t="n"/>
      <c r="I108" s="6" t="n"/>
      <c r="J108" s="6" t="n"/>
      <c r="K108" s="6" t="n"/>
    </row>
    <row r="109">
      <c r="A109" s="2" t="n"/>
      <c r="B109" s="12" t="n"/>
      <c r="C109" s="2" t="n"/>
      <c r="D109" s="2" t="n"/>
      <c r="E109" s="2">
        <f>IF($C109="","",IFERROR(INDEX(Units_Owners!$C$5:$C$504,MATCH($C109,Units_Owners!$A$5:$A$504,0)),""))</f>
        <v/>
      </c>
      <c r="F109" s="13" t="n"/>
      <c r="G109" s="2" t="n"/>
      <c r="H109" s="2" t="n"/>
      <c r="I109" s="2" t="n"/>
      <c r="J109" s="2" t="n"/>
      <c r="K109" s="2" t="n"/>
    </row>
    <row r="110">
      <c r="A110" s="6" t="n"/>
      <c r="B110" s="14" t="n"/>
      <c r="C110" s="6" t="n"/>
      <c r="D110" s="6" t="n"/>
      <c r="E110" s="2">
        <f>IF($C110="","",IFERROR(INDEX(Units_Owners!$C$5:$C$504,MATCH($C110,Units_Owners!$A$5:$A$504,0)),""))</f>
        <v/>
      </c>
      <c r="F110" s="15" t="n"/>
      <c r="G110" s="6" t="n"/>
      <c r="H110" s="6" t="n"/>
      <c r="I110" s="6" t="n"/>
      <c r="J110" s="6" t="n"/>
      <c r="K110" s="6" t="n"/>
    </row>
    <row r="111">
      <c r="A111" s="2" t="n"/>
      <c r="B111" s="12" t="n"/>
      <c r="C111" s="2" t="n"/>
      <c r="D111" s="2" t="n"/>
      <c r="E111" s="2">
        <f>IF($C111="","",IFERROR(INDEX(Units_Owners!$C$5:$C$504,MATCH($C111,Units_Owners!$A$5:$A$504,0)),""))</f>
        <v/>
      </c>
      <c r="F111" s="13" t="n"/>
      <c r="G111" s="2" t="n"/>
      <c r="H111" s="2" t="n"/>
      <c r="I111" s="2" t="n"/>
      <c r="J111" s="2" t="n"/>
      <c r="K111" s="2" t="n"/>
    </row>
    <row r="112">
      <c r="A112" s="6" t="n"/>
      <c r="B112" s="14" t="n"/>
      <c r="C112" s="6" t="n"/>
      <c r="D112" s="6" t="n"/>
      <c r="E112" s="2">
        <f>IF($C112="","",IFERROR(INDEX(Units_Owners!$C$5:$C$504,MATCH($C112,Units_Owners!$A$5:$A$504,0)),""))</f>
        <v/>
      </c>
      <c r="F112" s="15" t="n"/>
      <c r="G112" s="6" t="n"/>
      <c r="H112" s="6" t="n"/>
      <c r="I112" s="6" t="n"/>
      <c r="J112" s="6" t="n"/>
      <c r="K112" s="6" t="n"/>
    </row>
    <row r="113">
      <c r="A113" s="2" t="n"/>
      <c r="B113" s="12" t="n"/>
      <c r="C113" s="2" t="n"/>
      <c r="D113" s="2" t="n"/>
      <c r="E113" s="2">
        <f>IF($C113="","",IFERROR(INDEX(Units_Owners!$C$5:$C$504,MATCH($C113,Units_Owners!$A$5:$A$504,0)),""))</f>
        <v/>
      </c>
      <c r="F113" s="13" t="n"/>
      <c r="G113" s="2" t="n"/>
      <c r="H113" s="2" t="n"/>
      <c r="I113" s="2" t="n"/>
      <c r="J113" s="2" t="n"/>
      <c r="K113" s="2" t="n"/>
    </row>
    <row r="114">
      <c r="A114" s="6" t="n"/>
      <c r="B114" s="14" t="n"/>
      <c r="C114" s="6" t="n"/>
      <c r="D114" s="6" t="n"/>
      <c r="E114" s="2">
        <f>IF($C114="","",IFERROR(INDEX(Units_Owners!$C$5:$C$504,MATCH($C114,Units_Owners!$A$5:$A$504,0)),""))</f>
        <v/>
      </c>
      <c r="F114" s="15" t="n"/>
      <c r="G114" s="6" t="n"/>
      <c r="H114" s="6" t="n"/>
      <c r="I114" s="6" t="n"/>
      <c r="J114" s="6" t="n"/>
      <c r="K114" s="6" t="n"/>
    </row>
    <row r="115">
      <c r="A115" s="2" t="n"/>
      <c r="B115" s="12" t="n"/>
      <c r="C115" s="2" t="n"/>
      <c r="D115" s="2" t="n"/>
      <c r="E115" s="2">
        <f>IF($C115="","",IFERROR(INDEX(Units_Owners!$C$5:$C$504,MATCH($C115,Units_Owners!$A$5:$A$504,0)),""))</f>
        <v/>
      </c>
      <c r="F115" s="13" t="n"/>
      <c r="G115" s="2" t="n"/>
      <c r="H115" s="2" t="n"/>
      <c r="I115" s="2" t="n"/>
      <c r="J115" s="2" t="n"/>
      <c r="K115" s="2" t="n"/>
    </row>
    <row r="116">
      <c r="A116" s="6" t="n"/>
      <c r="B116" s="14" t="n"/>
      <c r="C116" s="6" t="n"/>
      <c r="D116" s="6" t="n"/>
      <c r="E116" s="2">
        <f>IF($C116="","",IFERROR(INDEX(Units_Owners!$C$5:$C$504,MATCH($C116,Units_Owners!$A$5:$A$504,0)),""))</f>
        <v/>
      </c>
      <c r="F116" s="15" t="n"/>
      <c r="G116" s="6" t="n"/>
      <c r="H116" s="6" t="n"/>
      <c r="I116" s="6" t="n"/>
      <c r="J116" s="6" t="n"/>
      <c r="K116" s="6" t="n"/>
    </row>
    <row r="117">
      <c r="A117" s="2" t="n"/>
      <c r="B117" s="12" t="n"/>
      <c r="C117" s="2" t="n"/>
      <c r="D117" s="2" t="n"/>
      <c r="E117" s="2">
        <f>IF($C117="","",IFERROR(INDEX(Units_Owners!$C$5:$C$504,MATCH($C117,Units_Owners!$A$5:$A$504,0)),""))</f>
        <v/>
      </c>
      <c r="F117" s="13" t="n"/>
      <c r="G117" s="2" t="n"/>
      <c r="H117" s="2" t="n"/>
      <c r="I117" s="2" t="n"/>
      <c r="J117" s="2" t="n"/>
      <c r="K117" s="2" t="n"/>
    </row>
    <row r="118">
      <c r="A118" s="6" t="n"/>
      <c r="B118" s="14" t="n"/>
      <c r="C118" s="6" t="n"/>
      <c r="D118" s="6" t="n"/>
      <c r="E118" s="2">
        <f>IF($C118="","",IFERROR(INDEX(Units_Owners!$C$5:$C$504,MATCH($C118,Units_Owners!$A$5:$A$504,0)),""))</f>
        <v/>
      </c>
      <c r="F118" s="15" t="n"/>
      <c r="G118" s="6" t="n"/>
      <c r="H118" s="6" t="n"/>
      <c r="I118" s="6" t="n"/>
      <c r="J118" s="6" t="n"/>
      <c r="K118" s="6" t="n"/>
    </row>
    <row r="119">
      <c r="A119" s="2" t="n"/>
      <c r="B119" s="12" t="n"/>
      <c r="C119" s="2" t="n"/>
      <c r="D119" s="2" t="n"/>
      <c r="E119" s="2">
        <f>IF($C119="","",IFERROR(INDEX(Units_Owners!$C$5:$C$504,MATCH($C119,Units_Owners!$A$5:$A$504,0)),""))</f>
        <v/>
      </c>
      <c r="F119" s="13" t="n"/>
      <c r="G119" s="2" t="n"/>
      <c r="H119" s="2" t="n"/>
      <c r="I119" s="2" t="n"/>
      <c r="J119" s="2" t="n"/>
      <c r="K119" s="2" t="n"/>
    </row>
    <row r="120">
      <c r="A120" s="6" t="n"/>
      <c r="B120" s="14" t="n"/>
      <c r="C120" s="6" t="n"/>
      <c r="D120" s="6" t="n"/>
      <c r="E120" s="2">
        <f>IF($C120="","",IFERROR(INDEX(Units_Owners!$C$5:$C$504,MATCH($C120,Units_Owners!$A$5:$A$504,0)),""))</f>
        <v/>
      </c>
      <c r="F120" s="15" t="n"/>
      <c r="G120" s="6" t="n"/>
      <c r="H120" s="6" t="n"/>
      <c r="I120" s="6" t="n"/>
      <c r="J120" s="6" t="n"/>
      <c r="K120" s="6" t="n"/>
    </row>
    <row r="121">
      <c r="A121" s="2" t="n"/>
      <c r="B121" s="12" t="n"/>
      <c r="C121" s="2" t="n"/>
      <c r="D121" s="2" t="n"/>
      <c r="E121" s="2">
        <f>IF($C121="","",IFERROR(INDEX(Units_Owners!$C$5:$C$504,MATCH($C121,Units_Owners!$A$5:$A$504,0)),""))</f>
        <v/>
      </c>
      <c r="F121" s="13" t="n"/>
      <c r="G121" s="2" t="n"/>
      <c r="H121" s="2" t="n"/>
      <c r="I121" s="2" t="n"/>
      <c r="J121" s="2" t="n"/>
      <c r="K121" s="2" t="n"/>
    </row>
    <row r="122">
      <c r="A122" s="6" t="n"/>
      <c r="B122" s="14" t="n"/>
      <c r="C122" s="6" t="n"/>
      <c r="D122" s="6" t="n"/>
      <c r="E122" s="2">
        <f>IF($C122="","",IFERROR(INDEX(Units_Owners!$C$5:$C$504,MATCH($C122,Units_Owners!$A$5:$A$504,0)),""))</f>
        <v/>
      </c>
      <c r="F122" s="15" t="n"/>
      <c r="G122" s="6" t="n"/>
      <c r="H122" s="6" t="n"/>
      <c r="I122" s="6" t="n"/>
      <c r="J122" s="6" t="n"/>
      <c r="K122" s="6" t="n"/>
    </row>
    <row r="123">
      <c r="A123" s="2" t="n"/>
      <c r="B123" s="12" t="n"/>
      <c r="C123" s="2" t="n"/>
      <c r="D123" s="2" t="n"/>
      <c r="E123" s="2">
        <f>IF($C123="","",IFERROR(INDEX(Units_Owners!$C$5:$C$504,MATCH($C123,Units_Owners!$A$5:$A$504,0)),""))</f>
        <v/>
      </c>
      <c r="F123" s="13" t="n"/>
      <c r="G123" s="2" t="n"/>
      <c r="H123" s="2" t="n"/>
      <c r="I123" s="2" t="n"/>
      <c r="J123" s="2" t="n"/>
      <c r="K123" s="2" t="n"/>
    </row>
    <row r="124">
      <c r="A124" s="6" t="n"/>
      <c r="B124" s="14" t="n"/>
      <c r="C124" s="6" t="n"/>
      <c r="D124" s="6" t="n"/>
      <c r="E124" s="2">
        <f>IF($C124="","",IFERROR(INDEX(Units_Owners!$C$5:$C$504,MATCH($C124,Units_Owners!$A$5:$A$504,0)),""))</f>
        <v/>
      </c>
      <c r="F124" s="15" t="n"/>
      <c r="G124" s="6" t="n"/>
      <c r="H124" s="6" t="n"/>
      <c r="I124" s="6" t="n"/>
      <c r="J124" s="6" t="n"/>
      <c r="K124" s="6" t="n"/>
    </row>
    <row r="125">
      <c r="A125" s="2" t="n"/>
      <c r="B125" s="12" t="n"/>
      <c r="C125" s="2" t="n"/>
      <c r="D125" s="2" t="n"/>
      <c r="E125" s="2">
        <f>IF($C125="","",IFERROR(INDEX(Units_Owners!$C$5:$C$504,MATCH($C125,Units_Owners!$A$5:$A$504,0)),""))</f>
        <v/>
      </c>
      <c r="F125" s="13" t="n"/>
      <c r="G125" s="2" t="n"/>
      <c r="H125" s="2" t="n"/>
      <c r="I125" s="2" t="n"/>
      <c r="J125" s="2" t="n"/>
      <c r="K125" s="2" t="n"/>
    </row>
    <row r="126">
      <c r="A126" s="6" t="n"/>
      <c r="B126" s="14" t="n"/>
      <c r="C126" s="6" t="n"/>
      <c r="D126" s="6" t="n"/>
      <c r="E126" s="2">
        <f>IF($C126="","",IFERROR(INDEX(Units_Owners!$C$5:$C$504,MATCH($C126,Units_Owners!$A$5:$A$504,0)),""))</f>
        <v/>
      </c>
      <c r="F126" s="15" t="n"/>
      <c r="G126" s="6" t="n"/>
      <c r="H126" s="6" t="n"/>
      <c r="I126" s="6" t="n"/>
      <c r="J126" s="6" t="n"/>
      <c r="K126" s="6" t="n"/>
    </row>
    <row r="127">
      <c r="A127" s="2" t="n"/>
      <c r="B127" s="12" t="n"/>
      <c r="C127" s="2" t="n"/>
      <c r="D127" s="2" t="n"/>
      <c r="E127" s="2">
        <f>IF($C127="","",IFERROR(INDEX(Units_Owners!$C$5:$C$504,MATCH($C127,Units_Owners!$A$5:$A$504,0)),""))</f>
        <v/>
      </c>
      <c r="F127" s="13" t="n"/>
      <c r="G127" s="2" t="n"/>
      <c r="H127" s="2" t="n"/>
      <c r="I127" s="2" t="n"/>
      <c r="J127" s="2" t="n"/>
      <c r="K127" s="2" t="n"/>
    </row>
    <row r="128">
      <c r="A128" s="6" t="n"/>
      <c r="B128" s="14" t="n"/>
      <c r="C128" s="6" t="n"/>
      <c r="D128" s="6" t="n"/>
      <c r="E128" s="2">
        <f>IF($C128="","",IFERROR(INDEX(Units_Owners!$C$5:$C$504,MATCH($C128,Units_Owners!$A$5:$A$504,0)),""))</f>
        <v/>
      </c>
      <c r="F128" s="15" t="n"/>
      <c r="G128" s="6" t="n"/>
      <c r="H128" s="6" t="n"/>
      <c r="I128" s="6" t="n"/>
      <c r="J128" s="6" t="n"/>
      <c r="K128" s="6" t="n"/>
    </row>
    <row r="129">
      <c r="A129" s="2" t="n"/>
      <c r="B129" s="12" t="n"/>
      <c r="C129" s="2" t="n"/>
      <c r="D129" s="2" t="n"/>
      <c r="E129" s="2">
        <f>IF($C129="","",IFERROR(INDEX(Units_Owners!$C$5:$C$504,MATCH($C129,Units_Owners!$A$5:$A$504,0)),""))</f>
        <v/>
      </c>
      <c r="F129" s="13" t="n"/>
      <c r="G129" s="2" t="n"/>
      <c r="H129" s="2" t="n"/>
      <c r="I129" s="2" t="n"/>
      <c r="J129" s="2" t="n"/>
      <c r="K129" s="2" t="n"/>
    </row>
    <row r="130">
      <c r="A130" s="6" t="n"/>
      <c r="B130" s="14" t="n"/>
      <c r="C130" s="6" t="n"/>
      <c r="D130" s="6" t="n"/>
      <c r="E130" s="2">
        <f>IF($C130="","",IFERROR(INDEX(Units_Owners!$C$5:$C$504,MATCH($C130,Units_Owners!$A$5:$A$504,0)),""))</f>
        <v/>
      </c>
      <c r="F130" s="15" t="n"/>
      <c r="G130" s="6" t="n"/>
      <c r="H130" s="6" t="n"/>
      <c r="I130" s="6" t="n"/>
      <c r="J130" s="6" t="n"/>
      <c r="K130" s="6" t="n"/>
    </row>
    <row r="131">
      <c r="A131" s="2" t="n"/>
      <c r="B131" s="12" t="n"/>
      <c r="C131" s="2" t="n"/>
      <c r="D131" s="2" t="n"/>
      <c r="E131" s="2">
        <f>IF($C131="","",IFERROR(INDEX(Units_Owners!$C$5:$C$504,MATCH($C131,Units_Owners!$A$5:$A$504,0)),""))</f>
        <v/>
      </c>
      <c r="F131" s="13" t="n"/>
      <c r="G131" s="2" t="n"/>
      <c r="H131" s="2" t="n"/>
      <c r="I131" s="2" t="n"/>
      <c r="J131" s="2" t="n"/>
      <c r="K131" s="2" t="n"/>
    </row>
    <row r="132">
      <c r="A132" s="6" t="n"/>
      <c r="B132" s="14" t="n"/>
      <c r="C132" s="6" t="n"/>
      <c r="D132" s="6" t="n"/>
      <c r="E132" s="2">
        <f>IF($C132="","",IFERROR(INDEX(Units_Owners!$C$5:$C$504,MATCH($C132,Units_Owners!$A$5:$A$504,0)),""))</f>
        <v/>
      </c>
      <c r="F132" s="15" t="n"/>
      <c r="G132" s="6" t="n"/>
      <c r="H132" s="6" t="n"/>
      <c r="I132" s="6" t="n"/>
      <c r="J132" s="6" t="n"/>
      <c r="K132" s="6" t="n"/>
    </row>
    <row r="133">
      <c r="A133" s="2" t="n"/>
      <c r="B133" s="12" t="n"/>
      <c r="C133" s="2" t="n"/>
      <c r="D133" s="2" t="n"/>
      <c r="E133" s="2">
        <f>IF($C133="","",IFERROR(INDEX(Units_Owners!$C$5:$C$504,MATCH($C133,Units_Owners!$A$5:$A$504,0)),""))</f>
        <v/>
      </c>
      <c r="F133" s="13" t="n"/>
      <c r="G133" s="2" t="n"/>
      <c r="H133" s="2" t="n"/>
      <c r="I133" s="2" t="n"/>
      <c r="J133" s="2" t="n"/>
      <c r="K133" s="2" t="n"/>
    </row>
    <row r="134">
      <c r="A134" s="6" t="n"/>
      <c r="B134" s="14" t="n"/>
      <c r="C134" s="6" t="n"/>
      <c r="D134" s="6" t="n"/>
      <c r="E134" s="2">
        <f>IF($C134="","",IFERROR(INDEX(Units_Owners!$C$5:$C$504,MATCH($C134,Units_Owners!$A$5:$A$504,0)),""))</f>
        <v/>
      </c>
      <c r="F134" s="15" t="n"/>
      <c r="G134" s="6" t="n"/>
      <c r="H134" s="6" t="n"/>
      <c r="I134" s="6" t="n"/>
      <c r="J134" s="6" t="n"/>
      <c r="K134" s="6" t="n"/>
    </row>
    <row r="135">
      <c r="A135" s="2" t="n"/>
      <c r="B135" s="12" t="n"/>
      <c r="C135" s="2" t="n"/>
      <c r="D135" s="2" t="n"/>
      <c r="E135" s="2">
        <f>IF($C135="","",IFERROR(INDEX(Units_Owners!$C$5:$C$504,MATCH($C135,Units_Owners!$A$5:$A$504,0)),""))</f>
        <v/>
      </c>
      <c r="F135" s="13" t="n"/>
      <c r="G135" s="2" t="n"/>
      <c r="H135" s="2" t="n"/>
      <c r="I135" s="2" t="n"/>
      <c r="J135" s="2" t="n"/>
      <c r="K135" s="2" t="n"/>
    </row>
    <row r="136">
      <c r="A136" s="6" t="n"/>
      <c r="B136" s="14" t="n"/>
      <c r="C136" s="6" t="n"/>
      <c r="D136" s="6" t="n"/>
      <c r="E136" s="2">
        <f>IF($C136="","",IFERROR(INDEX(Units_Owners!$C$5:$C$504,MATCH($C136,Units_Owners!$A$5:$A$504,0)),""))</f>
        <v/>
      </c>
      <c r="F136" s="15" t="n"/>
      <c r="G136" s="6" t="n"/>
      <c r="H136" s="6" t="n"/>
      <c r="I136" s="6" t="n"/>
      <c r="J136" s="6" t="n"/>
      <c r="K136" s="6" t="n"/>
    </row>
    <row r="137">
      <c r="A137" s="2" t="n"/>
      <c r="B137" s="12" t="n"/>
      <c r="C137" s="2" t="n"/>
      <c r="D137" s="2" t="n"/>
      <c r="E137" s="2">
        <f>IF($C137="","",IFERROR(INDEX(Units_Owners!$C$5:$C$504,MATCH($C137,Units_Owners!$A$5:$A$504,0)),""))</f>
        <v/>
      </c>
      <c r="F137" s="13" t="n"/>
      <c r="G137" s="2" t="n"/>
      <c r="H137" s="2" t="n"/>
      <c r="I137" s="2" t="n"/>
      <c r="J137" s="2" t="n"/>
      <c r="K137" s="2" t="n"/>
    </row>
    <row r="138">
      <c r="A138" s="6" t="n"/>
      <c r="B138" s="14" t="n"/>
      <c r="C138" s="6" t="n"/>
      <c r="D138" s="6" t="n"/>
      <c r="E138" s="2">
        <f>IF($C138="","",IFERROR(INDEX(Units_Owners!$C$5:$C$504,MATCH($C138,Units_Owners!$A$5:$A$504,0)),""))</f>
        <v/>
      </c>
      <c r="F138" s="15" t="n"/>
      <c r="G138" s="6" t="n"/>
      <c r="H138" s="6" t="n"/>
      <c r="I138" s="6" t="n"/>
      <c r="J138" s="6" t="n"/>
      <c r="K138" s="6" t="n"/>
    </row>
    <row r="139">
      <c r="A139" s="2" t="n"/>
      <c r="B139" s="12" t="n"/>
      <c r="C139" s="2" t="n"/>
      <c r="D139" s="2" t="n"/>
      <c r="E139" s="2">
        <f>IF($C139="","",IFERROR(INDEX(Units_Owners!$C$5:$C$504,MATCH($C139,Units_Owners!$A$5:$A$504,0)),""))</f>
        <v/>
      </c>
      <c r="F139" s="13" t="n"/>
      <c r="G139" s="2" t="n"/>
      <c r="H139" s="2" t="n"/>
      <c r="I139" s="2" t="n"/>
      <c r="J139" s="2" t="n"/>
      <c r="K139" s="2" t="n"/>
    </row>
    <row r="140">
      <c r="A140" s="6" t="n"/>
      <c r="B140" s="14" t="n"/>
      <c r="C140" s="6" t="n"/>
      <c r="D140" s="6" t="n"/>
      <c r="E140" s="2">
        <f>IF($C140="","",IFERROR(INDEX(Units_Owners!$C$5:$C$504,MATCH($C140,Units_Owners!$A$5:$A$504,0)),""))</f>
        <v/>
      </c>
      <c r="F140" s="15" t="n"/>
      <c r="G140" s="6" t="n"/>
      <c r="H140" s="6" t="n"/>
      <c r="I140" s="6" t="n"/>
      <c r="J140" s="6" t="n"/>
      <c r="K140" s="6" t="n"/>
    </row>
    <row r="141">
      <c r="A141" s="2" t="n"/>
      <c r="B141" s="12" t="n"/>
      <c r="C141" s="2" t="n"/>
      <c r="D141" s="2" t="n"/>
      <c r="E141" s="2">
        <f>IF($C141="","",IFERROR(INDEX(Units_Owners!$C$5:$C$504,MATCH($C141,Units_Owners!$A$5:$A$504,0)),""))</f>
        <v/>
      </c>
      <c r="F141" s="13" t="n"/>
      <c r="G141" s="2" t="n"/>
      <c r="H141" s="2" t="n"/>
      <c r="I141" s="2" t="n"/>
      <c r="J141" s="2" t="n"/>
      <c r="K141" s="2" t="n"/>
    </row>
    <row r="142">
      <c r="A142" s="6" t="n"/>
      <c r="B142" s="14" t="n"/>
      <c r="C142" s="6" t="n"/>
      <c r="D142" s="6" t="n"/>
      <c r="E142" s="2">
        <f>IF($C142="","",IFERROR(INDEX(Units_Owners!$C$5:$C$504,MATCH($C142,Units_Owners!$A$5:$A$504,0)),""))</f>
        <v/>
      </c>
      <c r="F142" s="15" t="n"/>
      <c r="G142" s="6" t="n"/>
      <c r="H142" s="6" t="n"/>
      <c r="I142" s="6" t="n"/>
      <c r="J142" s="6" t="n"/>
      <c r="K142" s="6" t="n"/>
    </row>
    <row r="143">
      <c r="A143" s="2" t="n"/>
      <c r="B143" s="12" t="n"/>
      <c r="C143" s="2" t="n"/>
      <c r="D143" s="2" t="n"/>
      <c r="E143" s="2">
        <f>IF($C143="","",IFERROR(INDEX(Units_Owners!$C$5:$C$504,MATCH($C143,Units_Owners!$A$5:$A$504,0)),""))</f>
        <v/>
      </c>
      <c r="F143" s="13" t="n"/>
      <c r="G143" s="2" t="n"/>
      <c r="H143" s="2" t="n"/>
      <c r="I143" s="2" t="n"/>
      <c r="J143" s="2" t="n"/>
      <c r="K143" s="2" t="n"/>
    </row>
    <row r="144">
      <c r="A144" s="6" t="n"/>
      <c r="B144" s="14" t="n"/>
      <c r="C144" s="6" t="n"/>
      <c r="D144" s="6" t="n"/>
      <c r="E144" s="2">
        <f>IF($C144="","",IFERROR(INDEX(Units_Owners!$C$5:$C$504,MATCH($C144,Units_Owners!$A$5:$A$504,0)),""))</f>
        <v/>
      </c>
      <c r="F144" s="15" t="n"/>
      <c r="G144" s="6" t="n"/>
      <c r="H144" s="6" t="n"/>
      <c r="I144" s="6" t="n"/>
      <c r="J144" s="6" t="n"/>
      <c r="K144" s="6" t="n"/>
    </row>
    <row r="145">
      <c r="A145" s="2" t="n"/>
      <c r="B145" s="12" t="n"/>
      <c r="C145" s="2" t="n"/>
      <c r="D145" s="2" t="n"/>
      <c r="E145" s="2">
        <f>IF($C145="","",IFERROR(INDEX(Units_Owners!$C$5:$C$504,MATCH($C145,Units_Owners!$A$5:$A$504,0)),""))</f>
        <v/>
      </c>
      <c r="F145" s="13" t="n"/>
      <c r="G145" s="2" t="n"/>
      <c r="H145" s="2" t="n"/>
      <c r="I145" s="2" t="n"/>
      <c r="J145" s="2" t="n"/>
      <c r="K145" s="2" t="n"/>
    </row>
    <row r="146">
      <c r="A146" s="6" t="n"/>
      <c r="B146" s="14" t="n"/>
      <c r="C146" s="6" t="n"/>
      <c r="D146" s="6" t="n"/>
      <c r="E146" s="2">
        <f>IF($C146="","",IFERROR(INDEX(Units_Owners!$C$5:$C$504,MATCH($C146,Units_Owners!$A$5:$A$504,0)),""))</f>
        <v/>
      </c>
      <c r="F146" s="15" t="n"/>
      <c r="G146" s="6" t="n"/>
      <c r="H146" s="6" t="n"/>
      <c r="I146" s="6" t="n"/>
      <c r="J146" s="6" t="n"/>
      <c r="K146" s="6" t="n"/>
    </row>
    <row r="147">
      <c r="A147" s="2" t="n"/>
      <c r="B147" s="12" t="n"/>
      <c r="C147" s="2" t="n"/>
      <c r="D147" s="2" t="n"/>
      <c r="E147" s="2">
        <f>IF($C147="","",IFERROR(INDEX(Units_Owners!$C$5:$C$504,MATCH($C147,Units_Owners!$A$5:$A$504,0)),""))</f>
        <v/>
      </c>
      <c r="F147" s="13" t="n"/>
      <c r="G147" s="2" t="n"/>
      <c r="H147" s="2" t="n"/>
      <c r="I147" s="2" t="n"/>
      <c r="J147" s="2" t="n"/>
      <c r="K147" s="2" t="n"/>
    </row>
    <row r="148">
      <c r="A148" s="6" t="n"/>
      <c r="B148" s="14" t="n"/>
      <c r="C148" s="6" t="n"/>
      <c r="D148" s="6" t="n"/>
      <c r="E148" s="2">
        <f>IF($C148="","",IFERROR(INDEX(Units_Owners!$C$5:$C$504,MATCH($C148,Units_Owners!$A$5:$A$504,0)),""))</f>
        <v/>
      </c>
      <c r="F148" s="15" t="n"/>
      <c r="G148" s="6" t="n"/>
      <c r="H148" s="6" t="n"/>
      <c r="I148" s="6" t="n"/>
      <c r="J148" s="6" t="n"/>
      <c r="K148" s="6" t="n"/>
    </row>
    <row r="149">
      <c r="A149" s="2" t="n"/>
      <c r="B149" s="12" t="n"/>
      <c r="C149" s="2" t="n"/>
      <c r="D149" s="2" t="n"/>
      <c r="E149" s="2">
        <f>IF($C149="","",IFERROR(INDEX(Units_Owners!$C$5:$C$504,MATCH($C149,Units_Owners!$A$5:$A$504,0)),""))</f>
        <v/>
      </c>
      <c r="F149" s="13" t="n"/>
      <c r="G149" s="2" t="n"/>
      <c r="H149" s="2" t="n"/>
      <c r="I149" s="2" t="n"/>
      <c r="J149" s="2" t="n"/>
      <c r="K149" s="2" t="n"/>
    </row>
    <row r="150">
      <c r="A150" s="6" t="n"/>
      <c r="B150" s="14" t="n"/>
      <c r="C150" s="6" t="n"/>
      <c r="D150" s="6" t="n"/>
      <c r="E150" s="2">
        <f>IF($C150="","",IFERROR(INDEX(Units_Owners!$C$5:$C$504,MATCH($C150,Units_Owners!$A$5:$A$504,0)),""))</f>
        <v/>
      </c>
      <c r="F150" s="15" t="n"/>
      <c r="G150" s="6" t="n"/>
      <c r="H150" s="6" t="n"/>
      <c r="I150" s="6" t="n"/>
      <c r="J150" s="6" t="n"/>
      <c r="K150" s="6" t="n"/>
    </row>
    <row r="151">
      <c r="A151" s="2" t="n"/>
      <c r="B151" s="12" t="n"/>
      <c r="C151" s="2" t="n"/>
      <c r="D151" s="2" t="n"/>
      <c r="E151" s="2">
        <f>IF($C151="","",IFERROR(INDEX(Units_Owners!$C$5:$C$504,MATCH($C151,Units_Owners!$A$5:$A$504,0)),""))</f>
        <v/>
      </c>
      <c r="F151" s="13" t="n"/>
      <c r="G151" s="2" t="n"/>
      <c r="H151" s="2" t="n"/>
      <c r="I151" s="2" t="n"/>
      <c r="J151" s="2" t="n"/>
      <c r="K151" s="2" t="n"/>
    </row>
    <row r="152">
      <c r="A152" s="6" t="n"/>
      <c r="B152" s="14" t="n"/>
      <c r="C152" s="6" t="n"/>
      <c r="D152" s="6" t="n"/>
      <c r="E152" s="2">
        <f>IF($C152="","",IFERROR(INDEX(Units_Owners!$C$5:$C$504,MATCH($C152,Units_Owners!$A$5:$A$504,0)),""))</f>
        <v/>
      </c>
      <c r="F152" s="15" t="n"/>
      <c r="G152" s="6" t="n"/>
      <c r="H152" s="6" t="n"/>
      <c r="I152" s="6" t="n"/>
      <c r="J152" s="6" t="n"/>
      <c r="K152" s="6" t="n"/>
    </row>
    <row r="153">
      <c r="A153" s="2" t="n"/>
      <c r="B153" s="12" t="n"/>
      <c r="C153" s="2" t="n"/>
      <c r="D153" s="2" t="n"/>
      <c r="E153" s="2">
        <f>IF($C153="","",IFERROR(INDEX(Units_Owners!$C$5:$C$504,MATCH($C153,Units_Owners!$A$5:$A$504,0)),""))</f>
        <v/>
      </c>
      <c r="F153" s="13" t="n"/>
      <c r="G153" s="2" t="n"/>
      <c r="H153" s="2" t="n"/>
      <c r="I153" s="2" t="n"/>
      <c r="J153" s="2" t="n"/>
      <c r="K153" s="2" t="n"/>
    </row>
    <row r="154">
      <c r="A154" s="6" t="n"/>
      <c r="B154" s="14" t="n"/>
      <c r="C154" s="6" t="n"/>
      <c r="D154" s="6" t="n"/>
      <c r="E154" s="2">
        <f>IF($C154="","",IFERROR(INDEX(Units_Owners!$C$5:$C$504,MATCH($C154,Units_Owners!$A$5:$A$504,0)),""))</f>
        <v/>
      </c>
      <c r="F154" s="15" t="n"/>
      <c r="G154" s="6" t="n"/>
      <c r="H154" s="6" t="n"/>
      <c r="I154" s="6" t="n"/>
      <c r="J154" s="6" t="n"/>
      <c r="K154" s="6" t="n"/>
    </row>
    <row r="155">
      <c r="A155" s="2" t="n"/>
      <c r="B155" s="12" t="n"/>
      <c r="C155" s="2" t="n"/>
      <c r="D155" s="2" t="n"/>
      <c r="E155" s="2">
        <f>IF($C155="","",IFERROR(INDEX(Units_Owners!$C$5:$C$504,MATCH($C155,Units_Owners!$A$5:$A$504,0)),""))</f>
        <v/>
      </c>
      <c r="F155" s="13" t="n"/>
      <c r="G155" s="2" t="n"/>
      <c r="H155" s="2" t="n"/>
      <c r="I155" s="2" t="n"/>
      <c r="J155" s="2" t="n"/>
      <c r="K155" s="2" t="n"/>
    </row>
    <row r="156">
      <c r="A156" s="6" t="n"/>
      <c r="B156" s="14" t="n"/>
      <c r="C156" s="6" t="n"/>
      <c r="D156" s="6" t="n"/>
      <c r="E156" s="2">
        <f>IF($C156="","",IFERROR(INDEX(Units_Owners!$C$5:$C$504,MATCH($C156,Units_Owners!$A$5:$A$504,0)),""))</f>
        <v/>
      </c>
      <c r="F156" s="15" t="n"/>
      <c r="G156" s="6" t="n"/>
      <c r="H156" s="6" t="n"/>
      <c r="I156" s="6" t="n"/>
      <c r="J156" s="6" t="n"/>
      <c r="K156" s="6" t="n"/>
    </row>
    <row r="157">
      <c r="A157" s="2" t="n"/>
      <c r="B157" s="12" t="n"/>
      <c r="C157" s="2" t="n"/>
      <c r="D157" s="2" t="n"/>
      <c r="E157" s="2">
        <f>IF($C157="","",IFERROR(INDEX(Units_Owners!$C$5:$C$504,MATCH($C157,Units_Owners!$A$5:$A$504,0)),""))</f>
        <v/>
      </c>
      <c r="F157" s="13" t="n"/>
      <c r="G157" s="2" t="n"/>
      <c r="H157" s="2" t="n"/>
      <c r="I157" s="2" t="n"/>
      <c r="J157" s="2" t="n"/>
      <c r="K157" s="2" t="n"/>
    </row>
    <row r="158">
      <c r="A158" s="6" t="n"/>
      <c r="B158" s="14" t="n"/>
      <c r="C158" s="6" t="n"/>
      <c r="D158" s="6" t="n"/>
      <c r="E158" s="2">
        <f>IF($C158="","",IFERROR(INDEX(Units_Owners!$C$5:$C$504,MATCH($C158,Units_Owners!$A$5:$A$504,0)),""))</f>
        <v/>
      </c>
      <c r="F158" s="15" t="n"/>
      <c r="G158" s="6" t="n"/>
      <c r="H158" s="6" t="n"/>
      <c r="I158" s="6" t="n"/>
      <c r="J158" s="6" t="n"/>
      <c r="K158" s="6" t="n"/>
    </row>
    <row r="159">
      <c r="A159" s="2" t="n"/>
      <c r="B159" s="12" t="n"/>
      <c r="C159" s="2" t="n"/>
      <c r="D159" s="2" t="n"/>
      <c r="E159" s="2">
        <f>IF($C159="","",IFERROR(INDEX(Units_Owners!$C$5:$C$504,MATCH($C159,Units_Owners!$A$5:$A$504,0)),""))</f>
        <v/>
      </c>
      <c r="F159" s="13" t="n"/>
      <c r="G159" s="2" t="n"/>
      <c r="H159" s="2" t="n"/>
      <c r="I159" s="2" t="n"/>
      <c r="J159" s="2" t="n"/>
      <c r="K159" s="2" t="n"/>
    </row>
    <row r="160">
      <c r="A160" s="6" t="n"/>
      <c r="B160" s="14" t="n"/>
      <c r="C160" s="6" t="n"/>
      <c r="D160" s="6" t="n"/>
      <c r="E160" s="2">
        <f>IF($C160="","",IFERROR(INDEX(Units_Owners!$C$5:$C$504,MATCH($C160,Units_Owners!$A$5:$A$504,0)),""))</f>
        <v/>
      </c>
      <c r="F160" s="15" t="n"/>
      <c r="G160" s="6" t="n"/>
      <c r="H160" s="6" t="n"/>
      <c r="I160" s="6" t="n"/>
      <c r="J160" s="6" t="n"/>
      <c r="K160" s="6" t="n"/>
    </row>
    <row r="161">
      <c r="A161" s="2" t="n"/>
      <c r="B161" s="12" t="n"/>
      <c r="C161" s="2" t="n"/>
      <c r="D161" s="2" t="n"/>
      <c r="E161" s="2">
        <f>IF($C161="","",IFERROR(INDEX(Units_Owners!$C$5:$C$504,MATCH($C161,Units_Owners!$A$5:$A$504,0)),""))</f>
        <v/>
      </c>
      <c r="F161" s="13" t="n"/>
      <c r="G161" s="2" t="n"/>
      <c r="H161" s="2" t="n"/>
      <c r="I161" s="2" t="n"/>
      <c r="J161" s="2" t="n"/>
      <c r="K161" s="2" t="n"/>
    </row>
    <row r="162">
      <c r="A162" s="6" t="n"/>
      <c r="B162" s="14" t="n"/>
      <c r="C162" s="6" t="n"/>
      <c r="D162" s="6" t="n"/>
      <c r="E162" s="2">
        <f>IF($C162="","",IFERROR(INDEX(Units_Owners!$C$5:$C$504,MATCH($C162,Units_Owners!$A$5:$A$504,0)),""))</f>
        <v/>
      </c>
      <c r="F162" s="15" t="n"/>
      <c r="G162" s="6" t="n"/>
      <c r="H162" s="6" t="n"/>
      <c r="I162" s="6" t="n"/>
      <c r="J162" s="6" t="n"/>
      <c r="K162" s="6" t="n"/>
    </row>
    <row r="163">
      <c r="A163" s="2" t="n"/>
      <c r="B163" s="12" t="n"/>
      <c r="C163" s="2" t="n"/>
      <c r="D163" s="2" t="n"/>
      <c r="E163" s="2">
        <f>IF($C163="","",IFERROR(INDEX(Units_Owners!$C$5:$C$504,MATCH($C163,Units_Owners!$A$5:$A$504,0)),""))</f>
        <v/>
      </c>
      <c r="F163" s="13" t="n"/>
      <c r="G163" s="2" t="n"/>
      <c r="H163" s="2" t="n"/>
      <c r="I163" s="2" t="n"/>
      <c r="J163" s="2" t="n"/>
      <c r="K163" s="2" t="n"/>
    </row>
    <row r="164">
      <c r="A164" s="6" t="n"/>
      <c r="B164" s="14" t="n"/>
      <c r="C164" s="6" t="n"/>
      <c r="D164" s="6" t="n"/>
      <c r="E164" s="2">
        <f>IF($C164="","",IFERROR(INDEX(Units_Owners!$C$5:$C$504,MATCH($C164,Units_Owners!$A$5:$A$504,0)),""))</f>
        <v/>
      </c>
      <c r="F164" s="15" t="n"/>
      <c r="G164" s="6" t="n"/>
      <c r="H164" s="6" t="n"/>
      <c r="I164" s="6" t="n"/>
      <c r="J164" s="6" t="n"/>
      <c r="K164" s="6" t="n"/>
    </row>
    <row r="165">
      <c r="A165" s="2" t="n"/>
      <c r="B165" s="12" t="n"/>
      <c r="C165" s="2" t="n"/>
      <c r="D165" s="2" t="n"/>
      <c r="E165" s="2">
        <f>IF($C165="","",IFERROR(INDEX(Units_Owners!$C$5:$C$504,MATCH($C165,Units_Owners!$A$5:$A$504,0)),""))</f>
        <v/>
      </c>
      <c r="F165" s="13" t="n"/>
      <c r="G165" s="2" t="n"/>
      <c r="H165" s="2" t="n"/>
      <c r="I165" s="2" t="n"/>
      <c r="J165" s="2" t="n"/>
      <c r="K165" s="2" t="n"/>
    </row>
    <row r="166">
      <c r="A166" s="6" t="n"/>
      <c r="B166" s="14" t="n"/>
      <c r="C166" s="6" t="n"/>
      <c r="D166" s="6" t="n"/>
      <c r="E166" s="2">
        <f>IF($C166="","",IFERROR(INDEX(Units_Owners!$C$5:$C$504,MATCH($C166,Units_Owners!$A$5:$A$504,0)),""))</f>
        <v/>
      </c>
      <c r="F166" s="15" t="n"/>
      <c r="G166" s="6" t="n"/>
      <c r="H166" s="6" t="n"/>
      <c r="I166" s="6" t="n"/>
      <c r="J166" s="6" t="n"/>
      <c r="K166" s="6" t="n"/>
    </row>
    <row r="167">
      <c r="A167" s="2" t="n"/>
      <c r="B167" s="12" t="n"/>
      <c r="C167" s="2" t="n"/>
      <c r="D167" s="2" t="n"/>
      <c r="E167" s="2">
        <f>IF($C167="","",IFERROR(INDEX(Units_Owners!$C$5:$C$504,MATCH($C167,Units_Owners!$A$5:$A$504,0)),""))</f>
        <v/>
      </c>
      <c r="F167" s="13" t="n"/>
      <c r="G167" s="2" t="n"/>
      <c r="H167" s="2" t="n"/>
      <c r="I167" s="2" t="n"/>
      <c r="J167" s="2" t="n"/>
      <c r="K167" s="2" t="n"/>
    </row>
    <row r="168">
      <c r="A168" s="6" t="n"/>
      <c r="B168" s="14" t="n"/>
      <c r="C168" s="6" t="n"/>
      <c r="D168" s="6" t="n"/>
      <c r="E168" s="2">
        <f>IF($C168="","",IFERROR(INDEX(Units_Owners!$C$5:$C$504,MATCH($C168,Units_Owners!$A$5:$A$504,0)),""))</f>
        <v/>
      </c>
      <c r="F168" s="15" t="n"/>
      <c r="G168" s="6" t="n"/>
      <c r="H168" s="6" t="n"/>
      <c r="I168" s="6" t="n"/>
      <c r="J168" s="6" t="n"/>
      <c r="K168" s="6" t="n"/>
    </row>
    <row r="169">
      <c r="A169" s="2" t="n"/>
      <c r="B169" s="12" t="n"/>
      <c r="C169" s="2" t="n"/>
      <c r="D169" s="2" t="n"/>
      <c r="E169" s="2">
        <f>IF($C169="","",IFERROR(INDEX(Units_Owners!$C$5:$C$504,MATCH($C169,Units_Owners!$A$5:$A$504,0)),""))</f>
        <v/>
      </c>
      <c r="F169" s="13" t="n"/>
      <c r="G169" s="2" t="n"/>
      <c r="H169" s="2" t="n"/>
      <c r="I169" s="2" t="n"/>
      <c r="J169" s="2" t="n"/>
      <c r="K169" s="2" t="n"/>
    </row>
    <row r="170">
      <c r="A170" s="6" t="n"/>
      <c r="B170" s="14" t="n"/>
      <c r="C170" s="6" t="n"/>
      <c r="D170" s="6" t="n"/>
      <c r="E170" s="2">
        <f>IF($C170="","",IFERROR(INDEX(Units_Owners!$C$5:$C$504,MATCH($C170,Units_Owners!$A$5:$A$504,0)),""))</f>
        <v/>
      </c>
      <c r="F170" s="15" t="n"/>
      <c r="G170" s="6" t="n"/>
      <c r="H170" s="6" t="n"/>
      <c r="I170" s="6" t="n"/>
      <c r="J170" s="6" t="n"/>
      <c r="K170" s="6" t="n"/>
    </row>
    <row r="171">
      <c r="A171" s="2" t="n"/>
      <c r="B171" s="12" t="n"/>
      <c r="C171" s="2" t="n"/>
      <c r="D171" s="2" t="n"/>
      <c r="E171" s="2">
        <f>IF($C171="","",IFERROR(INDEX(Units_Owners!$C$5:$C$504,MATCH($C171,Units_Owners!$A$5:$A$504,0)),""))</f>
        <v/>
      </c>
      <c r="F171" s="13" t="n"/>
      <c r="G171" s="2" t="n"/>
      <c r="H171" s="2" t="n"/>
      <c r="I171" s="2" t="n"/>
      <c r="J171" s="2" t="n"/>
      <c r="K171" s="2" t="n"/>
    </row>
    <row r="172">
      <c r="A172" s="6" t="n"/>
      <c r="B172" s="14" t="n"/>
      <c r="C172" s="6" t="n"/>
      <c r="D172" s="6" t="n"/>
      <c r="E172" s="2">
        <f>IF($C172="","",IFERROR(INDEX(Units_Owners!$C$5:$C$504,MATCH($C172,Units_Owners!$A$5:$A$504,0)),""))</f>
        <v/>
      </c>
      <c r="F172" s="15" t="n"/>
      <c r="G172" s="6" t="n"/>
      <c r="H172" s="6" t="n"/>
      <c r="I172" s="6" t="n"/>
      <c r="J172" s="6" t="n"/>
      <c r="K172" s="6" t="n"/>
    </row>
    <row r="173">
      <c r="A173" s="2" t="n"/>
      <c r="B173" s="12" t="n"/>
      <c r="C173" s="2" t="n"/>
      <c r="D173" s="2" t="n"/>
      <c r="E173" s="2">
        <f>IF($C173="","",IFERROR(INDEX(Units_Owners!$C$5:$C$504,MATCH($C173,Units_Owners!$A$5:$A$504,0)),""))</f>
        <v/>
      </c>
      <c r="F173" s="13" t="n"/>
      <c r="G173" s="2" t="n"/>
      <c r="H173" s="2" t="n"/>
      <c r="I173" s="2" t="n"/>
      <c r="J173" s="2" t="n"/>
      <c r="K173" s="2" t="n"/>
    </row>
    <row r="174">
      <c r="A174" s="6" t="n"/>
      <c r="B174" s="14" t="n"/>
      <c r="C174" s="6" t="n"/>
      <c r="D174" s="6" t="n"/>
      <c r="E174" s="2">
        <f>IF($C174="","",IFERROR(INDEX(Units_Owners!$C$5:$C$504,MATCH($C174,Units_Owners!$A$5:$A$504,0)),""))</f>
        <v/>
      </c>
      <c r="F174" s="15" t="n"/>
      <c r="G174" s="6" t="n"/>
      <c r="H174" s="6" t="n"/>
      <c r="I174" s="6" t="n"/>
      <c r="J174" s="6" t="n"/>
      <c r="K174" s="6" t="n"/>
    </row>
    <row r="175">
      <c r="A175" s="2" t="n"/>
      <c r="B175" s="12" t="n"/>
      <c r="C175" s="2" t="n"/>
      <c r="D175" s="2" t="n"/>
      <c r="E175" s="2">
        <f>IF($C175="","",IFERROR(INDEX(Units_Owners!$C$5:$C$504,MATCH($C175,Units_Owners!$A$5:$A$504,0)),""))</f>
        <v/>
      </c>
      <c r="F175" s="13" t="n"/>
      <c r="G175" s="2" t="n"/>
      <c r="H175" s="2" t="n"/>
      <c r="I175" s="2" t="n"/>
      <c r="J175" s="2" t="n"/>
      <c r="K175" s="2" t="n"/>
    </row>
    <row r="176">
      <c r="A176" s="6" t="n"/>
      <c r="B176" s="14" t="n"/>
      <c r="C176" s="6" t="n"/>
      <c r="D176" s="6" t="n"/>
      <c r="E176" s="2">
        <f>IF($C176="","",IFERROR(INDEX(Units_Owners!$C$5:$C$504,MATCH($C176,Units_Owners!$A$5:$A$504,0)),""))</f>
        <v/>
      </c>
      <c r="F176" s="15" t="n"/>
      <c r="G176" s="6" t="n"/>
      <c r="H176" s="6" t="n"/>
      <c r="I176" s="6" t="n"/>
      <c r="J176" s="6" t="n"/>
      <c r="K176" s="6" t="n"/>
    </row>
    <row r="177">
      <c r="A177" s="2" t="n"/>
      <c r="B177" s="12" t="n"/>
      <c r="C177" s="2" t="n"/>
      <c r="D177" s="2" t="n"/>
      <c r="E177" s="2">
        <f>IF($C177="","",IFERROR(INDEX(Units_Owners!$C$5:$C$504,MATCH($C177,Units_Owners!$A$5:$A$504,0)),""))</f>
        <v/>
      </c>
      <c r="F177" s="13" t="n"/>
      <c r="G177" s="2" t="n"/>
      <c r="H177" s="2" t="n"/>
      <c r="I177" s="2" t="n"/>
      <c r="J177" s="2" t="n"/>
      <c r="K177" s="2" t="n"/>
    </row>
    <row r="178">
      <c r="A178" s="6" t="n"/>
      <c r="B178" s="14" t="n"/>
      <c r="C178" s="6" t="n"/>
      <c r="D178" s="6" t="n"/>
      <c r="E178" s="2">
        <f>IF($C178="","",IFERROR(INDEX(Units_Owners!$C$5:$C$504,MATCH($C178,Units_Owners!$A$5:$A$504,0)),""))</f>
        <v/>
      </c>
      <c r="F178" s="15" t="n"/>
      <c r="G178" s="6" t="n"/>
      <c r="H178" s="6" t="n"/>
      <c r="I178" s="6" t="n"/>
      <c r="J178" s="6" t="n"/>
      <c r="K178" s="6" t="n"/>
    </row>
    <row r="179">
      <c r="A179" s="2" t="n"/>
      <c r="B179" s="12" t="n"/>
      <c r="C179" s="2" t="n"/>
      <c r="D179" s="2" t="n"/>
      <c r="E179" s="2">
        <f>IF($C179="","",IFERROR(INDEX(Units_Owners!$C$5:$C$504,MATCH($C179,Units_Owners!$A$5:$A$504,0)),""))</f>
        <v/>
      </c>
      <c r="F179" s="13" t="n"/>
      <c r="G179" s="2" t="n"/>
      <c r="H179" s="2" t="n"/>
      <c r="I179" s="2" t="n"/>
      <c r="J179" s="2" t="n"/>
      <c r="K179" s="2" t="n"/>
    </row>
    <row r="180">
      <c r="A180" s="6" t="n"/>
      <c r="B180" s="14" t="n"/>
      <c r="C180" s="6" t="n"/>
      <c r="D180" s="6" t="n"/>
      <c r="E180" s="2">
        <f>IF($C180="","",IFERROR(INDEX(Units_Owners!$C$5:$C$504,MATCH($C180,Units_Owners!$A$5:$A$504,0)),""))</f>
        <v/>
      </c>
      <c r="F180" s="15" t="n"/>
      <c r="G180" s="6" t="n"/>
      <c r="H180" s="6" t="n"/>
      <c r="I180" s="6" t="n"/>
      <c r="J180" s="6" t="n"/>
      <c r="K180" s="6" t="n"/>
    </row>
    <row r="181">
      <c r="A181" s="2" t="n"/>
      <c r="B181" s="12" t="n"/>
      <c r="C181" s="2" t="n"/>
      <c r="D181" s="2" t="n"/>
      <c r="E181" s="2">
        <f>IF($C181="","",IFERROR(INDEX(Units_Owners!$C$5:$C$504,MATCH($C181,Units_Owners!$A$5:$A$504,0)),""))</f>
        <v/>
      </c>
      <c r="F181" s="13" t="n"/>
      <c r="G181" s="2" t="n"/>
      <c r="H181" s="2" t="n"/>
      <c r="I181" s="2" t="n"/>
      <c r="J181" s="2" t="n"/>
      <c r="K181" s="2" t="n"/>
    </row>
    <row r="182">
      <c r="A182" s="6" t="n"/>
      <c r="B182" s="14" t="n"/>
      <c r="C182" s="6" t="n"/>
      <c r="D182" s="6" t="n"/>
      <c r="E182" s="2">
        <f>IF($C182="","",IFERROR(INDEX(Units_Owners!$C$5:$C$504,MATCH($C182,Units_Owners!$A$5:$A$504,0)),""))</f>
        <v/>
      </c>
      <c r="F182" s="15" t="n"/>
      <c r="G182" s="6" t="n"/>
      <c r="H182" s="6" t="n"/>
      <c r="I182" s="6" t="n"/>
      <c r="J182" s="6" t="n"/>
      <c r="K182" s="6" t="n"/>
    </row>
    <row r="183">
      <c r="A183" s="2" t="n"/>
      <c r="B183" s="12" t="n"/>
      <c r="C183" s="2" t="n"/>
      <c r="D183" s="2" t="n"/>
      <c r="E183" s="2">
        <f>IF($C183="","",IFERROR(INDEX(Units_Owners!$C$5:$C$504,MATCH($C183,Units_Owners!$A$5:$A$504,0)),""))</f>
        <v/>
      </c>
      <c r="F183" s="13" t="n"/>
      <c r="G183" s="2" t="n"/>
      <c r="H183" s="2" t="n"/>
      <c r="I183" s="2" t="n"/>
      <c r="J183" s="2" t="n"/>
      <c r="K183" s="2" t="n"/>
    </row>
    <row r="184">
      <c r="A184" s="6" t="n"/>
      <c r="B184" s="14" t="n"/>
      <c r="C184" s="6" t="n"/>
      <c r="D184" s="6" t="n"/>
      <c r="E184" s="2">
        <f>IF($C184="","",IFERROR(INDEX(Units_Owners!$C$5:$C$504,MATCH($C184,Units_Owners!$A$5:$A$504,0)),""))</f>
        <v/>
      </c>
      <c r="F184" s="15" t="n"/>
      <c r="G184" s="6" t="n"/>
      <c r="H184" s="6" t="n"/>
      <c r="I184" s="6" t="n"/>
      <c r="J184" s="6" t="n"/>
      <c r="K184" s="6" t="n"/>
    </row>
    <row r="185">
      <c r="A185" s="2" t="n"/>
      <c r="B185" s="12" t="n"/>
      <c r="C185" s="2" t="n"/>
      <c r="D185" s="2" t="n"/>
      <c r="E185" s="2">
        <f>IF($C185="","",IFERROR(INDEX(Units_Owners!$C$5:$C$504,MATCH($C185,Units_Owners!$A$5:$A$504,0)),""))</f>
        <v/>
      </c>
      <c r="F185" s="13" t="n"/>
      <c r="G185" s="2" t="n"/>
      <c r="H185" s="2" t="n"/>
      <c r="I185" s="2" t="n"/>
      <c r="J185" s="2" t="n"/>
      <c r="K185" s="2" t="n"/>
    </row>
    <row r="186">
      <c r="A186" s="6" t="n"/>
      <c r="B186" s="14" t="n"/>
      <c r="C186" s="6" t="n"/>
      <c r="D186" s="6" t="n"/>
      <c r="E186" s="2">
        <f>IF($C186="","",IFERROR(INDEX(Units_Owners!$C$5:$C$504,MATCH($C186,Units_Owners!$A$5:$A$504,0)),""))</f>
        <v/>
      </c>
      <c r="F186" s="15" t="n"/>
      <c r="G186" s="6" t="n"/>
      <c r="H186" s="6" t="n"/>
      <c r="I186" s="6" t="n"/>
      <c r="J186" s="6" t="n"/>
      <c r="K186" s="6" t="n"/>
    </row>
    <row r="187">
      <c r="A187" s="2" t="n"/>
      <c r="B187" s="12" t="n"/>
      <c r="C187" s="2" t="n"/>
      <c r="D187" s="2" t="n"/>
      <c r="E187" s="2">
        <f>IF($C187="","",IFERROR(INDEX(Units_Owners!$C$5:$C$504,MATCH($C187,Units_Owners!$A$5:$A$504,0)),""))</f>
        <v/>
      </c>
      <c r="F187" s="13" t="n"/>
      <c r="G187" s="2" t="n"/>
      <c r="H187" s="2" t="n"/>
      <c r="I187" s="2" t="n"/>
      <c r="J187" s="2" t="n"/>
      <c r="K187" s="2" t="n"/>
    </row>
    <row r="188">
      <c r="A188" s="6" t="n"/>
      <c r="B188" s="14" t="n"/>
      <c r="C188" s="6" t="n"/>
      <c r="D188" s="6" t="n"/>
      <c r="E188" s="2">
        <f>IF($C188="","",IFERROR(INDEX(Units_Owners!$C$5:$C$504,MATCH($C188,Units_Owners!$A$5:$A$504,0)),""))</f>
        <v/>
      </c>
      <c r="F188" s="15" t="n"/>
      <c r="G188" s="6" t="n"/>
      <c r="H188" s="6" t="n"/>
      <c r="I188" s="6" t="n"/>
      <c r="J188" s="6" t="n"/>
      <c r="K188" s="6" t="n"/>
    </row>
    <row r="189">
      <c r="A189" s="2" t="n"/>
      <c r="B189" s="12" t="n"/>
      <c r="C189" s="2" t="n"/>
      <c r="D189" s="2" t="n"/>
      <c r="E189" s="2">
        <f>IF($C189="","",IFERROR(INDEX(Units_Owners!$C$5:$C$504,MATCH($C189,Units_Owners!$A$5:$A$504,0)),""))</f>
        <v/>
      </c>
      <c r="F189" s="13" t="n"/>
      <c r="G189" s="2" t="n"/>
      <c r="H189" s="2" t="n"/>
      <c r="I189" s="2" t="n"/>
      <c r="J189" s="2" t="n"/>
      <c r="K189" s="2" t="n"/>
    </row>
    <row r="190">
      <c r="A190" s="6" t="n"/>
      <c r="B190" s="14" t="n"/>
      <c r="C190" s="6" t="n"/>
      <c r="D190" s="6" t="n"/>
      <c r="E190" s="2">
        <f>IF($C190="","",IFERROR(INDEX(Units_Owners!$C$5:$C$504,MATCH($C190,Units_Owners!$A$5:$A$504,0)),""))</f>
        <v/>
      </c>
      <c r="F190" s="15" t="n"/>
      <c r="G190" s="6" t="n"/>
      <c r="H190" s="6" t="n"/>
      <c r="I190" s="6" t="n"/>
      <c r="J190" s="6" t="n"/>
      <c r="K190" s="6" t="n"/>
    </row>
    <row r="191">
      <c r="A191" s="2" t="n"/>
      <c r="B191" s="12" t="n"/>
      <c r="C191" s="2" t="n"/>
      <c r="D191" s="2" t="n"/>
      <c r="E191" s="2">
        <f>IF($C191="","",IFERROR(INDEX(Units_Owners!$C$5:$C$504,MATCH($C191,Units_Owners!$A$5:$A$504,0)),""))</f>
        <v/>
      </c>
      <c r="F191" s="13" t="n"/>
      <c r="G191" s="2" t="n"/>
      <c r="H191" s="2" t="n"/>
      <c r="I191" s="2" t="n"/>
      <c r="J191" s="2" t="n"/>
      <c r="K191" s="2" t="n"/>
    </row>
    <row r="192">
      <c r="A192" s="6" t="n"/>
      <c r="B192" s="14" t="n"/>
      <c r="C192" s="6" t="n"/>
      <c r="D192" s="6" t="n"/>
      <c r="E192" s="2">
        <f>IF($C192="","",IFERROR(INDEX(Units_Owners!$C$5:$C$504,MATCH($C192,Units_Owners!$A$5:$A$504,0)),""))</f>
        <v/>
      </c>
      <c r="F192" s="15" t="n"/>
      <c r="G192" s="6" t="n"/>
      <c r="H192" s="6" t="n"/>
      <c r="I192" s="6" t="n"/>
      <c r="J192" s="6" t="n"/>
      <c r="K192" s="6" t="n"/>
    </row>
    <row r="193">
      <c r="A193" s="2" t="n"/>
      <c r="B193" s="12" t="n"/>
      <c r="C193" s="2" t="n"/>
      <c r="D193" s="2" t="n"/>
      <c r="E193" s="2">
        <f>IF($C193="","",IFERROR(INDEX(Units_Owners!$C$5:$C$504,MATCH($C193,Units_Owners!$A$5:$A$504,0)),""))</f>
        <v/>
      </c>
      <c r="F193" s="13" t="n"/>
      <c r="G193" s="2" t="n"/>
      <c r="H193" s="2" t="n"/>
      <c r="I193" s="2" t="n"/>
      <c r="J193" s="2" t="n"/>
      <c r="K193" s="2" t="n"/>
    </row>
    <row r="194">
      <c r="A194" s="6" t="n"/>
      <c r="B194" s="14" t="n"/>
      <c r="C194" s="6" t="n"/>
      <c r="D194" s="6" t="n"/>
      <c r="E194" s="2">
        <f>IF($C194="","",IFERROR(INDEX(Units_Owners!$C$5:$C$504,MATCH($C194,Units_Owners!$A$5:$A$504,0)),""))</f>
        <v/>
      </c>
      <c r="F194" s="15" t="n"/>
      <c r="G194" s="6" t="n"/>
      <c r="H194" s="6" t="n"/>
      <c r="I194" s="6" t="n"/>
      <c r="J194" s="6" t="n"/>
      <c r="K194" s="6" t="n"/>
    </row>
    <row r="195">
      <c r="A195" s="2" t="n"/>
      <c r="B195" s="12" t="n"/>
      <c r="C195" s="2" t="n"/>
      <c r="D195" s="2" t="n"/>
      <c r="E195" s="2">
        <f>IF($C195="","",IFERROR(INDEX(Units_Owners!$C$5:$C$504,MATCH($C195,Units_Owners!$A$5:$A$504,0)),""))</f>
        <v/>
      </c>
      <c r="F195" s="13" t="n"/>
      <c r="G195" s="2" t="n"/>
      <c r="H195" s="2" t="n"/>
      <c r="I195" s="2" t="n"/>
      <c r="J195" s="2" t="n"/>
      <c r="K195" s="2" t="n"/>
    </row>
    <row r="196">
      <c r="A196" s="6" t="n"/>
      <c r="B196" s="14" t="n"/>
      <c r="C196" s="6" t="n"/>
      <c r="D196" s="6" t="n"/>
      <c r="E196" s="2">
        <f>IF($C196="","",IFERROR(INDEX(Units_Owners!$C$5:$C$504,MATCH($C196,Units_Owners!$A$5:$A$504,0)),""))</f>
        <v/>
      </c>
      <c r="F196" s="15" t="n"/>
      <c r="G196" s="6" t="n"/>
      <c r="H196" s="6" t="n"/>
      <c r="I196" s="6" t="n"/>
      <c r="J196" s="6" t="n"/>
      <c r="K196" s="6" t="n"/>
    </row>
    <row r="197">
      <c r="A197" s="2" t="n"/>
      <c r="B197" s="12" t="n"/>
      <c r="C197" s="2" t="n"/>
      <c r="D197" s="2" t="n"/>
      <c r="E197" s="2">
        <f>IF($C197="","",IFERROR(INDEX(Units_Owners!$C$5:$C$504,MATCH($C197,Units_Owners!$A$5:$A$504,0)),""))</f>
        <v/>
      </c>
      <c r="F197" s="13" t="n"/>
      <c r="G197" s="2" t="n"/>
      <c r="H197" s="2" t="n"/>
      <c r="I197" s="2" t="n"/>
      <c r="J197" s="2" t="n"/>
      <c r="K197" s="2" t="n"/>
    </row>
    <row r="198">
      <c r="A198" s="6" t="n"/>
      <c r="B198" s="14" t="n"/>
      <c r="C198" s="6" t="n"/>
      <c r="D198" s="6" t="n"/>
      <c r="E198" s="2">
        <f>IF($C198="","",IFERROR(INDEX(Units_Owners!$C$5:$C$504,MATCH($C198,Units_Owners!$A$5:$A$504,0)),""))</f>
        <v/>
      </c>
      <c r="F198" s="15" t="n"/>
      <c r="G198" s="6" t="n"/>
      <c r="H198" s="6" t="n"/>
      <c r="I198" s="6" t="n"/>
      <c r="J198" s="6" t="n"/>
      <c r="K198" s="6" t="n"/>
    </row>
    <row r="199">
      <c r="A199" s="2" t="n"/>
      <c r="B199" s="12" t="n"/>
      <c r="C199" s="2" t="n"/>
      <c r="D199" s="2" t="n"/>
      <c r="E199" s="2">
        <f>IF($C199="","",IFERROR(INDEX(Units_Owners!$C$5:$C$504,MATCH($C199,Units_Owners!$A$5:$A$504,0)),""))</f>
        <v/>
      </c>
      <c r="F199" s="13" t="n"/>
      <c r="G199" s="2" t="n"/>
      <c r="H199" s="2" t="n"/>
      <c r="I199" s="2" t="n"/>
      <c r="J199" s="2" t="n"/>
      <c r="K199" s="2" t="n"/>
    </row>
    <row r="200">
      <c r="A200" s="6" t="n"/>
      <c r="B200" s="14" t="n"/>
      <c r="C200" s="6" t="n"/>
      <c r="D200" s="6" t="n"/>
      <c r="E200" s="2">
        <f>IF($C200="","",IFERROR(INDEX(Units_Owners!$C$5:$C$504,MATCH($C200,Units_Owners!$A$5:$A$504,0)),""))</f>
        <v/>
      </c>
      <c r="F200" s="15" t="n"/>
      <c r="G200" s="6" t="n"/>
      <c r="H200" s="6" t="n"/>
      <c r="I200" s="6" t="n"/>
      <c r="J200" s="6" t="n"/>
      <c r="K200" s="6" t="n"/>
    </row>
    <row r="201">
      <c r="A201" s="2" t="n"/>
      <c r="B201" s="12" t="n"/>
      <c r="C201" s="2" t="n"/>
      <c r="D201" s="2" t="n"/>
      <c r="E201" s="2">
        <f>IF($C201="","",IFERROR(INDEX(Units_Owners!$C$5:$C$504,MATCH($C201,Units_Owners!$A$5:$A$504,0)),""))</f>
        <v/>
      </c>
      <c r="F201" s="13" t="n"/>
      <c r="G201" s="2" t="n"/>
      <c r="H201" s="2" t="n"/>
      <c r="I201" s="2" t="n"/>
      <c r="J201" s="2" t="n"/>
      <c r="K201" s="2" t="n"/>
    </row>
    <row r="202">
      <c r="A202" s="6" t="n"/>
      <c r="B202" s="14" t="n"/>
      <c r="C202" s="6" t="n"/>
      <c r="D202" s="6" t="n"/>
      <c r="E202" s="2">
        <f>IF($C202="","",IFERROR(INDEX(Units_Owners!$C$5:$C$504,MATCH($C202,Units_Owners!$A$5:$A$504,0)),""))</f>
        <v/>
      </c>
      <c r="F202" s="15" t="n"/>
      <c r="G202" s="6" t="n"/>
      <c r="H202" s="6" t="n"/>
      <c r="I202" s="6" t="n"/>
      <c r="J202" s="6" t="n"/>
      <c r="K202" s="6" t="n"/>
    </row>
    <row r="203">
      <c r="A203" s="2" t="n"/>
      <c r="B203" s="12" t="n"/>
      <c r="C203" s="2" t="n"/>
      <c r="D203" s="2" t="n"/>
      <c r="E203" s="2">
        <f>IF($C203="","",IFERROR(INDEX(Units_Owners!$C$5:$C$504,MATCH($C203,Units_Owners!$A$5:$A$504,0)),""))</f>
        <v/>
      </c>
      <c r="F203" s="13" t="n"/>
      <c r="G203" s="2" t="n"/>
      <c r="H203" s="2" t="n"/>
      <c r="I203" s="2" t="n"/>
      <c r="J203" s="2" t="n"/>
      <c r="K203" s="2" t="n"/>
    </row>
    <row r="204">
      <c r="A204" s="6" t="n"/>
      <c r="B204" s="14" t="n"/>
      <c r="C204" s="6" t="n"/>
      <c r="D204" s="6" t="n"/>
      <c r="E204" s="2">
        <f>IF($C204="","",IFERROR(INDEX(Units_Owners!$C$5:$C$504,MATCH($C204,Units_Owners!$A$5:$A$504,0)),""))</f>
        <v/>
      </c>
      <c r="F204" s="15" t="n"/>
      <c r="G204" s="6" t="n"/>
      <c r="H204" s="6" t="n"/>
      <c r="I204" s="6" t="n"/>
      <c r="J204" s="6" t="n"/>
      <c r="K204" s="6" t="n"/>
    </row>
    <row r="205">
      <c r="A205" s="2" t="n"/>
      <c r="B205" s="12" t="n"/>
      <c r="C205" s="2" t="n"/>
      <c r="D205" s="2" t="n"/>
      <c r="E205" s="2">
        <f>IF($C205="","",IFERROR(INDEX(Units_Owners!$C$5:$C$504,MATCH($C205,Units_Owners!$A$5:$A$504,0)),""))</f>
        <v/>
      </c>
      <c r="F205" s="13" t="n"/>
      <c r="G205" s="2" t="n"/>
      <c r="H205" s="2" t="n"/>
      <c r="I205" s="2" t="n"/>
      <c r="J205" s="2" t="n"/>
      <c r="K205" s="2" t="n"/>
    </row>
    <row r="206">
      <c r="A206" s="6" t="n"/>
      <c r="B206" s="14" t="n"/>
      <c r="C206" s="6" t="n"/>
      <c r="D206" s="6" t="n"/>
      <c r="E206" s="2">
        <f>IF($C206="","",IFERROR(INDEX(Units_Owners!$C$5:$C$504,MATCH($C206,Units_Owners!$A$5:$A$504,0)),""))</f>
        <v/>
      </c>
      <c r="F206" s="15" t="n"/>
      <c r="G206" s="6" t="n"/>
      <c r="H206" s="6" t="n"/>
      <c r="I206" s="6" t="n"/>
      <c r="J206" s="6" t="n"/>
      <c r="K206" s="6" t="n"/>
    </row>
    <row r="207">
      <c r="A207" s="2" t="n"/>
      <c r="B207" s="12" t="n"/>
      <c r="C207" s="2" t="n"/>
      <c r="D207" s="2" t="n"/>
      <c r="E207" s="2">
        <f>IF($C207="","",IFERROR(INDEX(Units_Owners!$C$5:$C$504,MATCH($C207,Units_Owners!$A$5:$A$504,0)),""))</f>
        <v/>
      </c>
      <c r="F207" s="13" t="n"/>
      <c r="G207" s="2" t="n"/>
      <c r="H207" s="2" t="n"/>
      <c r="I207" s="2" t="n"/>
      <c r="J207" s="2" t="n"/>
      <c r="K207" s="2" t="n"/>
    </row>
    <row r="208">
      <c r="A208" s="6" t="n"/>
      <c r="B208" s="14" t="n"/>
      <c r="C208" s="6" t="n"/>
      <c r="D208" s="6" t="n"/>
      <c r="E208" s="2">
        <f>IF($C208="","",IFERROR(INDEX(Units_Owners!$C$5:$C$504,MATCH($C208,Units_Owners!$A$5:$A$504,0)),""))</f>
        <v/>
      </c>
      <c r="F208" s="15" t="n"/>
      <c r="G208" s="6" t="n"/>
      <c r="H208" s="6" t="n"/>
      <c r="I208" s="6" t="n"/>
      <c r="J208" s="6" t="n"/>
      <c r="K208" s="6" t="n"/>
    </row>
    <row r="209">
      <c r="A209" s="2" t="n"/>
      <c r="B209" s="12" t="n"/>
      <c r="C209" s="2" t="n"/>
      <c r="D209" s="2" t="n"/>
      <c r="E209" s="2">
        <f>IF($C209="","",IFERROR(INDEX(Units_Owners!$C$5:$C$504,MATCH($C209,Units_Owners!$A$5:$A$504,0)),""))</f>
        <v/>
      </c>
      <c r="F209" s="13" t="n"/>
      <c r="G209" s="2" t="n"/>
      <c r="H209" s="2" t="n"/>
      <c r="I209" s="2" t="n"/>
      <c r="J209" s="2" t="n"/>
      <c r="K209" s="2" t="n"/>
    </row>
    <row r="210">
      <c r="A210" s="6" t="n"/>
      <c r="B210" s="14" t="n"/>
      <c r="C210" s="6" t="n"/>
      <c r="D210" s="6" t="n"/>
      <c r="E210" s="2">
        <f>IF($C210="","",IFERROR(INDEX(Units_Owners!$C$5:$C$504,MATCH($C210,Units_Owners!$A$5:$A$504,0)),""))</f>
        <v/>
      </c>
      <c r="F210" s="15" t="n"/>
      <c r="G210" s="6" t="n"/>
      <c r="H210" s="6" t="n"/>
      <c r="I210" s="6" t="n"/>
      <c r="J210" s="6" t="n"/>
      <c r="K210" s="6" t="n"/>
    </row>
    <row r="211">
      <c r="A211" s="2" t="n"/>
      <c r="B211" s="12" t="n"/>
      <c r="C211" s="2" t="n"/>
      <c r="D211" s="2" t="n"/>
      <c r="E211" s="2">
        <f>IF($C211="","",IFERROR(INDEX(Units_Owners!$C$5:$C$504,MATCH($C211,Units_Owners!$A$5:$A$504,0)),""))</f>
        <v/>
      </c>
      <c r="F211" s="13" t="n"/>
      <c r="G211" s="2" t="n"/>
      <c r="H211" s="2" t="n"/>
      <c r="I211" s="2" t="n"/>
      <c r="J211" s="2" t="n"/>
      <c r="K211" s="2" t="n"/>
    </row>
    <row r="212">
      <c r="A212" s="6" t="n"/>
      <c r="B212" s="14" t="n"/>
      <c r="C212" s="6" t="n"/>
      <c r="D212" s="6" t="n"/>
      <c r="E212" s="2">
        <f>IF($C212="","",IFERROR(INDEX(Units_Owners!$C$5:$C$504,MATCH($C212,Units_Owners!$A$5:$A$504,0)),""))</f>
        <v/>
      </c>
      <c r="F212" s="15" t="n"/>
      <c r="G212" s="6" t="n"/>
      <c r="H212" s="6" t="n"/>
      <c r="I212" s="6" t="n"/>
      <c r="J212" s="6" t="n"/>
      <c r="K212" s="6" t="n"/>
    </row>
    <row r="213">
      <c r="A213" s="2" t="n"/>
      <c r="B213" s="12" t="n"/>
      <c r="C213" s="2" t="n"/>
      <c r="D213" s="2" t="n"/>
      <c r="E213" s="2">
        <f>IF($C213="","",IFERROR(INDEX(Units_Owners!$C$5:$C$504,MATCH($C213,Units_Owners!$A$5:$A$504,0)),""))</f>
        <v/>
      </c>
      <c r="F213" s="13" t="n"/>
      <c r="G213" s="2" t="n"/>
      <c r="H213" s="2" t="n"/>
      <c r="I213" s="2" t="n"/>
      <c r="J213" s="2" t="n"/>
      <c r="K213" s="2" t="n"/>
    </row>
    <row r="214">
      <c r="A214" s="6" t="n"/>
      <c r="B214" s="14" t="n"/>
      <c r="C214" s="6" t="n"/>
      <c r="D214" s="6" t="n"/>
      <c r="E214" s="2">
        <f>IF($C214="","",IFERROR(INDEX(Units_Owners!$C$5:$C$504,MATCH($C214,Units_Owners!$A$5:$A$504,0)),""))</f>
        <v/>
      </c>
      <c r="F214" s="15" t="n"/>
      <c r="G214" s="6" t="n"/>
      <c r="H214" s="6" t="n"/>
      <c r="I214" s="6" t="n"/>
      <c r="J214" s="6" t="n"/>
      <c r="K214" s="6" t="n"/>
    </row>
    <row r="215">
      <c r="A215" s="2" t="n"/>
      <c r="B215" s="12" t="n"/>
      <c r="C215" s="2" t="n"/>
      <c r="D215" s="2" t="n"/>
      <c r="E215" s="2">
        <f>IF($C215="","",IFERROR(INDEX(Units_Owners!$C$5:$C$504,MATCH($C215,Units_Owners!$A$5:$A$504,0)),""))</f>
        <v/>
      </c>
      <c r="F215" s="13" t="n"/>
      <c r="G215" s="2" t="n"/>
      <c r="H215" s="2" t="n"/>
      <c r="I215" s="2" t="n"/>
      <c r="J215" s="2" t="n"/>
      <c r="K215" s="2" t="n"/>
    </row>
    <row r="216">
      <c r="A216" s="6" t="n"/>
      <c r="B216" s="14" t="n"/>
      <c r="C216" s="6" t="n"/>
      <c r="D216" s="6" t="n"/>
      <c r="E216" s="2">
        <f>IF($C216="","",IFERROR(INDEX(Units_Owners!$C$5:$C$504,MATCH($C216,Units_Owners!$A$5:$A$504,0)),""))</f>
        <v/>
      </c>
      <c r="F216" s="15" t="n"/>
      <c r="G216" s="6" t="n"/>
      <c r="H216" s="6" t="n"/>
      <c r="I216" s="6" t="n"/>
      <c r="J216" s="6" t="n"/>
      <c r="K216" s="6" t="n"/>
    </row>
    <row r="217">
      <c r="A217" s="2" t="n"/>
      <c r="B217" s="12" t="n"/>
      <c r="C217" s="2" t="n"/>
      <c r="D217" s="2" t="n"/>
      <c r="E217" s="2">
        <f>IF($C217="","",IFERROR(INDEX(Units_Owners!$C$5:$C$504,MATCH($C217,Units_Owners!$A$5:$A$504,0)),""))</f>
        <v/>
      </c>
      <c r="F217" s="13" t="n"/>
      <c r="G217" s="2" t="n"/>
      <c r="H217" s="2" t="n"/>
      <c r="I217" s="2" t="n"/>
      <c r="J217" s="2" t="n"/>
      <c r="K217" s="2" t="n"/>
    </row>
    <row r="218">
      <c r="A218" s="6" t="n"/>
      <c r="B218" s="14" t="n"/>
      <c r="C218" s="6" t="n"/>
      <c r="D218" s="6" t="n"/>
      <c r="E218" s="2">
        <f>IF($C218="","",IFERROR(INDEX(Units_Owners!$C$5:$C$504,MATCH($C218,Units_Owners!$A$5:$A$504,0)),""))</f>
        <v/>
      </c>
      <c r="F218" s="15" t="n"/>
      <c r="G218" s="6" t="n"/>
      <c r="H218" s="6" t="n"/>
      <c r="I218" s="6" t="n"/>
      <c r="J218" s="6" t="n"/>
      <c r="K218" s="6" t="n"/>
    </row>
    <row r="219">
      <c r="A219" s="2" t="n"/>
      <c r="B219" s="12" t="n"/>
      <c r="C219" s="2" t="n"/>
      <c r="D219" s="2" t="n"/>
      <c r="E219" s="2">
        <f>IF($C219="","",IFERROR(INDEX(Units_Owners!$C$5:$C$504,MATCH($C219,Units_Owners!$A$5:$A$504,0)),""))</f>
        <v/>
      </c>
      <c r="F219" s="13" t="n"/>
      <c r="G219" s="2" t="n"/>
      <c r="H219" s="2" t="n"/>
      <c r="I219" s="2" t="n"/>
      <c r="J219" s="2" t="n"/>
      <c r="K219" s="2" t="n"/>
    </row>
    <row r="220">
      <c r="A220" s="6" t="n"/>
      <c r="B220" s="14" t="n"/>
      <c r="C220" s="6" t="n"/>
      <c r="D220" s="6" t="n"/>
      <c r="E220" s="2">
        <f>IF($C220="","",IFERROR(INDEX(Units_Owners!$C$5:$C$504,MATCH($C220,Units_Owners!$A$5:$A$504,0)),""))</f>
        <v/>
      </c>
      <c r="F220" s="15" t="n"/>
      <c r="G220" s="6" t="n"/>
      <c r="H220" s="6" t="n"/>
      <c r="I220" s="6" t="n"/>
      <c r="J220" s="6" t="n"/>
      <c r="K220" s="6" t="n"/>
    </row>
    <row r="221">
      <c r="A221" s="2" t="n"/>
      <c r="B221" s="12" t="n"/>
      <c r="C221" s="2" t="n"/>
      <c r="D221" s="2" t="n"/>
      <c r="E221" s="2">
        <f>IF($C221="","",IFERROR(INDEX(Units_Owners!$C$5:$C$504,MATCH($C221,Units_Owners!$A$5:$A$504,0)),""))</f>
        <v/>
      </c>
      <c r="F221" s="13" t="n"/>
      <c r="G221" s="2" t="n"/>
      <c r="H221" s="2" t="n"/>
      <c r="I221" s="2" t="n"/>
      <c r="J221" s="2" t="n"/>
      <c r="K221" s="2" t="n"/>
    </row>
    <row r="222">
      <c r="A222" s="6" t="n"/>
      <c r="B222" s="14" t="n"/>
      <c r="C222" s="6" t="n"/>
      <c r="D222" s="6" t="n"/>
      <c r="E222" s="2">
        <f>IF($C222="","",IFERROR(INDEX(Units_Owners!$C$5:$C$504,MATCH($C222,Units_Owners!$A$5:$A$504,0)),""))</f>
        <v/>
      </c>
      <c r="F222" s="15" t="n"/>
      <c r="G222" s="6" t="n"/>
      <c r="H222" s="6" t="n"/>
      <c r="I222" s="6" t="n"/>
      <c r="J222" s="6" t="n"/>
      <c r="K222" s="6" t="n"/>
    </row>
    <row r="223">
      <c r="A223" s="2" t="n"/>
      <c r="B223" s="12" t="n"/>
      <c r="C223" s="2" t="n"/>
      <c r="D223" s="2" t="n"/>
      <c r="E223" s="2">
        <f>IF($C223="","",IFERROR(INDEX(Units_Owners!$C$5:$C$504,MATCH($C223,Units_Owners!$A$5:$A$504,0)),""))</f>
        <v/>
      </c>
      <c r="F223" s="13" t="n"/>
      <c r="G223" s="2" t="n"/>
      <c r="H223" s="2" t="n"/>
      <c r="I223" s="2" t="n"/>
      <c r="J223" s="2" t="n"/>
      <c r="K223" s="2" t="n"/>
    </row>
    <row r="224">
      <c r="A224" s="6" t="n"/>
      <c r="B224" s="14" t="n"/>
      <c r="C224" s="6" t="n"/>
      <c r="D224" s="6" t="n"/>
      <c r="E224" s="2">
        <f>IF($C224="","",IFERROR(INDEX(Units_Owners!$C$5:$C$504,MATCH($C224,Units_Owners!$A$5:$A$504,0)),""))</f>
        <v/>
      </c>
      <c r="F224" s="15" t="n"/>
      <c r="G224" s="6" t="n"/>
      <c r="H224" s="6" t="n"/>
      <c r="I224" s="6" t="n"/>
      <c r="J224" s="6" t="n"/>
      <c r="K224" s="6" t="n"/>
    </row>
    <row r="225">
      <c r="A225" s="2" t="n"/>
      <c r="B225" s="12" t="n"/>
      <c r="C225" s="2" t="n"/>
      <c r="D225" s="2" t="n"/>
      <c r="E225" s="2">
        <f>IF($C225="","",IFERROR(INDEX(Units_Owners!$C$5:$C$504,MATCH($C225,Units_Owners!$A$5:$A$504,0)),""))</f>
        <v/>
      </c>
      <c r="F225" s="13" t="n"/>
      <c r="G225" s="2" t="n"/>
      <c r="H225" s="2" t="n"/>
      <c r="I225" s="2" t="n"/>
      <c r="J225" s="2" t="n"/>
      <c r="K225" s="2" t="n"/>
    </row>
    <row r="226">
      <c r="A226" s="6" t="n"/>
      <c r="B226" s="14" t="n"/>
      <c r="C226" s="6" t="n"/>
      <c r="D226" s="6" t="n"/>
      <c r="E226" s="2">
        <f>IF($C226="","",IFERROR(INDEX(Units_Owners!$C$5:$C$504,MATCH($C226,Units_Owners!$A$5:$A$504,0)),""))</f>
        <v/>
      </c>
      <c r="F226" s="15" t="n"/>
      <c r="G226" s="6" t="n"/>
      <c r="H226" s="6" t="n"/>
      <c r="I226" s="6" t="n"/>
      <c r="J226" s="6" t="n"/>
      <c r="K226" s="6" t="n"/>
    </row>
    <row r="227">
      <c r="A227" s="2" t="n"/>
      <c r="B227" s="12" t="n"/>
      <c r="C227" s="2" t="n"/>
      <c r="D227" s="2" t="n"/>
      <c r="E227" s="2">
        <f>IF($C227="","",IFERROR(INDEX(Units_Owners!$C$5:$C$504,MATCH($C227,Units_Owners!$A$5:$A$504,0)),""))</f>
        <v/>
      </c>
      <c r="F227" s="13" t="n"/>
      <c r="G227" s="2" t="n"/>
      <c r="H227" s="2" t="n"/>
      <c r="I227" s="2" t="n"/>
      <c r="J227" s="2" t="n"/>
      <c r="K227" s="2" t="n"/>
    </row>
    <row r="228">
      <c r="A228" s="6" t="n"/>
      <c r="B228" s="14" t="n"/>
      <c r="C228" s="6" t="n"/>
      <c r="D228" s="6" t="n"/>
      <c r="E228" s="2">
        <f>IF($C228="","",IFERROR(INDEX(Units_Owners!$C$5:$C$504,MATCH($C228,Units_Owners!$A$5:$A$504,0)),""))</f>
        <v/>
      </c>
      <c r="F228" s="15" t="n"/>
      <c r="G228" s="6" t="n"/>
      <c r="H228" s="6" t="n"/>
      <c r="I228" s="6" t="n"/>
      <c r="J228" s="6" t="n"/>
      <c r="K228" s="6" t="n"/>
    </row>
    <row r="229">
      <c r="A229" s="2" t="n"/>
      <c r="B229" s="12" t="n"/>
      <c r="C229" s="2" t="n"/>
      <c r="D229" s="2" t="n"/>
      <c r="E229" s="2">
        <f>IF($C229="","",IFERROR(INDEX(Units_Owners!$C$5:$C$504,MATCH($C229,Units_Owners!$A$5:$A$504,0)),""))</f>
        <v/>
      </c>
      <c r="F229" s="13" t="n"/>
      <c r="G229" s="2" t="n"/>
      <c r="H229" s="2" t="n"/>
      <c r="I229" s="2" t="n"/>
      <c r="J229" s="2" t="n"/>
      <c r="K229" s="2" t="n"/>
    </row>
    <row r="230">
      <c r="A230" s="6" t="n"/>
      <c r="B230" s="14" t="n"/>
      <c r="C230" s="6" t="n"/>
      <c r="D230" s="6" t="n"/>
      <c r="E230" s="2">
        <f>IF($C230="","",IFERROR(INDEX(Units_Owners!$C$5:$C$504,MATCH($C230,Units_Owners!$A$5:$A$504,0)),""))</f>
        <v/>
      </c>
      <c r="F230" s="15" t="n"/>
      <c r="G230" s="6" t="n"/>
      <c r="H230" s="6" t="n"/>
      <c r="I230" s="6" t="n"/>
      <c r="J230" s="6" t="n"/>
      <c r="K230" s="6" t="n"/>
    </row>
    <row r="231">
      <c r="A231" s="2" t="n"/>
      <c r="B231" s="12" t="n"/>
      <c r="C231" s="2" t="n"/>
      <c r="D231" s="2" t="n"/>
      <c r="E231" s="2">
        <f>IF($C231="","",IFERROR(INDEX(Units_Owners!$C$5:$C$504,MATCH($C231,Units_Owners!$A$5:$A$504,0)),""))</f>
        <v/>
      </c>
      <c r="F231" s="13" t="n"/>
      <c r="G231" s="2" t="n"/>
      <c r="H231" s="2" t="n"/>
      <c r="I231" s="2" t="n"/>
      <c r="J231" s="2" t="n"/>
      <c r="K231" s="2" t="n"/>
    </row>
    <row r="232">
      <c r="A232" s="6" t="n"/>
      <c r="B232" s="14" t="n"/>
      <c r="C232" s="6" t="n"/>
      <c r="D232" s="6" t="n"/>
      <c r="E232" s="2">
        <f>IF($C232="","",IFERROR(INDEX(Units_Owners!$C$5:$C$504,MATCH($C232,Units_Owners!$A$5:$A$504,0)),""))</f>
        <v/>
      </c>
      <c r="F232" s="15" t="n"/>
      <c r="G232" s="6" t="n"/>
      <c r="H232" s="6" t="n"/>
      <c r="I232" s="6" t="n"/>
      <c r="J232" s="6" t="n"/>
      <c r="K232" s="6" t="n"/>
    </row>
    <row r="233">
      <c r="A233" s="2" t="n"/>
      <c r="B233" s="12" t="n"/>
      <c r="C233" s="2" t="n"/>
      <c r="D233" s="2" t="n"/>
      <c r="E233" s="2">
        <f>IF($C233="","",IFERROR(INDEX(Units_Owners!$C$5:$C$504,MATCH($C233,Units_Owners!$A$5:$A$504,0)),""))</f>
        <v/>
      </c>
      <c r="F233" s="13" t="n"/>
      <c r="G233" s="2" t="n"/>
      <c r="H233" s="2" t="n"/>
      <c r="I233" s="2" t="n"/>
      <c r="J233" s="2" t="n"/>
      <c r="K233" s="2" t="n"/>
    </row>
    <row r="234">
      <c r="A234" s="6" t="n"/>
      <c r="B234" s="14" t="n"/>
      <c r="C234" s="6" t="n"/>
      <c r="D234" s="6" t="n"/>
      <c r="E234" s="2">
        <f>IF($C234="","",IFERROR(INDEX(Units_Owners!$C$5:$C$504,MATCH($C234,Units_Owners!$A$5:$A$504,0)),""))</f>
        <v/>
      </c>
      <c r="F234" s="15" t="n"/>
      <c r="G234" s="6" t="n"/>
      <c r="H234" s="6" t="n"/>
      <c r="I234" s="6" t="n"/>
      <c r="J234" s="6" t="n"/>
      <c r="K234" s="6" t="n"/>
    </row>
    <row r="235">
      <c r="A235" s="2" t="n"/>
      <c r="B235" s="12" t="n"/>
      <c r="C235" s="2" t="n"/>
      <c r="D235" s="2" t="n"/>
      <c r="E235" s="2">
        <f>IF($C235="","",IFERROR(INDEX(Units_Owners!$C$5:$C$504,MATCH($C235,Units_Owners!$A$5:$A$504,0)),""))</f>
        <v/>
      </c>
      <c r="F235" s="13" t="n"/>
      <c r="G235" s="2" t="n"/>
      <c r="H235" s="2" t="n"/>
      <c r="I235" s="2" t="n"/>
      <c r="J235" s="2" t="n"/>
      <c r="K235" s="2" t="n"/>
    </row>
    <row r="236">
      <c r="A236" s="6" t="n"/>
      <c r="B236" s="14" t="n"/>
      <c r="C236" s="6" t="n"/>
      <c r="D236" s="6" t="n"/>
      <c r="E236" s="2">
        <f>IF($C236="","",IFERROR(INDEX(Units_Owners!$C$5:$C$504,MATCH($C236,Units_Owners!$A$5:$A$504,0)),""))</f>
        <v/>
      </c>
      <c r="F236" s="15" t="n"/>
      <c r="G236" s="6" t="n"/>
      <c r="H236" s="6" t="n"/>
      <c r="I236" s="6" t="n"/>
      <c r="J236" s="6" t="n"/>
      <c r="K236" s="6" t="n"/>
    </row>
    <row r="237">
      <c r="A237" s="2" t="n"/>
      <c r="B237" s="12" t="n"/>
      <c r="C237" s="2" t="n"/>
      <c r="D237" s="2" t="n"/>
      <c r="E237" s="2">
        <f>IF($C237="","",IFERROR(INDEX(Units_Owners!$C$5:$C$504,MATCH($C237,Units_Owners!$A$5:$A$504,0)),""))</f>
        <v/>
      </c>
      <c r="F237" s="13" t="n"/>
      <c r="G237" s="2" t="n"/>
      <c r="H237" s="2" t="n"/>
      <c r="I237" s="2" t="n"/>
      <c r="J237" s="2" t="n"/>
      <c r="K237" s="2" t="n"/>
    </row>
    <row r="238">
      <c r="A238" s="6" t="n"/>
      <c r="B238" s="14" t="n"/>
      <c r="C238" s="6" t="n"/>
      <c r="D238" s="6" t="n"/>
      <c r="E238" s="2">
        <f>IF($C238="","",IFERROR(INDEX(Units_Owners!$C$5:$C$504,MATCH($C238,Units_Owners!$A$5:$A$504,0)),""))</f>
        <v/>
      </c>
      <c r="F238" s="15" t="n"/>
      <c r="G238" s="6" t="n"/>
      <c r="H238" s="6" t="n"/>
      <c r="I238" s="6" t="n"/>
      <c r="J238" s="6" t="n"/>
      <c r="K238" s="6" t="n"/>
    </row>
    <row r="239">
      <c r="A239" s="2" t="n"/>
      <c r="B239" s="12" t="n"/>
      <c r="C239" s="2" t="n"/>
      <c r="D239" s="2" t="n"/>
      <c r="E239" s="2">
        <f>IF($C239="","",IFERROR(INDEX(Units_Owners!$C$5:$C$504,MATCH($C239,Units_Owners!$A$5:$A$504,0)),""))</f>
        <v/>
      </c>
      <c r="F239" s="13" t="n"/>
      <c r="G239" s="2" t="n"/>
      <c r="H239" s="2" t="n"/>
      <c r="I239" s="2" t="n"/>
      <c r="J239" s="2" t="n"/>
      <c r="K239" s="2" t="n"/>
    </row>
    <row r="240">
      <c r="A240" s="6" t="n"/>
      <c r="B240" s="14" t="n"/>
      <c r="C240" s="6" t="n"/>
      <c r="D240" s="6" t="n"/>
      <c r="E240" s="2">
        <f>IF($C240="","",IFERROR(INDEX(Units_Owners!$C$5:$C$504,MATCH($C240,Units_Owners!$A$5:$A$504,0)),""))</f>
        <v/>
      </c>
      <c r="F240" s="15" t="n"/>
      <c r="G240" s="6" t="n"/>
      <c r="H240" s="6" t="n"/>
      <c r="I240" s="6" t="n"/>
      <c r="J240" s="6" t="n"/>
      <c r="K240" s="6" t="n"/>
    </row>
    <row r="241">
      <c r="A241" s="2" t="n"/>
      <c r="B241" s="12" t="n"/>
      <c r="C241" s="2" t="n"/>
      <c r="D241" s="2" t="n"/>
      <c r="E241" s="2">
        <f>IF($C241="","",IFERROR(INDEX(Units_Owners!$C$5:$C$504,MATCH($C241,Units_Owners!$A$5:$A$504,0)),""))</f>
        <v/>
      </c>
      <c r="F241" s="13" t="n"/>
      <c r="G241" s="2" t="n"/>
      <c r="H241" s="2" t="n"/>
      <c r="I241" s="2" t="n"/>
      <c r="J241" s="2" t="n"/>
      <c r="K241" s="2" t="n"/>
    </row>
    <row r="242">
      <c r="A242" s="6" t="n"/>
      <c r="B242" s="14" t="n"/>
      <c r="C242" s="6" t="n"/>
      <c r="D242" s="6" t="n"/>
      <c r="E242" s="2">
        <f>IF($C242="","",IFERROR(INDEX(Units_Owners!$C$5:$C$504,MATCH($C242,Units_Owners!$A$5:$A$504,0)),""))</f>
        <v/>
      </c>
      <c r="F242" s="15" t="n"/>
      <c r="G242" s="6" t="n"/>
      <c r="H242" s="6" t="n"/>
      <c r="I242" s="6" t="n"/>
      <c r="J242" s="6" t="n"/>
      <c r="K242" s="6" t="n"/>
    </row>
    <row r="243">
      <c r="A243" s="2" t="n"/>
      <c r="B243" s="12" t="n"/>
      <c r="C243" s="2" t="n"/>
      <c r="D243" s="2" t="n"/>
      <c r="E243" s="2">
        <f>IF($C243="","",IFERROR(INDEX(Units_Owners!$C$5:$C$504,MATCH($C243,Units_Owners!$A$5:$A$504,0)),""))</f>
        <v/>
      </c>
      <c r="F243" s="13" t="n"/>
      <c r="G243" s="2" t="n"/>
      <c r="H243" s="2" t="n"/>
      <c r="I243" s="2" t="n"/>
      <c r="J243" s="2" t="n"/>
      <c r="K243" s="2" t="n"/>
    </row>
    <row r="244">
      <c r="A244" s="6" t="n"/>
      <c r="B244" s="14" t="n"/>
      <c r="C244" s="6" t="n"/>
      <c r="D244" s="6" t="n"/>
      <c r="E244" s="2">
        <f>IF($C244="","",IFERROR(INDEX(Units_Owners!$C$5:$C$504,MATCH($C244,Units_Owners!$A$5:$A$504,0)),""))</f>
        <v/>
      </c>
      <c r="F244" s="15" t="n"/>
      <c r="G244" s="6" t="n"/>
      <c r="H244" s="6" t="n"/>
      <c r="I244" s="6" t="n"/>
      <c r="J244" s="6" t="n"/>
      <c r="K244" s="6" t="n"/>
    </row>
    <row r="245">
      <c r="A245" s="2" t="n"/>
      <c r="B245" s="12" t="n"/>
      <c r="C245" s="2" t="n"/>
      <c r="D245" s="2" t="n"/>
      <c r="E245" s="2">
        <f>IF($C245="","",IFERROR(INDEX(Units_Owners!$C$5:$C$504,MATCH($C245,Units_Owners!$A$5:$A$504,0)),""))</f>
        <v/>
      </c>
      <c r="F245" s="13" t="n"/>
      <c r="G245" s="2" t="n"/>
      <c r="H245" s="2" t="n"/>
      <c r="I245" s="2" t="n"/>
      <c r="J245" s="2" t="n"/>
      <c r="K245" s="2" t="n"/>
    </row>
    <row r="246">
      <c r="A246" s="6" t="n"/>
      <c r="B246" s="14" t="n"/>
      <c r="C246" s="6" t="n"/>
      <c r="D246" s="6" t="n"/>
      <c r="E246" s="2">
        <f>IF($C246="","",IFERROR(INDEX(Units_Owners!$C$5:$C$504,MATCH($C246,Units_Owners!$A$5:$A$504,0)),""))</f>
        <v/>
      </c>
      <c r="F246" s="15" t="n"/>
      <c r="G246" s="6" t="n"/>
      <c r="H246" s="6" t="n"/>
      <c r="I246" s="6" t="n"/>
      <c r="J246" s="6" t="n"/>
      <c r="K246" s="6" t="n"/>
    </row>
    <row r="247">
      <c r="A247" s="2" t="n"/>
      <c r="B247" s="12" t="n"/>
      <c r="C247" s="2" t="n"/>
      <c r="D247" s="2" t="n"/>
      <c r="E247" s="2">
        <f>IF($C247="","",IFERROR(INDEX(Units_Owners!$C$5:$C$504,MATCH($C247,Units_Owners!$A$5:$A$504,0)),""))</f>
        <v/>
      </c>
      <c r="F247" s="13" t="n"/>
      <c r="G247" s="2" t="n"/>
      <c r="H247" s="2" t="n"/>
      <c r="I247" s="2" t="n"/>
      <c r="J247" s="2" t="n"/>
      <c r="K247" s="2" t="n"/>
    </row>
    <row r="248">
      <c r="A248" s="6" t="n"/>
      <c r="B248" s="14" t="n"/>
      <c r="C248" s="6" t="n"/>
      <c r="D248" s="6" t="n"/>
      <c r="E248" s="2">
        <f>IF($C248="","",IFERROR(INDEX(Units_Owners!$C$5:$C$504,MATCH($C248,Units_Owners!$A$5:$A$504,0)),""))</f>
        <v/>
      </c>
      <c r="F248" s="15" t="n"/>
      <c r="G248" s="6" t="n"/>
      <c r="H248" s="6" t="n"/>
      <c r="I248" s="6" t="n"/>
      <c r="J248" s="6" t="n"/>
      <c r="K248" s="6" t="n"/>
    </row>
    <row r="249">
      <c r="A249" s="2" t="n"/>
      <c r="B249" s="12" t="n"/>
      <c r="C249" s="2" t="n"/>
      <c r="D249" s="2" t="n"/>
      <c r="E249" s="2">
        <f>IF($C249="","",IFERROR(INDEX(Units_Owners!$C$5:$C$504,MATCH($C249,Units_Owners!$A$5:$A$504,0)),""))</f>
        <v/>
      </c>
      <c r="F249" s="13" t="n"/>
      <c r="G249" s="2" t="n"/>
      <c r="H249" s="2" t="n"/>
      <c r="I249" s="2" t="n"/>
      <c r="J249" s="2" t="n"/>
      <c r="K249" s="2" t="n"/>
    </row>
    <row r="250">
      <c r="A250" s="6" t="n"/>
      <c r="B250" s="14" t="n"/>
      <c r="C250" s="6" t="n"/>
      <c r="D250" s="6" t="n"/>
      <c r="E250" s="2">
        <f>IF($C250="","",IFERROR(INDEX(Units_Owners!$C$5:$C$504,MATCH($C250,Units_Owners!$A$5:$A$504,0)),""))</f>
        <v/>
      </c>
      <c r="F250" s="15" t="n"/>
      <c r="G250" s="6" t="n"/>
      <c r="H250" s="6" t="n"/>
      <c r="I250" s="6" t="n"/>
      <c r="J250" s="6" t="n"/>
      <c r="K250" s="6" t="n"/>
    </row>
    <row r="251">
      <c r="A251" s="2" t="n"/>
      <c r="B251" s="12" t="n"/>
      <c r="C251" s="2" t="n"/>
      <c r="D251" s="2" t="n"/>
      <c r="E251" s="2">
        <f>IF($C251="","",IFERROR(INDEX(Units_Owners!$C$5:$C$504,MATCH($C251,Units_Owners!$A$5:$A$504,0)),""))</f>
        <v/>
      </c>
      <c r="F251" s="13" t="n"/>
      <c r="G251" s="2" t="n"/>
      <c r="H251" s="2" t="n"/>
      <c r="I251" s="2" t="n"/>
      <c r="J251" s="2" t="n"/>
      <c r="K251" s="2" t="n"/>
    </row>
    <row r="252">
      <c r="A252" s="6" t="n"/>
      <c r="B252" s="14" t="n"/>
      <c r="C252" s="6" t="n"/>
      <c r="D252" s="6" t="n"/>
      <c r="E252" s="2">
        <f>IF($C252="","",IFERROR(INDEX(Units_Owners!$C$5:$C$504,MATCH($C252,Units_Owners!$A$5:$A$504,0)),""))</f>
        <v/>
      </c>
      <c r="F252" s="15" t="n"/>
      <c r="G252" s="6" t="n"/>
      <c r="H252" s="6" t="n"/>
      <c r="I252" s="6" t="n"/>
      <c r="J252" s="6" t="n"/>
      <c r="K252" s="6" t="n"/>
    </row>
    <row r="253">
      <c r="A253" s="2" t="n"/>
      <c r="B253" s="12" t="n"/>
      <c r="C253" s="2" t="n"/>
      <c r="D253" s="2" t="n"/>
      <c r="E253" s="2">
        <f>IF($C253="","",IFERROR(INDEX(Units_Owners!$C$5:$C$504,MATCH($C253,Units_Owners!$A$5:$A$504,0)),""))</f>
        <v/>
      </c>
      <c r="F253" s="13" t="n"/>
      <c r="G253" s="2" t="n"/>
      <c r="H253" s="2" t="n"/>
      <c r="I253" s="2" t="n"/>
      <c r="J253" s="2" t="n"/>
      <c r="K253" s="2" t="n"/>
    </row>
    <row r="254">
      <c r="A254" s="6" t="n"/>
      <c r="B254" s="14" t="n"/>
      <c r="C254" s="6" t="n"/>
      <c r="D254" s="6" t="n"/>
      <c r="E254" s="2">
        <f>IF($C254="","",IFERROR(INDEX(Units_Owners!$C$5:$C$504,MATCH($C254,Units_Owners!$A$5:$A$504,0)),""))</f>
        <v/>
      </c>
      <c r="F254" s="15" t="n"/>
      <c r="G254" s="6" t="n"/>
      <c r="H254" s="6" t="n"/>
      <c r="I254" s="6" t="n"/>
      <c r="J254" s="6" t="n"/>
      <c r="K254" s="6" t="n"/>
    </row>
    <row r="255">
      <c r="A255" s="2" t="n"/>
      <c r="B255" s="12" t="n"/>
      <c r="C255" s="2" t="n"/>
      <c r="D255" s="2" t="n"/>
      <c r="E255" s="2">
        <f>IF($C255="","",IFERROR(INDEX(Units_Owners!$C$5:$C$504,MATCH($C255,Units_Owners!$A$5:$A$504,0)),""))</f>
        <v/>
      </c>
      <c r="F255" s="13" t="n"/>
      <c r="G255" s="2" t="n"/>
      <c r="H255" s="2" t="n"/>
      <c r="I255" s="2" t="n"/>
      <c r="J255" s="2" t="n"/>
      <c r="K255" s="2" t="n"/>
    </row>
    <row r="256">
      <c r="A256" s="6" t="n"/>
      <c r="B256" s="14" t="n"/>
      <c r="C256" s="6" t="n"/>
      <c r="D256" s="6" t="n"/>
      <c r="E256" s="2">
        <f>IF($C256="","",IFERROR(INDEX(Units_Owners!$C$5:$C$504,MATCH($C256,Units_Owners!$A$5:$A$504,0)),""))</f>
        <v/>
      </c>
      <c r="F256" s="15" t="n"/>
      <c r="G256" s="6" t="n"/>
      <c r="H256" s="6" t="n"/>
      <c r="I256" s="6" t="n"/>
      <c r="J256" s="6" t="n"/>
      <c r="K256" s="6" t="n"/>
    </row>
    <row r="257">
      <c r="A257" s="2" t="n"/>
      <c r="B257" s="12" t="n"/>
      <c r="C257" s="2" t="n"/>
      <c r="D257" s="2" t="n"/>
      <c r="E257" s="2">
        <f>IF($C257="","",IFERROR(INDEX(Units_Owners!$C$5:$C$504,MATCH($C257,Units_Owners!$A$5:$A$504,0)),""))</f>
        <v/>
      </c>
      <c r="F257" s="13" t="n"/>
      <c r="G257" s="2" t="n"/>
      <c r="H257" s="2" t="n"/>
      <c r="I257" s="2" t="n"/>
      <c r="J257" s="2" t="n"/>
      <c r="K257" s="2" t="n"/>
    </row>
    <row r="258">
      <c r="A258" s="6" t="n"/>
      <c r="B258" s="14" t="n"/>
      <c r="C258" s="6" t="n"/>
      <c r="D258" s="6" t="n"/>
      <c r="E258" s="2">
        <f>IF($C258="","",IFERROR(INDEX(Units_Owners!$C$5:$C$504,MATCH($C258,Units_Owners!$A$5:$A$504,0)),""))</f>
        <v/>
      </c>
      <c r="F258" s="15" t="n"/>
      <c r="G258" s="6" t="n"/>
      <c r="H258" s="6" t="n"/>
      <c r="I258" s="6" t="n"/>
      <c r="J258" s="6" t="n"/>
      <c r="K258" s="6" t="n"/>
    </row>
    <row r="259">
      <c r="A259" s="2" t="n"/>
      <c r="B259" s="12" t="n"/>
      <c r="C259" s="2" t="n"/>
      <c r="D259" s="2" t="n"/>
      <c r="E259" s="2">
        <f>IF($C259="","",IFERROR(INDEX(Units_Owners!$C$5:$C$504,MATCH($C259,Units_Owners!$A$5:$A$504,0)),""))</f>
        <v/>
      </c>
      <c r="F259" s="13" t="n"/>
      <c r="G259" s="2" t="n"/>
      <c r="H259" s="2" t="n"/>
      <c r="I259" s="2" t="n"/>
      <c r="J259" s="2" t="n"/>
      <c r="K259" s="2" t="n"/>
    </row>
    <row r="260">
      <c r="A260" s="6" t="n"/>
      <c r="B260" s="14" t="n"/>
      <c r="C260" s="6" t="n"/>
      <c r="D260" s="6" t="n"/>
      <c r="E260" s="2">
        <f>IF($C260="","",IFERROR(INDEX(Units_Owners!$C$5:$C$504,MATCH($C260,Units_Owners!$A$5:$A$504,0)),""))</f>
        <v/>
      </c>
      <c r="F260" s="15" t="n"/>
      <c r="G260" s="6" t="n"/>
      <c r="H260" s="6" t="n"/>
      <c r="I260" s="6" t="n"/>
      <c r="J260" s="6" t="n"/>
      <c r="K260" s="6" t="n"/>
    </row>
    <row r="261">
      <c r="A261" s="2" t="n"/>
      <c r="B261" s="12" t="n"/>
      <c r="C261" s="2" t="n"/>
      <c r="D261" s="2" t="n"/>
      <c r="E261" s="2">
        <f>IF($C261="","",IFERROR(INDEX(Units_Owners!$C$5:$C$504,MATCH($C261,Units_Owners!$A$5:$A$504,0)),""))</f>
        <v/>
      </c>
      <c r="F261" s="13" t="n"/>
      <c r="G261" s="2" t="n"/>
      <c r="H261" s="2" t="n"/>
      <c r="I261" s="2" t="n"/>
      <c r="J261" s="2" t="n"/>
      <c r="K261" s="2" t="n"/>
    </row>
    <row r="262">
      <c r="A262" s="6" t="n"/>
      <c r="B262" s="14" t="n"/>
      <c r="C262" s="6" t="n"/>
      <c r="D262" s="6" t="n"/>
      <c r="E262" s="2">
        <f>IF($C262="","",IFERROR(INDEX(Units_Owners!$C$5:$C$504,MATCH($C262,Units_Owners!$A$5:$A$504,0)),""))</f>
        <v/>
      </c>
      <c r="F262" s="15" t="n"/>
      <c r="G262" s="6" t="n"/>
      <c r="H262" s="6" t="n"/>
      <c r="I262" s="6" t="n"/>
      <c r="J262" s="6" t="n"/>
      <c r="K262" s="6" t="n"/>
    </row>
    <row r="263">
      <c r="A263" s="2" t="n"/>
      <c r="B263" s="12" t="n"/>
      <c r="C263" s="2" t="n"/>
      <c r="D263" s="2" t="n"/>
      <c r="E263" s="2">
        <f>IF($C263="","",IFERROR(INDEX(Units_Owners!$C$5:$C$504,MATCH($C263,Units_Owners!$A$5:$A$504,0)),""))</f>
        <v/>
      </c>
      <c r="F263" s="13" t="n"/>
      <c r="G263" s="2" t="n"/>
      <c r="H263" s="2" t="n"/>
      <c r="I263" s="2" t="n"/>
      <c r="J263" s="2" t="n"/>
      <c r="K263" s="2" t="n"/>
    </row>
    <row r="264">
      <c r="A264" s="6" t="n"/>
      <c r="B264" s="14" t="n"/>
      <c r="C264" s="6" t="n"/>
      <c r="D264" s="6" t="n"/>
      <c r="E264" s="2">
        <f>IF($C264="","",IFERROR(INDEX(Units_Owners!$C$5:$C$504,MATCH($C264,Units_Owners!$A$5:$A$504,0)),""))</f>
        <v/>
      </c>
      <c r="F264" s="15" t="n"/>
      <c r="G264" s="6" t="n"/>
      <c r="H264" s="6" t="n"/>
      <c r="I264" s="6" t="n"/>
      <c r="J264" s="6" t="n"/>
      <c r="K264" s="6" t="n"/>
    </row>
    <row r="265">
      <c r="A265" s="2" t="n"/>
      <c r="B265" s="12" t="n"/>
      <c r="C265" s="2" t="n"/>
      <c r="D265" s="2" t="n"/>
      <c r="E265" s="2">
        <f>IF($C265="","",IFERROR(INDEX(Units_Owners!$C$5:$C$504,MATCH($C265,Units_Owners!$A$5:$A$504,0)),""))</f>
        <v/>
      </c>
      <c r="F265" s="13" t="n"/>
      <c r="G265" s="2" t="n"/>
      <c r="H265" s="2" t="n"/>
      <c r="I265" s="2" t="n"/>
      <c r="J265" s="2" t="n"/>
      <c r="K265" s="2" t="n"/>
    </row>
    <row r="266">
      <c r="A266" s="6" t="n"/>
      <c r="B266" s="14" t="n"/>
      <c r="C266" s="6" t="n"/>
      <c r="D266" s="6" t="n"/>
      <c r="E266" s="2">
        <f>IF($C266="","",IFERROR(INDEX(Units_Owners!$C$5:$C$504,MATCH($C266,Units_Owners!$A$5:$A$504,0)),""))</f>
        <v/>
      </c>
      <c r="F266" s="15" t="n"/>
      <c r="G266" s="6" t="n"/>
      <c r="H266" s="6" t="n"/>
      <c r="I266" s="6" t="n"/>
      <c r="J266" s="6" t="n"/>
      <c r="K266" s="6" t="n"/>
    </row>
    <row r="267">
      <c r="A267" s="2" t="n"/>
      <c r="B267" s="12" t="n"/>
      <c r="C267" s="2" t="n"/>
      <c r="D267" s="2" t="n"/>
      <c r="E267" s="2">
        <f>IF($C267="","",IFERROR(INDEX(Units_Owners!$C$5:$C$504,MATCH($C267,Units_Owners!$A$5:$A$504,0)),""))</f>
        <v/>
      </c>
      <c r="F267" s="13" t="n"/>
      <c r="G267" s="2" t="n"/>
      <c r="H267" s="2" t="n"/>
      <c r="I267" s="2" t="n"/>
      <c r="J267" s="2" t="n"/>
      <c r="K267" s="2" t="n"/>
    </row>
    <row r="268">
      <c r="A268" s="6" t="n"/>
      <c r="B268" s="14" t="n"/>
      <c r="C268" s="6" t="n"/>
      <c r="D268" s="6" t="n"/>
      <c r="E268" s="2">
        <f>IF($C268="","",IFERROR(INDEX(Units_Owners!$C$5:$C$504,MATCH($C268,Units_Owners!$A$5:$A$504,0)),""))</f>
        <v/>
      </c>
      <c r="F268" s="15" t="n"/>
      <c r="G268" s="6" t="n"/>
      <c r="H268" s="6" t="n"/>
      <c r="I268" s="6" t="n"/>
      <c r="J268" s="6" t="n"/>
      <c r="K268" s="6" t="n"/>
    </row>
    <row r="269">
      <c r="A269" s="2" t="n"/>
      <c r="B269" s="12" t="n"/>
      <c r="C269" s="2" t="n"/>
      <c r="D269" s="2" t="n"/>
      <c r="E269" s="2">
        <f>IF($C269="","",IFERROR(INDEX(Units_Owners!$C$5:$C$504,MATCH($C269,Units_Owners!$A$5:$A$504,0)),""))</f>
        <v/>
      </c>
      <c r="F269" s="13" t="n"/>
      <c r="G269" s="2" t="n"/>
      <c r="H269" s="2" t="n"/>
      <c r="I269" s="2" t="n"/>
      <c r="J269" s="2" t="n"/>
      <c r="K269" s="2" t="n"/>
    </row>
    <row r="270">
      <c r="A270" s="6" t="n"/>
      <c r="B270" s="14" t="n"/>
      <c r="C270" s="6" t="n"/>
      <c r="D270" s="6" t="n"/>
      <c r="E270" s="2">
        <f>IF($C270="","",IFERROR(INDEX(Units_Owners!$C$5:$C$504,MATCH($C270,Units_Owners!$A$5:$A$504,0)),""))</f>
        <v/>
      </c>
      <c r="F270" s="15" t="n"/>
      <c r="G270" s="6" t="n"/>
      <c r="H270" s="6" t="n"/>
      <c r="I270" s="6" t="n"/>
      <c r="J270" s="6" t="n"/>
      <c r="K270" s="6" t="n"/>
    </row>
    <row r="271">
      <c r="A271" s="2" t="n"/>
      <c r="B271" s="12" t="n"/>
      <c r="C271" s="2" t="n"/>
      <c r="D271" s="2" t="n"/>
      <c r="E271" s="2">
        <f>IF($C271="","",IFERROR(INDEX(Units_Owners!$C$5:$C$504,MATCH($C271,Units_Owners!$A$5:$A$504,0)),""))</f>
        <v/>
      </c>
      <c r="F271" s="13" t="n"/>
      <c r="G271" s="2" t="n"/>
      <c r="H271" s="2" t="n"/>
      <c r="I271" s="2" t="n"/>
      <c r="J271" s="2" t="n"/>
      <c r="K271" s="2" t="n"/>
    </row>
    <row r="272">
      <c r="A272" s="6" t="n"/>
      <c r="B272" s="14" t="n"/>
      <c r="C272" s="6" t="n"/>
      <c r="D272" s="6" t="n"/>
      <c r="E272" s="2">
        <f>IF($C272="","",IFERROR(INDEX(Units_Owners!$C$5:$C$504,MATCH($C272,Units_Owners!$A$5:$A$504,0)),""))</f>
        <v/>
      </c>
      <c r="F272" s="15" t="n"/>
      <c r="G272" s="6" t="n"/>
      <c r="H272" s="6" t="n"/>
      <c r="I272" s="6" t="n"/>
      <c r="J272" s="6" t="n"/>
      <c r="K272" s="6" t="n"/>
    </row>
    <row r="273">
      <c r="A273" s="2" t="n"/>
      <c r="B273" s="12" t="n"/>
      <c r="C273" s="2" t="n"/>
      <c r="D273" s="2" t="n"/>
      <c r="E273" s="2">
        <f>IF($C273="","",IFERROR(INDEX(Units_Owners!$C$5:$C$504,MATCH($C273,Units_Owners!$A$5:$A$504,0)),""))</f>
        <v/>
      </c>
      <c r="F273" s="13" t="n"/>
      <c r="G273" s="2" t="n"/>
      <c r="H273" s="2" t="n"/>
      <c r="I273" s="2" t="n"/>
      <c r="J273" s="2" t="n"/>
      <c r="K273" s="2" t="n"/>
    </row>
    <row r="274">
      <c r="A274" s="6" t="n"/>
      <c r="B274" s="14" t="n"/>
      <c r="C274" s="6" t="n"/>
      <c r="D274" s="6" t="n"/>
      <c r="E274" s="2">
        <f>IF($C274="","",IFERROR(INDEX(Units_Owners!$C$5:$C$504,MATCH($C274,Units_Owners!$A$5:$A$504,0)),""))</f>
        <v/>
      </c>
      <c r="F274" s="15" t="n"/>
      <c r="G274" s="6" t="n"/>
      <c r="H274" s="6" t="n"/>
      <c r="I274" s="6" t="n"/>
      <c r="J274" s="6" t="n"/>
      <c r="K274" s="6" t="n"/>
    </row>
    <row r="275">
      <c r="A275" s="2" t="n"/>
      <c r="B275" s="12" t="n"/>
      <c r="C275" s="2" t="n"/>
      <c r="D275" s="2" t="n"/>
      <c r="E275" s="2">
        <f>IF($C275="","",IFERROR(INDEX(Units_Owners!$C$5:$C$504,MATCH($C275,Units_Owners!$A$5:$A$504,0)),""))</f>
        <v/>
      </c>
      <c r="F275" s="13" t="n"/>
      <c r="G275" s="2" t="n"/>
      <c r="H275" s="2" t="n"/>
      <c r="I275" s="2" t="n"/>
      <c r="J275" s="2" t="n"/>
      <c r="K275" s="2" t="n"/>
    </row>
    <row r="276">
      <c r="A276" s="6" t="n"/>
      <c r="B276" s="14" t="n"/>
      <c r="C276" s="6" t="n"/>
      <c r="D276" s="6" t="n"/>
      <c r="E276" s="2">
        <f>IF($C276="","",IFERROR(INDEX(Units_Owners!$C$5:$C$504,MATCH($C276,Units_Owners!$A$5:$A$504,0)),""))</f>
        <v/>
      </c>
      <c r="F276" s="15" t="n"/>
      <c r="G276" s="6" t="n"/>
      <c r="H276" s="6" t="n"/>
      <c r="I276" s="6" t="n"/>
      <c r="J276" s="6" t="n"/>
      <c r="K276" s="6" t="n"/>
    </row>
    <row r="277">
      <c r="A277" s="2" t="n"/>
      <c r="B277" s="12" t="n"/>
      <c r="C277" s="2" t="n"/>
      <c r="D277" s="2" t="n"/>
      <c r="E277" s="2">
        <f>IF($C277="","",IFERROR(INDEX(Units_Owners!$C$5:$C$504,MATCH($C277,Units_Owners!$A$5:$A$504,0)),""))</f>
        <v/>
      </c>
      <c r="F277" s="13" t="n"/>
      <c r="G277" s="2" t="n"/>
      <c r="H277" s="2" t="n"/>
      <c r="I277" s="2" t="n"/>
      <c r="J277" s="2" t="n"/>
      <c r="K277" s="2" t="n"/>
    </row>
    <row r="278">
      <c r="A278" s="6" t="n"/>
      <c r="B278" s="14" t="n"/>
      <c r="C278" s="6" t="n"/>
      <c r="D278" s="6" t="n"/>
      <c r="E278" s="2">
        <f>IF($C278="","",IFERROR(INDEX(Units_Owners!$C$5:$C$504,MATCH($C278,Units_Owners!$A$5:$A$504,0)),""))</f>
        <v/>
      </c>
      <c r="F278" s="15" t="n"/>
      <c r="G278" s="6" t="n"/>
      <c r="H278" s="6" t="n"/>
      <c r="I278" s="6" t="n"/>
      <c r="J278" s="6" t="n"/>
      <c r="K278" s="6" t="n"/>
    </row>
    <row r="279">
      <c r="A279" s="2" t="n"/>
      <c r="B279" s="12" t="n"/>
      <c r="C279" s="2" t="n"/>
      <c r="D279" s="2" t="n"/>
      <c r="E279" s="2">
        <f>IF($C279="","",IFERROR(INDEX(Units_Owners!$C$5:$C$504,MATCH($C279,Units_Owners!$A$5:$A$504,0)),""))</f>
        <v/>
      </c>
      <c r="F279" s="13" t="n"/>
      <c r="G279" s="2" t="n"/>
      <c r="H279" s="2" t="n"/>
      <c r="I279" s="2" t="n"/>
      <c r="J279" s="2" t="n"/>
      <c r="K279" s="2" t="n"/>
    </row>
    <row r="280">
      <c r="A280" s="6" t="n"/>
      <c r="B280" s="14" t="n"/>
      <c r="C280" s="6" t="n"/>
      <c r="D280" s="6" t="n"/>
      <c r="E280" s="2">
        <f>IF($C280="","",IFERROR(INDEX(Units_Owners!$C$5:$C$504,MATCH($C280,Units_Owners!$A$5:$A$504,0)),""))</f>
        <v/>
      </c>
      <c r="F280" s="15" t="n"/>
      <c r="G280" s="6" t="n"/>
      <c r="H280" s="6" t="n"/>
      <c r="I280" s="6" t="n"/>
      <c r="J280" s="6" t="n"/>
      <c r="K280" s="6" t="n"/>
    </row>
    <row r="281">
      <c r="A281" s="2" t="n"/>
      <c r="B281" s="12" t="n"/>
      <c r="C281" s="2" t="n"/>
      <c r="D281" s="2" t="n"/>
      <c r="E281" s="2">
        <f>IF($C281="","",IFERROR(INDEX(Units_Owners!$C$5:$C$504,MATCH($C281,Units_Owners!$A$5:$A$504,0)),""))</f>
        <v/>
      </c>
      <c r="F281" s="13" t="n"/>
      <c r="G281" s="2" t="n"/>
      <c r="H281" s="2" t="n"/>
      <c r="I281" s="2" t="n"/>
      <c r="J281" s="2" t="n"/>
      <c r="K281" s="2" t="n"/>
    </row>
    <row r="282">
      <c r="A282" s="6" t="n"/>
      <c r="B282" s="14" t="n"/>
      <c r="C282" s="6" t="n"/>
      <c r="D282" s="6" t="n"/>
      <c r="E282" s="2">
        <f>IF($C282="","",IFERROR(INDEX(Units_Owners!$C$5:$C$504,MATCH($C282,Units_Owners!$A$5:$A$504,0)),""))</f>
        <v/>
      </c>
      <c r="F282" s="15" t="n"/>
      <c r="G282" s="6" t="n"/>
      <c r="H282" s="6" t="n"/>
      <c r="I282" s="6" t="n"/>
      <c r="J282" s="6" t="n"/>
      <c r="K282" s="6" t="n"/>
    </row>
    <row r="283">
      <c r="A283" s="2" t="n"/>
      <c r="B283" s="12" t="n"/>
      <c r="C283" s="2" t="n"/>
      <c r="D283" s="2" t="n"/>
      <c r="E283" s="2">
        <f>IF($C283="","",IFERROR(INDEX(Units_Owners!$C$5:$C$504,MATCH($C283,Units_Owners!$A$5:$A$504,0)),""))</f>
        <v/>
      </c>
      <c r="F283" s="13" t="n"/>
      <c r="G283" s="2" t="n"/>
      <c r="H283" s="2" t="n"/>
      <c r="I283" s="2" t="n"/>
      <c r="J283" s="2" t="n"/>
      <c r="K283" s="2" t="n"/>
    </row>
    <row r="284">
      <c r="A284" s="6" t="n"/>
      <c r="B284" s="14" t="n"/>
      <c r="C284" s="6" t="n"/>
      <c r="D284" s="6" t="n"/>
      <c r="E284" s="2">
        <f>IF($C284="","",IFERROR(INDEX(Units_Owners!$C$5:$C$504,MATCH($C284,Units_Owners!$A$5:$A$504,0)),""))</f>
        <v/>
      </c>
      <c r="F284" s="15" t="n"/>
      <c r="G284" s="6" t="n"/>
      <c r="H284" s="6" t="n"/>
      <c r="I284" s="6" t="n"/>
      <c r="J284" s="6" t="n"/>
      <c r="K284" s="6" t="n"/>
    </row>
    <row r="285">
      <c r="A285" s="2" t="n"/>
      <c r="B285" s="12" t="n"/>
      <c r="C285" s="2" t="n"/>
      <c r="D285" s="2" t="n"/>
      <c r="E285" s="2">
        <f>IF($C285="","",IFERROR(INDEX(Units_Owners!$C$5:$C$504,MATCH($C285,Units_Owners!$A$5:$A$504,0)),""))</f>
        <v/>
      </c>
      <c r="F285" s="13" t="n"/>
      <c r="G285" s="2" t="n"/>
      <c r="H285" s="2" t="n"/>
      <c r="I285" s="2" t="n"/>
      <c r="J285" s="2" t="n"/>
      <c r="K285" s="2" t="n"/>
    </row>
    <row r="286">
      <c r="A286" s="6" t="n"/>
      <c r="B286" s="14" t="n"/>
      <c r="C286" s="6" t="n"/>
      <c r="D286" s="6" t="n"/>
      <c r="E286" s="2">
        <f>IF($C286="","",IFERROR(INDEX(Units_Owners!$C$5:$C$504,MATCH($C286,Units_Owners!$A$5:$A$504,0)),""))</f>
        <v/>
      </c>
      <c r="F286" s="15" t="n"/>
      <c r="G286" s="6" t="n"/>
      <c r="H286" s="6" t="n"/>
      <c r="I286" s="6" t="n"/>
      <c r="J286" s="6" t="n"/>
      <c r="K286" s="6" t="n"/>
    </row>
    <row r="287">
      <c r="A287" s="2" t="n"/>
      <c r="B287" s="12" t="n"/>
      <c r="C287" s="2" t="n"/>
      <c r="D287" s="2" t="n"/>
      <c r="E287" s="2">
        <f>IF($C287="","",IFERROR(INDEX(Units_Owners!$C$5:$C$504,MATCH($C287,Units_Owners!$A$5:$A$504,0)),""))</f>
        <v/>
      </c>
      <c r="F287" s="13" t="n"/>
      <c r="G287" s="2" t="n"/>
      <c r="H287" s="2" t="n"/>
      <c r="I287" s="2" t="n"/>
      <c r="J287" s="2" t="n"/>
      <c r="K287" s="2" t="n"/>
    </row>
    <row r="288">
      <c r="A288" s="6" t="n"/>
      <c r="B288" s="14" t="n"/>
      <c r="C288" s="6" t="n"/>
      <c r="D288" s="6" t="n"/>
      <c r="E288" s="2">
        <f>IF($C288="","",IFERROR(INDEX(Units_Owners!$C$5:$C$504,MATCH($C288,Units_Owners!$A$5:$A$504,0)),""))</f>
        <v/>
      </c>
      <c r="F288" s="15" t="n"/>
      <c r="G288" s="6" t="n"/>
      <c r="H288" s="6" t="n"/>
      <c r="I288" s="6" t="n"/>
      <c r="J288" s="6" t="n"/>
      <c r="K288" s="6" t="n"/>
    </row>
    <row r="289">
      <c r="A289" s="2" t="n"/>
      <c r="B289" s="12" t="n"/>
      <c r="C289" s="2" t="n"/>
      <c r="D289" s="2" t="n"/>
      <c r="E289" s="2">
        <f>IF($C289="","",IFERROR(INDEX(Units_Owners!$C$5:$C$504,MATCH($C289,Units_Owners!$A$5:$A$504,0)),""))</f>
        <v/>
      </c>
      <c r="F289" s="13" t="n"/>
      <c r="G289" s="2" t="n"/>
      <c r="H289" s="2" t="n"/>
      <c r="I289" s="2" t="n"/>
      <c r="J289" s="2" t="n"/>
      <c r="K289" s="2" t="n"/>
    </row>
    <row r="290">
      <c r="A290" s="6" t="n"/>
      <c r="B290" s="14" t="n"/>
      <c r="C290" s="6" t="n"/>
      <c r="D290" s="6" t="n"/>
      <c r="E290" s="2">
        <f>IF($C290="","",IFERROR(INDEX(Units_Owners!$C$5:$C$504,MATCH($C290,Units_Owners!$A$5:$A$504,0)),""))</f>
        <v/>
      </c>
      <c r="F290" s="15" t="n"/>
      <c r="G290" s="6" t="n"/>
      <c r="H290" s="6" t="n"/>
      <c r="I290" s="6" t="n"/>
      <c r="J290" s="6" t="n"/>
      <c r="K290" s="6" t="n"/>
    </row>
    <row r="291">
      <c r="A291" s="2" t="n"/>
      <c r="B291" s="12" t="n"/>
      <c r="C291" s="2" t="n"/>
      <c r="D291" s="2" t="n"/>
      <c r="E291" s="2">
        <f>IF($C291="","",IFERROR(INDEX(Units_Owners!$C$5:$C$504,MATCH($C291,Units_Owners!$A$5:$A$504,0)),""))</f>
        <v/>
      </c>
      <c r="F291" s="13" t="n"/>
      <c r="G291" s="2" t="n"/>
      <c r="H291" s="2" t="n"/>
      <c r="I291" s="2" t="n"/>
      <c r="J291" s="2" t="n"/>
      <c r="K291" s="2" t="n"/>
    </row>
    <row r="292">
      <c r="A292" s="6" t="n"/>
      <c r="B292" s="14" t="n"/>
      <c r="C292" s="6" t="n"/>
      <c r="D292" s="6" t="n"/>
      <c r="E292" s="2">
        <f>IF($C292="","",IFERROR(INDEX(Units_Owners!$C$5:$C$504,MATCH($C292,Units_Owners!$A$5:$A$504,0)),""))</f>
        <v/>
      </c>
      <c r="F292" s="15" t="n"/>
      <c r="G292" s="6" t="n"/>
      <c r="H292" s="6" t="n"/>
      <c r="I292" s="6" t="n"/>
      <c r="J292" s="6" t="n"/>
      <c r="K292" s="6" t="n"/>
    </row>
    <row r="293">
      <c r="A293" s="2" t="n"/>
      <c r="B293" s="12" t="n"/>
      <c r="C293" s="2" t="n"/>
      <c r="D293" s="2" t="n"/>
      <c r="E293" s="2">
        <f>IF($C293="","",IFERROR(INDEX(Units_Owners!$C$5:$C$504,MATCH($C293,Units_Owners!$A$5:$A$504,0)),""))</f>
        <v/>
      </c>
      <c r="F293" s="13" t="n"/>
      <c r="G293" s="2" t="n"/>
      <c r="H293" s="2" t="n"/>
      <c r="I293" s="2" t="n"/>
      <c r="J293" s="2" t="n"/>
      <c r="K293" s="2" t="n"/>
    </row>
    <row r="294">
      <c r="A294" s="6" t="n"/>
      <c r="B294" s="14" t="n"/>
      <c r="C294" s="6" t="n"/>
      <c r="D294" s="6" t="n"/>
      <c r="E294" s="2">
        <f>IF($C294="","",IFERROR(INDEX(Units_Owners!$C$5:$C$504,MATCH($C294,Units_Owners!$A$5:$A$504,0)),""))</f>
        <v/>
      </c>
      <c r="F294" s="15" t="n"/>
      <c r="G294" s="6" t="n"/>
      <c r="H294" s="6" t="n"/>
      <c r="I294" s="6" t="n"/>
      <c r="J294" s="6" t="n"/>
      <c r="K294" s="6" t="n"/>
    </row>
    <row r="295">
      <c r="A295" s="2" t="n"/>
      <c r="B295" s="12" t="n"/>
      <c r="C295" s="2" t="n"/>
      <c r="D295" s="2" t="n"/>
      <c r="E295" s="2">
        <f>IF($C295="","",IFERROR(INDEX(Units_Owners!$C$5:$C$504,MATCH($C295,Units_Owners!$A$5:$A$504,0)),""))</f>
        <v/>
      </c>
      <c r="F295" s="13" t="n"/>
      <c r="G295" s="2" t="n"/>
      <c r="H295" s="2" t="n"/>
      <c r="I295" s="2" t="n"/>
      <c r="J295" s="2" t="n"/>
      <c r="K295" s="2" t="n"/>
    </row>
    <row r="296">
      <c r="A296" s="6" t="n"/>
      <c r="B296" s="14" t="n"/>
      <c r="C296" s="6" t="n"/>
      <c r="D296" s="6" t="n"/>
      <c r="E296" s="2">
        <f>IF($C296="","",IFERROR(INDEX(Units_Owners!$C$5:$C$504,MATCH($C296,Units_Owners!$A$5:$A$504,0)),""))</f>
        <v/>
      </c>
      <c r="F296" s="15" t="n"/>
      <c r="G296" s="6" t="n"/>
      <c r="H296" s="6" t="n"/>
      <c r="I296" s="6" t="n"/>
      <c r="J296" s="6" t="n"/>
      <c r="K296" s="6" t="n"/>
    </row>
    <row r="297">
      <c r="A297" s="2" t="n"/>
      <c r="B297" s="12" t="n"/>
      <c r="C297" s="2" t="n"/>
      <c r="D297" s="2" t="n"/>
      <c r="E297" s="2">
        <f>IF($C297="","",IFERROR(INDEX(Units_Owners!$C$5:$C$504,MATCH($C297,Units_Owners!$A$5:$A$504,0)),""))</f>
        <v/>
      </c>
      <c r="F297" s="13" t="n"/>
      <c r="G297" s="2" t="n"/>
      <c r="H297" s="2" t="n"/>
      <c r="I297" s="2" t="n"/>
      <c r="J297" s="2" t="n"/>
      <c r="K297" s="2" t="n"/>
    </row>
    <row r="298">
      <c r="A298" s="6" t="n"/>
      <c r="B298" s="14" t="n"/>
      <c r="C298" s="6" t="n"/>
      <c r="D298" s="6" t="n"/>
      <c r="E298" s="2">
        <f>IF($C298="","",IFERROR(INDEX(Units_Owners!$C$5:$C$504,MATCH($C298,Units_Owners!$A$5:$A$504,0)),""))</f>
        <v/>
      </c>
      <c r="F298" s="15" t="n"/>
      <c r="G298" s="6" t="n"/>
      <c r="H298" s="6" t="n"/>
      <c r="I298" s="6" t="n"/>
      <c r="J298" s="6" t="n"/>
      <c r="K298" s="6" t="n"/>
    </row>
    <row r="299">
      <c r="A299" s="2" t="n"/>
      <c r="B299" s="12" t="n"/>
      <c r="C299" s="2" t="n"/>
      <c r="D299" s="2" t="n"/>
      <c r="E299" s="2">
        <f>IF($C299="","",IFERROR(INDEX(Units_Owners!$C$5:$C$504,MATCH($C299,Units_Owners!$A$5:$A$504,0)),""))</f>
        <v/>
      </c>
      <c r="F299" s="13" t="n"/>
      <c r="G299" s="2" t="n"/>
      <c r="H299" s="2" t="n"/>
      <c r="I299" s="2" t="n"/>
      <c r="J299" s="2" t="n"/>
      <c r="K299" s="2" t="n"/>
    </row>
    <row r="300">
      <c r="A300" s="6" t="n"/>
      <c r="B300" s="14" t="n"/>
      <c r="C300" s="6" t="n"/>
      <c r="D300" s="6" t="n"/>
      <c r="E300" s="2">
        <f>IF($C300="","",IFERROR(INDEX(Units_Owners!$C$5:$C$504,MATCH($C300,Units_Owners!$A$5:$A$504,0)),""))</f>
        <v/>
      </c>
      <c r="F300" s="15" t="n"/>
      <c r="G300" s="6" t="n"/>
      <c r="H300" s="6" t="n"/>
      <c r="I300" s="6" t="n"/>
      <c r="J300" s="6" t="n"/>
      <c r="K300" s="6" t="n"/>
    </row>
    <row r="301">
      <c r="A301" s="2" t="n"/>
      <c r="B301" s="12" t="n"/>
      <c r="C301" s="2" t="n"/>
      <c r="D301" s="2" t="n"/>
      <c r="E301" s="2">
        <f>IF($C301="","",IFERROR(INDEX(Units_Owners!$C$5:$C$504,MATCH($C301,Units_Owners!$A$5:$A$504,0)),""))</f>
        <v/>
      </c>
      <c r="F301" s="13" t="n"/>
      <c r="G301" s="2" t="n"/>
      <c r="H301" s="2" t="n"/>
      <c r="I301" s="2" t="n"/>
      <c r="J301" s="2" t="n"/>
      <c r="K301" s="2" t="n"/>
    </row>
    <row r="302">
      <c r="A302" s="6" t="n"/>
      <c r="B302" s="14" t="n"/>
      <c r="C302" s="6" t="n"/>
      <c r="D302" s="6" t="n"/>
      <c r="E302" s="2">
        <f>IF($C302="","",IFERROR(INDEX(Units_Owners!$C$5:$C$504,MATCH($C302,Units_Owners!$A$5:$A$504,0)),""))</f>
        <v/>
      </c>
      <c r="F302" s="15" t="n"/>
      <c r="G302" s="6" t="n"/>
      <c r="H302" s="6" t="n"/>
      <c r="I302" s="6" t="n"/>
      <c r="J302" s="6" t="n"/>
      <c r="K302" s="6" t="n"/>
    </row>
    <row r="303">
      <c r="A303" s="2" t="n"/>
      <c r="B303" s="12" t="n"/>
      <c r="C303" s="2" t="n"/>
      <c r="D303" s="2" t="n"/>
      <c r="E303" s="2">
        <f>IF($C303="","",IFERROR(INDEX(Units_Owners!$C$5:$C$504,MATCH($C303,Units_Owners!$A$5:$A$504,0)),""))</f>
        <v/>
      </c>
      <c r="F303" s="13" t="n"/>
      <c r="G303" s="2" t="n"/>
      <c r="H303" s="2" t="n"/>
      <c r="I303" s="2" t="n"/>
      <c r="J303" s="2" t="n"/>
      <c r="K303" s="2" t="n"/>
    </row>
    <row r="304">
      <c r="A304" s="6" t="n"/>
      <c r="B304" s="14" t="n"/>
      <c r="C304" s="6" t="n"/>
      <c r="D304" s="6" t="n"/>
      <c r="E304" s="2">
        <f>IF($C304="","",IFERROR(INDEX(Units_Owners!$C$5:$C$504,MATCH($C304,Units_Owners!$A$5:$A$504,0)),""))</f>
        <v/>
      </c>
      <c r="F304" s="15" t="n"/>
      <c r="G304" s="6" t="n"/>
      <c r="H304" s="6" t="n"/>
      <c r="I304" s="6" t="n"/>
      <c r="J304" s="6" t="n"/>
      <c r="K304" s="6" t="n"/>
    </row>
    <row r="305">
      <c r="A305" s="2" t="n"/>
      <c r="B305" s="12" t="n"/>
      <c r="C305" s="2" t="n"/>
      <c r="D305" s="2" t="n"/>
      <c r="E305" s="2">
        <f>IF($C305="","",IFERROR(INDEX(Units_Owners!$C$5:$C$504,MATCH($C305,Units_Owners!$A$5:$A$504,0)),""))</f>
        <v/>
      </c>
      <c r="F305" s="13" t="n"/>
      <c r="G305" s="2" t="n"/>
      <c r="H305" s="2" t="n"/>
      <c r="I305" s="2" t="n"/>
      <c r="J305" s="2" t="n"/>
      <c r="K305" s="2" t="n"/>
    </row>
    <row r="306">
      <c r="A306" s="6" t="n"/>
      <c r="B306" s="14" t="n"/>
      <c r="C306" s="6" t="n"/>
      <c r="D306" s="6" t="n"/>
      <c r="E306" s="2">
        <f>IF($C306="","",IFERROR(INDEX(Units_Owners!$C$5:$C$504,MATCH($C306,Units_Owners!$A$5:$A$504,0)),""))</f>
        <v/>
      </c>
      <c r="F306" s="15" t="n"/>
      <c r="G306" s="6" t="n"/>
      <c r="H306" s="6" t="n"/>
      <c r="I306" s="6" t="n"/>
      <c r="J306" s="6" t="n"/>
      <c r="K306" s="6" t="n"/>
    </row>
    <row r="307">
      <c r="A307" s="2" t="n"/>
      <c r="B307" s="12" t="n"/>
      <c r="C307" s="2" t="n"/>
      <c r="D307" s="2" t="n"/>
      <c r="E307" s="2">
        <f>IF($C307="","",IFERROR(INDEX(Units_Owners!$C$5:$C$504,MATCH($C307,Units_Owners!$A$5:$A$504,0)),""))</f>
        <v/>
      </c>
      <c r="F307" s="13" t="n"/>
      <c r="G307" s="2" t="n"/>
      <c r="H307" s="2" t="n"/>
      <c r="I307" s="2" t="n"/>
      <c r="J307" s="2" t="n"/>
      <c r="K307" s="2" t="n"/>
    </row>
    <row r="308">
      <c r="A308" s="6" t="n"/>
      <c r="B308" s="14" t="n"/>
      <c r="C308" s="6" t="n"/>
      <c r="D308" s="6" t="n"/>
      <c r="E308" s="2">
        <f>IF($C308="","",IFERROR(INDEX(Units_Owners!$C$5:$C$504,MATCH($C308,Units_Owners!$A$5:$A$504,0)),""))</f>
        <v/>
      </c>
      <c r="F308" s="15" t="n"/>
      <c r="G308" s="6" t="n"/>
      <c r="H308" s="6" t="n"/>
      <c r="I308" s="6" t="n"/>
      <c r="J308" s="6" t="n"/>
      <c r="K308" s="6" t="n"/>
    </row>
    <row r="309">
      <c r="A309" s="2" t="n"/>
      <c r="B309" s="12" t="n"/>
      <c r="C309" s="2" t="n"/>
      <c r="D309" s="2" t="n"/>
      <c r="E309" s="2">
        <f>IF($C309="","",IFERROR(INDEX(Units_Owners!$C$5:$C$504,MATCH($C309,Units_Owners!$A$5:$A$504,0)),""))</f>
        <v/>
      </c>
      <c r="F309" s="13" t="n"/>
      <c r="G309" s="2" t="n"/>
      <c r="H309" s="2" t="n"/>
      <c r="I309" s="2" t="n"/>
      <c r="J309" s="2" t="n"/>
      <c r="K309" s="2" t="n"/>
    </row>
    <row r="310">
      <c r="A310" s="6" t="n"/>
      <c r="B310" s="14" t="n"/>
      <c r="C310" s="6" t="n"/>
      <c r="D310" s="6" t="n"/>
      <c r="E310" s="2">
        <f>IF($C310="","",IFERROR(INDEX(Units_Owners!$C$5:$C$504,MATCH($C310,Units_Owners!$A$5:$A$504,0)),""))</f>
        <v/>
      </c>
      <c r="F310" s="15" t="n"/>
      <c r="G310" s="6" t="n"/>
      <c r="H310" s="6" t="n"/>
      <c r="I310" s="6" t="n"/>
      <c r="J310" s="6" t="n"/>
      <c r="K310" s="6" t="n"/>
    </row>
    <row r="311">
      <c r="A311" s="2" t="n"/>
      <c r="B311" s="12" t="n"/>
      <c r="C311" s="2" t="n"/>
      <c r="D311" s="2" t="n"/>
      <c r="E311" s="2">
        <f>IF($C311="","",IFERROR(INDEX(Units_Owners!$C$5:$C$504,MATCH($C311,Units_Owners!$A$5:$A$504,0)),""))</f>
        <v/>
      </c>
      <c r="F311" s="13" t="n"/>
      <c r="G311" s="2" t="n"/>
      <c r="H311" s="2" t="n"/>
      <c r="I311" s="2" t="n"/>
      <c r="J311" s="2" t="n"/>
      <c r="K311" s="2" t="n"/>
    </row>
    <row r="312">
      <c r="A312" s="6" t="n"/>
      <c r="B312" s="14" t="n"/>
      <c r="C312" s="6" t="n"/>
      <c r="D312" s="6" t="n"/>
      <c r="E312" s="2">
        <f>IF($C312="","",IFERROR(INDEX(Units_Owners!$C$5:$C$504,MATCH($C312,Units_Owners!$A$5:$A$504,0)),""))</f>
        <v/>
      </c>
      <c r="F312" s="15" t="n"/>
      <c r="G312" s="6" t="n"/>
      <c r="H312" s="6" t="n"/>
      <c r="I312" s="6" t="n"/>
      <c r="J312" s="6" t="n"/>
      <c r="K312" s="6" t="n"/>
    </row>
    <row r="313">
      <c r="A313" s="2" t="n"/>
      <c r="B313" s="12" t="n"/>
      <c r="C313" s="2" t="n"/>
      <c r="D313" s="2" t="n"/>
      <c r="E313" s="2">
        <f>IF($C313="","",IFERROR(INDEX(Units_Owners!$C$5:$C$504,MATCH($C313,Units_Owners!$A$5:$A$504,0)),""))</f>
        <v/>
      </c>
      <c r="F313" s="13" t="n"/>
      <c r="G313" s="2" t="n"/>
      <c r="H313" s="2" t="n"/>
      <c r="I313" s="2" t="n"/>
      <c r="J313" s="2" t="n"/>
      <c r="K313" s="2" t="n"/>
    </row>
    <row r="314">
      <c r="A314" s="6" t="n"/>
      <c r="B314" s="14" t="n"/>
      <c r="C314" s="6" t="n"/>
      <c r="D314" s="6" t="n"/>
      <c r="E314" s="2">
        <f>IF($C314="","",IFERROR(INDEX(Units_Owners!$C$5:$C$504,MATCH($C314,Units_Owners!$A$5:$A$504,0)),""))</f>
        <v/>
      </c>
      <c r="F314" s="15" t="n"/>
      <c r="G314" s="6" t="n"/>
      <c r="H314" s="6" t="n"/>
      <c r="I314" s="6" t="n"/>
      <c r="J314" s="6" t="n"/>
      <c r="K314" s="6" t="n"/>
    </row>
    <row r="315">
      <c r="A315" s="2" t="n"/>
      <c r="B315" s="12" t="n"/>
      <c r="C315" s="2" t="n"/>
      <c r="D315" s="2" t="n"/>
      <c r="E315" s="2">
        <f>IF($C315="","",IFERROR(INDEX(Units_Owners!$C$5:$C$504,MATCH($C315,Units_Owners!$A$5:$A$504,0)),""))</f>
        <v/>
      </c>
      <c r="F315" s="13" t="n"/>
      <c r="G315" s="2" t="n"/>
      <c r="H315" s="2" t="n"/>
      <c r="I315" s="2" t="n"/>
      <c r="J315" s="2" t="n"/>
      <c r="K315" s="2" t="n"/>
    </row>
    <row r="316">
      <c r="A316" s="6" t="n"/>
      <c r="B316" s="14" t="n"/>
      <c r="C316" s="6" t="n"/>
      <c r="D316" s="6" t="n"/>
      <c r="E316" s="2">
        <f>IF($C316="","",IFERROR(INDEX(Units_Owners!$C$5:$C$504,MATCH($C316,Units_Owners!$A$5:$A$504,0)),""))</f>
        <v/>
      </c>
      <c r="F316" s="15" t="n"/>
      <c r="G316" s="6" t="n"/>
      <c r="H316" s="6" t="n"/>
      <c r="I316" s="6" t="n"/>
      <c r="J316" s="6" t="n"/>
      <c r="K316" s="6" t="n"/>
    </row>
    <row r="317">
      <c r="A317" s="2" t="n"/>
      <c r="B317" s="12" t="n"/>
      <c r="C317" s="2" t="n"/>
      <c r="D317" s="2" t="n"/>
      <c r="E317" s="2">
        <f>IF($C317="","",IFERROR(INDEX(Units_Owners!$C$5:$C$504,MATCH($C317,Units_Owners!$A$5:$A$504,0)),""))</f>
        <v/>
      </c>
      <c r="F317" s="13" t="n"/>
      <c r="G317" s="2" t="n"/>
      <c r="H317" s="2" t="n"/>
      <c r="I317" s="2" t="n"/>
      <c r="J317" s="2" t="n"/>
      <c r="K317" s="2" t="n"/>
    </row>
    <row r="318">
      <c r="A318" s="6" t="n"/>
      <c r="B318" s="14" t="n"/>
      <c r="C318" s="6" t="n"/>
      <c r="D318" s="6" t="n"/>
      <c r="E318" s="2">
        <f>IF($C318="","",IFERROR(INDEX(Units_Owners!$C$5:$C$504,MATCH($C318,Units_Owners!$A$5:$A$504,0)),""))</f>
        <v/>
      </c>
      <c r="F318" s="15" t="n"/>
      <c r="G318" s="6" t="n"/>
      <c r="H318" s="6" t="n"/>
      <c r="I318" s="6" t="n"/>
      <c r="J318" s="6" t="n"/>
      <c r="K318" s="6" t="n"/>
    </row>
    <row r="319">
      <c r="A319" s="2" t="n"/>
      <c r="B319" s="12" t="n"/>
      <c r="C319" s="2" t="n"/>
      <c r="D319" s="2" t="n"/>
      <c r="E319" s="2">
        <f>IF($C319="","",IFERROR(INDEX(Units_Owners!$C$5:$C$504,MATCH($C319,Units_Owners!$A$5:$A$504,0)),""))</f>
        <v/>
      </c>
      <c r="F319" s="13" t="n"/>
      <c r="G319" s="2" t="n"/>
      <c r="H319" s="2" t="n"/>
      <c r="I319" s="2" t="n"/>
      <c r="J319" s="2" t="n"/>
      <c r="K319" s="2" t="n"/>
    </row>
    <row r="320">
      <c r="A320" s="6" t="n"/>
      <c r="B320" s="14" t="n"/>
      <c r="C320" s="6" t="n"/>
      <c r="D320" s="6" t="n"/>
      <c r="E320" s="2">
        <f>IF($C320="","",IFERROR(INDEX(Units_Owners!$C$5:$C$504,MATCH($C320,Units_Owners!$A$5:$A$504,0)),""))</f>
        <v/>
      </c>
      <c r="F320" s="15" t="n"/>
      <c r="G320" s="6" t="n"/>
      <c r="H320" s="6" t="n"/>
      <c r="I320" s="6" t="n"/>
      <c r="J320" s="6" t="n"/>
      <c r="K320" s="6" t="n"/>
    </row>
    <row r="321">
      <c r="A321" s="2" t="n"/>
      <c r="B321" s="12" t="n"/>
      <c r="C321" s="2" t="n"/>
      <c r="D321" s="2" t="n"/>
      <c r="E321" s="2">
        <f>IF($C321="","",IFERROR(INDEX(Units_Owners!$C$5:$C$504,MATCH($C321,Units_Owners!$A$5:$A$504,0)),""))</f>
        <v/>
      </c>
      <c r="F321" s="13" t="n"/>
      <c r="G321" s="2" t="n"/>
      <c r="H321" s="2" t="n"/>
      <c r="I321" s="2" t="n"/>
      <c r="J321" s="2" t="n"/>
      <c r="K321" s="2" t="n"/>
    </row>
    <row r="322">
      <c r="A322" s="6" t="n"/>
      <c r="B322" s="14" t="n"/>
      <c r="C322" s="6" t="n"/>
      <c r="D322" s="6" t="n"/>
      <c r="E322" s="2">
        <f>IF($C322="","",IFERROR(INDEX(Units_Owners!$C$5:$C$504,MATCH($C322,Units_Owners!$A$5:$A$504,0)),""))</f>
        <v/>
      </c>
      <c r="F322" s="15" t="n"/>
      <c r="G322" s="6" t="n"/>
      <c r="H322" s="6" t="n"/>
      <c r="I322" s="6" t="n"/>
      <c r="J322" s="6" t="n"/>
      <c r="K322" s="6" t="n"/>
    </row>
    <row r="323">
      <c r="A323" s="2" t="n"/>
      <c r="B323" s="12" t="n"/>
      <c r="C323" s="2" t="n"/>
      <c r="D323" s="2" t="n"/>
      <c r="E323" s="2">
        <f>IF($C323="","",IFERROR(INDEX(Units_Owners!$C$5:$C$504,MATCH($C323,Units_Owners!$A$5:$A$504,0)),""))</f>
        <v/>
      </c>
      <c r="F323" s="13" t="n"/>
      <c r="G323" s="2" t="n"/>
      <c r="H323" s="2" t="n"/>
      <c r="I323" s="2" t="n"/>
      <c r="J323" s="2" t="n"/>
      <c r="K323" s="2" t="n"/>
    </row>
    <row r="324">
      <c r="A324" s="6" t="n"/>
      <c r="B324" s="14" t="n"/>
      <c r="C324" s="6" t="n"/>
      <c r="D324" s="6" t="n"/>
      <c r="E324" s="2">
        <f>IF($C324="","",IFERROR(INDEX(Units_Owners!$C$5:$C$504,MATCH($C324,Units_Owners!$A$5:$A$504,0)),""))</f>
        <v/>
      </c>
      <c r="F324" s="15" t="n"/>
      <c r="G324" s="6" t="n"/>
      <c r="H324" s="6" t="n"/>
      <c r="I324" s="6" t="n"/>
      <c r="J324" s="6" t="n"/>
      <c r="K324" s="6" t="n"/>
    </row>
    <row r="325">
      <c r="A325" s="2" t="n"/>
      <c r="B325" s="12" t="n"/>
      <c r="C325" s="2" t="n"/>
      <c r="D325" s="2" t="n"/>
      <c r="E325" s="2">
        <f>IF($C325="","",IFERROR(INDEX(Units_Owners!$C$5:$C$504,MATCH($C325,Units_Owners!$A$5:$A$504,0)),""))</f>
        <v/>
      </c>
      <c r="F325" s="13" t="n"/>
      <c r="G325" s="2" t="n"/>
      <c r="H325" s="2" t="n"/>
      <c r="I325" s="2" t="n"/>
      <c r="J325" s="2" t="n"/>
      <c r="K325" s="2" t="n"/>
    </row>
    <row r="326">
      <c r="A326" s="6" t="n"/>
      <c r="B326" s="14" t="n"/>
      <c r="C326" s="6" t="n"/>
      <c r="D326" s="6" t="n"/>
      <c r="E326" s="2">
        <f>IF($C326="","",IFERROR(INDEX(Units_Owners!$C$5:$C$504,MATCH($C326,Units_Owners!$A$5:$A$504,0)),""))</f>
        <v/>
      </c>
      <c r="F326" s="15" t="n"/>
      <c r="G326" s="6" t="n"/>
      <c r="H326" s="6" t="n"/>
      <c r="I326" s="6" t="n"/>
      <c r="J326" s="6" t="n"/>
      <c r="K326" s="6" t="n"/>
    </row>
    <row r="327">
      <c r="A327" s="2" t="n"/>
      <c r="B327" s="12" t="n"/>
      <c r="C327" s="2" t="n"/>
      <c r="D327" s="2" t="n"/>
      <c r="E327" s="2">
        <f>IF($C327="","",IFERROR(INDEX(Units_Owners!$C$5:$C$504,MATCH($C327,Units_Owners!$A$5:$A$504,0)),""))</f>
        <v/>
      </c>
      <c r="F327" s="13" t="n"/>
      <c r="G327" s="2" t="n"/>
      <c r="H327" s="2" t="n"/>
      <c r="I327" s="2" t="n"/>
      <c r="J327" s="2" t="n"/>
      <c r="K327" s="2" t="n"/>
    </row>
    <row r="328">
      <c r="A328" s="6" t="n"/>
      <c r="B328" s="14" t="n"/>
      <c r="C328" s="6" t="n"/>
      <c r="D328" s="6" t="n"/>
      <c r="E328" s="2">
        <f>IF($C328="","",IFERROR(INDEX(Units_Owners!$C$5:$C$504,MATCH($C328,Units_Owners!$A$5:$A$504,0)),""))</f>
        <v/>
      </c>
      <c r="F328" s="15" t="n"/>
      <c r="G328" s="6" t="n"/>
      <c r="H328" s="6" t="n"/>
      <c r="I328" s="6" t="n"/>
      <c r="J328" s="6" t="n"/>
      <c r="K328" s="6" t="n"/>
    </row>
    <row r="329">
      <c r="A329" s="2" t="n"/>
      <c r="B329" s="12" t="n"/>
      <c r="C329" s="2" t="n"/>
      <c r="D329" s="2" t="n"/>
      <c r="E329" s="2">
        <f>IF($C329="","",IFERROR(INDEX(Units_Owners!$C$5:$C$504,MATCH($C329,Units_Owners!$A$5:$A$504,0)),""))</f>
        <v/>
      </c>
      <c r="F329" s="13" t="n"/>
      <c r="G329" s="2" t="n"/>
      <c r="H329" s="2" t="n"/>
      <c r="I329" s="2" t="n"/>
      <c r="J329" s="2" t="n"/>
      <c r="K329" s="2" t="n"/>
    </row>
    <row r="330">
      <c r="A330" s="6" t="n"/>
      <c r="B330" s="14" t="n"/>
      <c r="C330" s="6" t="n"/>
      <c r="D330" s="6" t="n"/>
      <c r="E330" s="2">
        <f>IF($C330="","",IFERROR(INDEX(Units_Owners!$C$5:$C$504,MATCH($C330,Units_Owners!$A$5:$A$504,0)),""))</f>
        <v/>
      </c>
      <c r="F330" s="15" t="n"/>
      <c r="G330" s="6" t="n"/>
      <c r="H330" s="6" t="n"/>
      <c r="I330" s="6" t="n"/>
      <c r="J330" s="6" t="n"/>
      <c r="K330" s="6" t="n"/>
    </row>
    <row r="331">
      <c r="A331" s="2" t="n"/>
      <c r="B331" s="12" t="n"/>
      <c r="C331" s="2" t="n"/>
      <c r="D331" s="2" t="n"/>
      <c r="E331" s="2">
        <f>IF($C331="","",IFERROR(INDEX(Units_Owners!$C$5:$C$504,MATCH($C331,Units_Owners!$A$5:$A$504,0)),""))</f>
        <v/>
      </c>
      <c r="F331" s="13" t="n"/>
      <c r="G331" s="2" t="n"/>
      <c r="H331" s="2" t="n"/>
      <c r="I331" s="2" t="n"/>
      <c r="J331" s="2" t="n"/>
      <c r="K331" s="2" t="n"/>
    </row>
    <row r="332">
      <c r="A332" s="6" t="n"/>
      <c r="B332" s="14" t="n"/>
      <c r="C332" s="6" t="n"/>
      <c r="D332" s="6" t="n"/>
      <c r="E332" s="2">
        <f>IF($C332="","",IFERROR(INDEX(Units_Owners!$C$5:$C$504,MATCH($C332,Units_Owners!$A$5:$A$504,0)),""))</f>
        <v/>
      </c>
      <c r="F332" s="15" t="n"/>
      <c r="G332" s="6" t="n"/>
      <c r="H332" s="6" t="n"/>
      <c r="I332" s="6" t="n"/>
      <c r="J332" s="6" t="n"/>
      <c r="K332" s="6" t="n"/>
    </row>
    <row r="333">
      <c r="A333" s="2" t="n"/>
      <c r="B333" s="12" t="n"/>
      <c r="C333" s="2" t="n"/>
      <c r="D333" s="2" t="n"/>
      <c r="E333" s="2">
        <f>IF($C333="","",IFERROR(INDEX(Units_Owners!$C$5:$C$504,MATCH($C333,Units_Owners!$A$5:$A$504,0)),""))</f>
        <v/>
      </c>
      <c r="F333" s="13" t="n"/>
      <c r="G333" s="2" t="n"/>
      <c r="H333" s="2" t="n"/>
      <c r="I333" s="2" t="n"/>
      <c r="J333" s="2" t="n"/>
      <c r="K333" s="2" t="n"/>
    </row>
    <row r="334">
      <c r="A334" s="6" t="n"/>
      <c r="B334" s="14" t="n"/>
      <c r="C334" s="6" t="n"/>
      <c r="D334" s="6" t="n"/>
      <c r="E334" s="2">
        <f>IF($C334="","",IFERROR(INDEX(Units_Owners!$C$5:$C$504,MATCH($C334,Units_Owners!$A$5:$A$504,0)),""))</f>
        <v/>
      </c>
      <c r="F334" s="15" t="n"/>
      <c r="G334" s="6" t="n"/>
      <c r="H334" s="6" t="n"/>
      <c r="I334" s="6" t="n"/>
      <c r="J334" s="6" t="n"/>
      <c r="K334" s="6" t="n"/>
    </row>
    <row r="335">
      <c r="A335" s="2" t="n"/>
      <c r="B335" s="12" t="n"/>
      <c r="C335" s="2" t="n"/>
      <c r="D335" s="2" t="n"/>
      <c r="E335" s="2">
        <f>IF($C335="","",IFERROR(INDEX(Units_Owners!$C$5:$C$504,MATCH($C335,Units_Owners!$A$5:$A$504,0)),""))</f>
        <v/>
      </c>
      <c r="F335" s="13" t="n"/>
      <c r="G335" s="2" t="n"/>
      <c r="H335" s="2" t="n"/>
      <c r="I335" s="2" t="n"/>
      <c r="J335" s="2" t="n"/>
      <c r="K335" s="2" t="n"/>
    </row>
    <row r="336">
      <c r="A336" s="6" t="n"/>
      <c r="B336" s="14" t="n"/>
      <c r="C336" s="6" t="n"/>
      <c r="D336" s="6" t="n"/>
      <c r="E336" s="2">
        <f>IF($C336="","",IFERROR(INDEX(Units_Owners!$C$5:$C$504,MATCH($C336,Units_Owners!$A$5:$A$504,0)),""))</f>
        <v/>
      </c>
      <c r="F336" s="15" t="n"/>
      <c r="G336" s="6" t="n"/>
      <c r="H336" s="6" t="n"/>
      <c r="I336" s="6" t="n"/>
      <c r="J336" s="6" t="n"/>
      <c r="K336" s="6" t="n"/>
    </row>
    <row r="337">
      <c r="A337" s="2" t="n"/>
      <c r="B337" s="12" t="n"/>
      <c r="C337" s="2" t="n"/>
      <c r="D337" s="2" t="n"/>
      <c r="E337" s="2">
        <f>IF($C337="","",IFERROR(INDEX(Units_Owners!$C$5:$C$504,MATCH($C337,Units_Owners!$A$5:$A$504,0)),""))</f>
        <v/>
      </c>
      <c r="F337" s="13" t="n"/>
      <c r="G337" s="2" t="n"/>
      <c r="H337" s="2" t="n"/>
      <c r="I337" s="2" t="n"/>
      <c r="J337" s="2" t="n"/>
      <c r="K337" s="2" t="n"/>
    </row>
    <row r="338">
      <c r="A338" s="6" t="n"/>
      <c r="B338" s="14" t="n"/>
      <c r="C338" s="6" t="n"/>
      <c r="D338" s="6" t="n"/>
      <c r="E338" s="2">
        <f>IF($C338="","",IFERROR(INDEX(Units_Owners!$C$5:$C$504,MATCH($C338,Units_Owners!$A$5:$A$504,0)),""))</f>
        <v/>
      </c>
      <c r="F338" s="15" t="n"/>
      <c r="G338" s="6" t="n"/>
      <c r="H338" s="6" t="n"/>
      <c r="I338" s="6" t="n"/>
      <c r="J338" s="6" t="n"/>
      <c r="K338" s="6" t="n"/>
    </row>
    <row r="339">
      <c r="A339" s="2" t="n"/>
      <c r="B339" s="12" t="n"/>
      <c r="C339" s="2" t="n"/>
      <c r="D339" s="2" t="n"/>
      <c r="E339" s="2">
        <f>IF($C339="","",IFERROR(INDEX(Units_Owners!$C$5:$C$504,MATCH($C339,Units_Owners!$A$5:$A$504,0)),""))</f>
        <v/>
      </c>
      <c r="F339" s="13" t="n"/>
      <c r="G339" s="2" t="n"/>
      <c r="H339" s="2" t="n"/>
      <c r="I339" s="2" t="n"/>
      <c r="J339" s="2" t="n"/>
      <c r="K339" s="2" t="n"/>
    </row>
    <row r="340">
      <c r="A340" s="6" t="n"/>
      <c r="B340" s="14" t="n"/>
      <c r="C340" s="6" t="n"/>
      <c r="D340" s="6" t="n"/>
      <c r="E340" s="2">
        <f>IF($C340="","",IFERROR(INDEX(Units_Owners!$C$5:$C$504,MATCH($C340,Units_Owners!$A$5:$A$504,0)),""))</f>
        <v/>
      </c>
      <c r="F340" s="15" t="n"/>
      <c r="G340" s="6" t="n"/>
      <c r="H340" s="6" t="n"/>
      <c r="I340" s="6" t="n"/>
      <c r="J340" s="6" t="n"/>
      <c r="K340" s="6" t="n"/>
    </row>
    <row r="341">
      <c r="A341" s="2" t="n"/>
      <c r="B341" s="12" t="n"/>
      <c r="C341" s="2" t="n"/>
      <c r="D341" s="2" t="n"/>
      <c r="E341" s="2">
        <f>IF($C341="","",IFERROR(INDEX(Units_Owners!$C$5:$C$504,MATCH($C341,Units_Owners!$A$5:$A$504,0)),""))</f>
        <v/>
      </c>
      <c r="F341" s="13" t="n"/>
      <c r="G341" s="2" t="n"/>
      <c r="H341" s="2" t="n"/>
      <c r="I341" s="2" t="n"/>
      <c r="J341" s="2" t="n"/>
      <c r="K341" s="2" t="n"/>
    </row>
    <row r="342">
      <c r="A342" s="6" t="n"/>
      <c r="B342" s="14" t="n"/>
      <c r="C342" s="6" t="n"/>
      <c r="D342" s="6" t="n"/>
      <c r="E342" s="2">
        <f>IF($C342="","",IFERROR(INDEX(Units_Owners!$C$5:$C$504,MATCH($C342,Units_Owners!$A$5:$A$504,0)),""))</f>
        <v/>
      </c>
      <c r="F342" s="15" t="n"/>
      <c r="G342" s="6" t="n"/>
      <c r="H342" s="6" t="n"/>
      <c r="I342" s="6" t="n"/>
      <c r="J342" s="6" t="n"/>
      <c r="K342" s="6" t="n"/>
    </row>
    <row r="343">
      <c r="A343" s="2" t="n"/>
      <c r="B343" s="12" t="n"/>
      <c r="C343" s="2" t="n"/>
      <c r="D343" s="2" t="n"/>
      <c r="E343" s="2">
        <f>IF($C343="","",IFERROR(INDEX(Units_Owners!$C$5:$C$504,MATCH($C343,Units_Owners!$A$5:$A$504,0)),""))</f>
        <v/>
      </c>
      <c r="F343" s="13" t="n"/>
      <c r="G343" s="2" t="n"/>
      <c r="H343" s="2" t="n"/>
      <c r="I343" s="2" t="n"/>
      <c r="J343" s="2" t="n"/>
      <c r="K343" s="2" t="n"/>
    </row>
    <row r="344">
      <c r="A344" s="6" t="n"/>
      <c r="B344" s="14" t="n"/>
      <c r="C344" s="6" t="n"/>
      <c r="D344" s="6" t="n"/>
      <c r="E344" s="2">
        <f>IF($C344="","",IFERROR(INDEX(Units_Owners!$C$5:$C$504,MATCH($C344,Units_Owners!$A$5:$A$504,0)),""))</f>
        <v/>
      </c>
      <c r="F344" s="15" t="n"/>
      <c r="G344" s="6" t="n"/>
      <c r="H344" s="6" t="n"/>
      <c r="I344" s="6" t="n"/>
      <c r="J344" s="6" t="n"/>
      <c r="K344" s="6" t="n"/>
    </row>
    <row r="345">
      <c r="A345" s="2" t="n"/>
      <c r="B345" s="12" t="n"/>
      <c r="C345" s="2" t="n"/>
      <c r="D345" s="2" t="n"/>
      <c r="E345" s="2">
        <f>IF($C345="","",IFERROR(INDEX(Units_Owners!$C$5:$C$504,MATCH($C345,Units_Owners!$A$5:$A$504,0)),""))</f>
        <v/>
      </c>
      <c r="F345" s="13" t="n"/>
      <c r="G345" s="2" t="n"/>
      <c r="H345" s="2" t="n"/>
      <c r="I345" s="2" t="n"/>
      <c r="J345" s="2" t="n"/>
      <c r="K345" s="2" t="n"/>
    </row>
    <row r="346">
      <c r="A346" s="6" t="n"/>
      <c r="B346" s="14" t="n"/>
      <c r="C346" s="6" t="n"/>
      <c r="D346" s="6" t="n"/>
      <c r="E346" s="2">
        <f>IF($C346="","",IFERROR(INDEX(Units_Owners!$C$5:$C$504,MATCH($C346,Units_Owners!$A$5:$A$504,0)),""))</f>
        <v/>
      </c>
      <c r="F346" s="15" t="n"/>
      <c r="G346" s="6" t="n"/>
      <c r="H346" s="6" t="n"/>
      <c r="I346" s="6" t="n"/>
      <c r="J346" s="6" t="n"/>
      <c r="K346" s="6" t="n"/>
    </row>
    <row r="347">
      <c r="A347" s="2" t="n"/>
      <c r="B347" s="12" t="n"/>
      <c r="C347" s="2" t="n"/>
      <c r="D347" s="2" t="n"/>
      <c r="E347" s="2">
        <f>IF($C347="","",IFERROR(INDEX(Units_Owners!$C$5:$C$504,MATCH($C347,Units_Owners!$A$5:$A$504,0)),""))</f>
        <v/>
      </c>
      <c r="F347" s="13" t="n"/>
      <c r="G347" s="2" t="n"/>
      <c r="H347" s="2" t="n"/>
      <c r="I347" s="2" t="n"/>
      <c r="J347" s="2" t="n"/>
      <c r="K347" s="2" t="n"/>
    </row>
    <row r="348">
      <c r="A348" s="6" t="n"/>
      <c r="B348" s="14" t="n"/>
      <c r="C348" s="6" t="n"/>
      <c r="D348" s="6" t="n"/>
      <c r="E348" s="2">
        <f>IF($C348="","",IFERROR(INDEX(Units_Owners!$C$5:$C$504,MATCH($C348,Units_Owners!$A$5:$A$504,0)),""))</f>
        <v/>
      </c>
      <c r="F348" s="15" t="n"/>
      <c r="G348" s="6" t="n"/>
      <c r="H348" s="6" t="n"/>
      <c r="I348" s="6" t="n"/>
      <c r="J348" s="6" t="n"/>
      <c r="K348" s="6" t="n"/>
    </row>
    <row r="349">
      <c r="A349" s="2" t="n"/>
      <c r="B349" s="12" t="n"/>
      <c r="C349" s="2" t="n"/>
      <c r="D349" s="2" t="n"/>
      <c r="E349" s="2">
        <f>IF($C349="","",IFERROR(INDEX(Units_Owners!$C$5:$C$504,MATCH($C349,Units_Owners!$A$5:$A$504,0)),""))</f>
        <v/>
      </c>
      <c r="F349" s="13" t="n"/>
      <c r="G349" s="2" t="n"/>
      <c r="H349" s="2" t="n"/>
      <c r="I349" s="2" t="n"/>
      <c r="J349" s="2" t="n"/>
      <c r="K349" s="2" t="n"/>
    </row>
    <row r="350">
      <c r="A350" s="6" t="n"/>
      <c r="B350" s="14" t="n"/>
      <c r="C350" s="6" t="n"/>
      <c r="D350" s="6" t="n"/>
      <c r="E350" s="2">
        <f>IF($C350="","",IFERROR(INDEX(Units_Owners!$C$5:$C$504,MATCH($C350,Units_Owners!$A$5:$A$504,0)),""))</f>
        <v/>
      </c>
      <c r="F350" s="15" t="n"/>
      <c r="G350" s="6" t="n"/>
      <c r="H350" s="6" t="n"/>
      <c r="I350" s="6" t="n"/>
      <c r="J350" s="6" t="n"/>
      <c r="K350" s="6" t="n"/>
    </row>
    <row r="351">
      <c r="A351" s="2" t="n"/>
      <c r="B351" s="12" t="n"/>
      <c r="C351" s="2" t="n"/>
      <c r="D351" s="2" t="n"/>
      <c r="E351" s="2">
        <f>IF($C351="","",IFERROR(INDEX(Units_Owners!$C$5:$C$504,MATCH($C351,Units_Owners!$A$5:$A$504,0)),""))</f>
        <v/>
      </c>
      <c r="F351" s="13" t="n"/>
      <c r="G351" s="2" t="n"/>
      <c r="H351" s="2" t="n"/>
      <c r="I351" s="2" t="n"/>
      <c r="J351" s="2" t="n"/>
      <c r="K351" s="2" t="n"/>
    </row>
    <row r="352">
      <c r="A352" s="6" t="n"/>
      <c r="B352" s="14" t="n"/>
      <c r="C352" s="6" t="n"/>
      <c r="D352" s="6" t="n"/>
      <c r="E352" s="2">
        <f>IF($C352="","",IFERROR(INDEX(Units_Owners!$C$5:$C$504,MATCH($C352,Units_Owners!$A$5:$A$504,0)),""))</f>
        <v/>
      </c>
      <c r="F352" s="15" t="n"/>
      <c r="G352" s="6" t="n"/>
      <c r="H352" s="6" t="n"/>
      <c r="I352" s="6" t="n"/>
      <c r="J352" s="6" t="n"/>
      <c r="K352" s="6" t="n"/>
    </row>
    <row r="353">
      <c r="A353" s="2" t="n"/>
      <c r="B353" s="12" t="n"/>
      <c r="C353" s="2" t="n"/>
      <c r="D353" s="2" t="n"/>
      <c r="E353" s="2">
        <f>IF($C353="","",IFERROR(INDEX(Units_Owners!$C$5:$C$504,MATCH($C353,Units_Owners!$A$5:$A$504,0)),""))</f>
        <v/>
      </c>
      <c r="F353" s="13" t="n"/>
      <c r="G353" s="2" t="n"/>
      <c r="H353" s="2" t="n"/>
      <c r="I353" s="2" t="n"/>
      <c r="J353" s="2" t="n"/>
      <c r="K353" s="2" t="n"/>
    </row>
    <row r="354">
      <c r="A354" s="6" t="n"/>
      <c r="B354" s="14" t="n"/>
      <c r="C354" s="6" t="n"/>
      <c r="D354" s="6" t="n"/>
      <c r="E354" s="2">
        <f>IF($C354="","",IFERROR(INDEX(Units_Owners!$C$5:$C$504,MATCH($C354,Units_Owners!$A$5:$A$504,0)),""))</f>
        <v/>
      </c>
      <c r="F354" s="15" t="n"/>
      <c r="G354" s="6" t="n"/>
      <c r="H354" s="6" t="n"/>
      <c r="I354" s="6" t="n"/>
      <c r="J354" s="6" t="n"/>
      <c r="K354" s="6" t="n"/>
    </row>
    <row r="355">
      <c r="A355" s="2" t="n"/>
      <c r="B355" s="12" t="n"/>
      <c r="C355" s="2" t="n"/>
      <c r="D355" s="2" t="n"/>
      <c r="E355" s="2">
        <f>IF($C355="","",IFERROR(INDEX(Units_Owners!$C$5:$C$504,MATCH($C355,Units_Owners!$A$5:$A$504,0)),""))</f>
        <v/>
      </c>
      <c r="F355" s="13" t="n"/>
      <c r="G355" s="2" t="n"/>
      <c r="H355" s="2" t="n"/>
      <c r="I355" s="2" t="n"/>
      <c r="J355" s="2" t="n"/>
      <c r="K355" s="2" t="n"/>
    </row>
    <row r="356">
      <c r="A356" s="6" t="n"/>
      <c r="B356" s="14" t="n"/>
      <c r="C356" s="6" t="n"/>
      <c r="D356" s="6" t="n"/>
      <c r="E356" s="2">
        <f>IF($C356="","",IFERROR(INDEX(Units_Owners!$C$5:$C$504,MATCH($C356,Units_Owners!$A$5:$A$504,0)),""))</f>
        <v/>
      </c>
      <c r="F356" s="15" t="n"/>
      <c r="G356" s="6" t="n"/>
      <c r="H356" s="6" t="n"/>
      <c r="I356" s="6" t="n"/>
      <c r="J356" s="6" t="n"/>
      <c r="K356" s="6" t="n"/>
    </row>
    <row r="357">
      <c r="A357" s="2" t="n"/>
      <c r="B357" s="12" t="n"/>
      <c r="C357" s="2" t="n"/>
      <c r="D357" s="2" t="n"/>
      <c r="E357" s="2">
        <f>IF($C357="","",IFERROR(INDEX(Units_Owners!$C$5:$C$504,MATCH($C357,Units_Owners!$A$5:$A$504,0)),""))</f>
        <v/>
      </c>
      <c r="F357" s="13" t="n"/>
      <c r="G357" s="2" t="n"/>
      <c r="H357" s="2" t="n"/>
      <c r="I357" s="2" t="n"/>
      <c r="J357" s="2" t="n"/>
      <c r="K357" s="2" t="n"/>
    </row>
    <row r="358">
      <c r="A358" s="6" t="n"/>
      <c r="B358" s="14" t="n"/>
      <c r="C358" s="6" t="n"/>
      <c r="D358" s="6" t="n"/>
      <c r="E358" s="2">
        <f>IF($C358="","",IFERROR(INDEX(Units_Owners!$C$5:$C$504,MATCH($C358,Units_Owners!$A$5:$A$504,0)),""))</f>
        <v/>
      </c>
      <c r="F358" s="15" t="n"/>
      <c r="G358" s="6" t="n"/>
      <c r="H358" s="6" t="n"/>
      <c r="I358" s="6" t="n"/>
      <c r="J358" s="6" t="n"/>
      <c r="K358" s="6" t="n"/>
    </row>
    <row r="359">
      <c r="A359" s="2" t="n"/>
      <c r="B359" s="12" t="n"/>
      <c r="C359" s="2" t="n"/>
      <c r="D359" s="2" t="n"/>
      <c r="E359" s="2">
        <f>IF($C359="","",IFERROR(INDEX(Units_Owners!$C$5:$C$504,MATCH($C359,Units_Owners!$A$5:$A$504,0)),""))</f>
        <v/>
      </c>
      <c r="F359" s="13" t="n"/>
      <c r="G359" s="2" t="n"/>
      <c r="H359" s="2" t="n"/>
      <c r="I359" s="2" t="n"/>
      <c r="J359" s="2" t="n"/>
      <c r="K359" s="2" t="n"/>
    </row>
    <row r="360">
      <c r="A360" s="6" t="n"/>
      <c r="B360" s="14" t="n"/>
      <c r="C360" s="6" t="n"/>
      <c r="D360" s="6" t="n"/>
      <c r="E360" s="2">
        <f>IF($C360="","",IFERROR(INDEX(Units_Owners!$C$5:$C$504,MATCH($C360,Units_Owners!$A$5:$A$504,0)),""))</f>
        <v/>
      </c>
      <c r="F360" s="15" t="n"/>
      <c r="G360" s="6" t="n"/>
      <c r="H360" s="6" t="n"/>
      <c r="I360" s="6" t="n"/>
      <c r="J360" s="6" t="n"/>
      <c r="K360" s="6" t="n"/>
    </row>
    <row r="361">
      <c r="A361" s="2" t="n"/>
      <c r="B361" s="12" t="n"/>
      <c r="C361" s="2" t="n"/>
      <c r="D361" s="2" t="n"/>
      <c r="E361" s="2">
        <f>IF($C361="","",IFERROR(INDEX(Units_Owners!$C$5:$C$504,MATCH($C361,Units_Owners!$A$5:$A$504,0)),""))</f>
        <v/>
      </c>
      <c r="F361" s="13" t="n"/>
      <c r="G361" s="2" t="n"/>
      <c r="H361" s="2" t="n"/>
      <c r="I361" s="2" t="n"/>
      <c r="J361" s="2" t="n"/>
      <c r="K361" s="2" t="n"/>
    </row>
    <row r="362">
      <c r="A362" s="6" t="n"/>
      <c r="B362" s="14" t="n"/>
      <c r="C362" s="6" t="n"/>
      <c r="D362" s="6" t="n"/>
      <c r="E362" s="2">
        <f>IF($C362="","",IFERROR(INDEX(Units_Owners!$C$5:$C$504,MATCH($C362,Units_Owners!$A$5:$A$504,0)),""))</f>
        <v/>
      </c>
      <c r="F362" s="15" t="n"/>
      <c r="G362" s="6" t="n"/>
      <c r="H362" s="6" t="n"/>
      <c r="I362" s="6" t="n"/>
      <c r="J362" s="6" t="n"/>
      <c r="K362" s="6" t="n"/>
    </row>
    <row r="363">
      <c r="A363" s="2" t="n"/>
      <c r="B363" s="12" t="n"/>
      <c r="C363" s="2" t="n"/>
      <c r="D363" s="2" t="n"/>
      <c r="E363" s="2">
        <f>IF($C363="","",IFERROR(INDEX(Units_Owners!$C$5:$C$504,MATCH($C363,Units_Owners!$A$5:$A$504,0)),""))</f>
        <v/>
      </c>
      <c r="F363" s="13" t="n"/>
      <c r="G363" s="2" t="n"/>
      <c r="H363" s="2" t="n"/>
      <c r="I363" s="2" t="n"/>
      <c r="J363" s="2" t="n"/>
      <c r="K363" s="2" t="n"/>
    </row>
    <row r="364">
      <c r="A364" s="6" t="n"/>
      <c r="B364" s="14" t="n"/>
      <c r="C364" s="6" t="n"/>
      <c r="D364" s="6" t="n"/>
      <c r="E364" s="2">
        <f>IF($C364="","",IFERROR(INDEX(Units_Owners!$C$5:$C$504,MATCH($C364,Units_Owners!$A$5:$A$504,0)),""))</f>
        <v/>
      </c>
      <c r="F364" s="15" t="n"/>
      <c r="G364" s="6" t="n"/>
      <c r="H364" s="6" t="n"/>
      <c r="I364" s="6" t="n"/>
      <c r="J364" s="6" t="n"/>
      <c r="K364" s="6" t="n"/>
    </row>
    <row r="365">
      <c r="A365" s="2" t="n"/>
      <c r="B365" s="12" t="n"/>
      <c r="C365" s="2" t="n"/>
      <c r="D365" s="2" t="n"/>
      <c r="E365" s="2">
        <f>IF($C365="","",IFERROR(INDEX(Units_Owners!$C$5:$C$504,MATCH($C365,Units_Owners!$A$5:$A$504,0)),""))</f>
        <v/>
      </c>
      <c r="F365" s="13" t="n"/>
      <c r="G365" s="2" t="n"/>
      <c r="H365" s="2" t="n"/>
      <c r="I365" s="2" t="n"/>
      <c r="J365" s="2" t="n"/>
      <c r="K365" s="2" t="n"/>
    </row>
    <row r="366">
      <c r="A366" s="6" t="n"/>
      <c r="B366" s="14" t="n"/>
      <c r="C366" s="6" t="n"/>
      <c r="D366" s="6" t="n"/>
      <c r="E366" s="2">
        <f>IF($C366="","",IFERROR(INDEX(Units_Owners!$C$5:$C$504,MATCH($C366,Units_Owners!$A$5:$A$504,0)),""))</f>
        <v/>
      </c>
      <c r="F366" s="15" t="n"/>
      <c r="G366" s="6" t="n"/>
      <c r="H366" s="6" t="n"/>
      <c r="I366" s="6" t="n"/>
      <c r="J366" s="6" t="n"/>
      <c r="K366" s="6" t="n"/>
    </row>
    <row r="367">
      <c r="A367" s="2" t="n"/>
      <c r="B367" s="12" t="n"/>
      <c r="C367" s="2" t="n"/>
      <c r="D367" s="2" t="n"/>
      <c r="E367" s="2">
        <f>IF($C367="","",IFERROR(INDEX(Units_Owners!$C$5:$C$504,MATCH($C367,Units_Owners!$A$5:$A$504,0)),""))</f>
        <v/>
      </c>
      <c r="F367" s="13" t="n"/>
      <c r="G367" s="2" t="n"/>
      <c r="H367" s="2" t="n"/>
      <c r="I367" s="2" t="n"/>
      <c r="J367" s="2" t="n"/>
      <c r="K367" s="2" t="n"/>
    </row>
    <row r="368">
      <c r="A368" s="6" t="n"/>
      <c r="B368" s="14" t="n"/>
      <c r="C368" s="6" t="n"/>
      <c r="D368" s="6" t="n"/>
      <c r="E368" s="2">
        <f>IF($C368="","",IFERROR(INDEX(Units_Owners!$C$5:$C$504,MATCH($C368,Units_Owners!$A$5:$A$504,0)),""))</f>
        <v/>
      </c>
      <c r="F368" s="15" t="n"/>
      <c r="G368" s="6" t="n"/>
      <c r="H368" s="6" t="n"/>
      <c r="I368" s="6" t="n"/>
      <c r="J368" s="6" t="n"/>
      <c r="K368" s="6" t="n"/>
    </row>
    <row r="369">
      <c r="A369" s="2" t="n"/>
      <c r="B369" s="12" t="n"/>
      <c r="C369" s="2" t="n"/>
      <c r="D369" s="2" t="n"/>
      <c r="E369" s="2">
        <f>IF($C369="","",IFERROR(INDEX(Units_Owners!$C$5:$C$504,MATCH($C369,Units_Owners!$A$5:$A$504,0)),""))</f>
        <v/>
      </c>
      <c r="F369" s="13" t="n"/>
      <c r="G369" s="2" t="n"/>
      <c r="H369" s="2" t="n"/>
      <c r="I369" s="2" t="n"/>
      <c r="J369" s="2" t="n"/>
      <c r="K369" s="2" t="n"/>
    </row>
    <row r="370">
      <c r="A370" s="6" t="n"/>
      <c r="B370" s="14" t="n"/>
      <c r="C370" s="6" t="n"/>
      <c r="D370" s="6" t="n"/>
      <c r="E370" s="2">
        <f>IF($C370="","",IFERROR(INDEX(Units_Owners!$C$5:$C$504,MATCH($C370,Units_Owners!$A$5:$A$504,0)),""))</f>
        <v/>
      </c>
      <c r="F370" s="15" t="n"/>
      <c r="G370" s="6" t="n"/>
      <c r="H370" s="6" t="n"/>
      <c r="I370" s="6" t="n"/>
      <c r="J370" s="6" t="n"/>
      <c r="K370" s="6" t="n"/>
    </row>
    <row r="371">
      <c r="A371" s="2" t="n"/>
      <c r="B371" s="12" t="n"/>
      <c r="C371" s="2" t="n"/>
      <c r="D371" s="2" t="n"/>
      <c r="E371" s="2">
        <f>IF($C371="","",IFERROR(INDEX(Units_Owners!$C$5:$C$504,MATCH($C371,Units_Owners!$A$5:$A$504,0)),""))</f>
        <v/>
      </c>
      <c r="F371" s="13" t="n"/>
      <c r="G371" s="2" t="n"/>
      <c r="H371" s="2" t="n"/>
      <c r="I371" s="2" t="n"/>
      <c r="J371" s="2" t="n"/>
      <c r="K371" s="2" t="n"/>
    </row>
    <row r="372">
      <c r="A372" s="6" t="n"/>
      <c r="B372" s="14" t="n"/>
      <c r="C372" s="6" t="n"/>
      <c r="D372" s="6" t="n"/>
      <c r="E372" s="2">
        <f>IF($C372="","",IFERROR(INDEX(Units_Owners!$C$5:$C$504,MATCH($C372,Units_Owners!$A$5:$A$504,0)),""))</f>
        <v/>
      </c>
      <c r="F372" s="15" t="n"/>
      <c r="G372" s="6" t="n"/>
      <c r="H372" s="6" t="n"/>
      <c r="I372" s="6" t="n"/>
      <c r="J372" s="6" t="n"/>
      <c r="K372" s="6" t="n"/>
    </row>
    <row r="373">
      <c r="A373" s="2" t="n"/>
      <c r="B373" s="12" t="n"/>
      <c r="C373" s="2" t="n"/>
      <c r="D373" s="2" t="n"/>
      <c r="E373" s="2">
        <f>IF($C373="","",IFERROR(INDEX(Units_Owners!$C$5:$C$504,MATCH($C373,Units_Owners!$A$5:$A$504,0)),""))</f>
        <v/>
      </c>
      <c r="F373" s="13" t="n"/>
      <c r="G373" s="2" t="n"/>
      <c r="H373" s="2" t="n"/>
      <c r="I373" s="2" t="n"/>
      <c r="J373" s="2" t="n"/>
      <c r="K373" s="2" t="n"/>
    </row>
    <row r="374">
      <c r="A374" s="6" t="n"/>
      <c r="B374" s="14" t="n"/>
      <c r="C374" s="6" t="n"/>
      <c r="D374" s="6" t="n"/>
      <c r="E374" s="2">
        <f>IF($C374="","",IFERROR(INDEX(Units_Owners!$C$5:$C$504,MATCH($C374,Units_Owners!$A$5:$A$504,0)),""))</f>
        <v/>
      </c>
      <c r="F374" s="15" t="n"/>
      <c r="G374" s="6" t="n"/>
      <c r="H374" s="6" t="n"/>
      <c r="I374" s="6" t="n"/>
      <c r="J374" s="6" t="n"/>
      <c r="K374" s="6" t="n"/>
    </row>
    <row r="375">
      <c r="A375" s="2" t="n"/>
      <c r="B375" s="12" t="n"/>
      <c r="C375" s="2" t="n"/>
      <c r="D375" s="2" t="n"/>
      <c r="E375" s="2">
        <f>IF($C375="","",IFERROR(INDEX(Units_Owners!$C$5:$C$504,MATCH($C375,Units_Owners!$A$5:$A$504,0)),""))</f>
        <v/>
      </c>
      <c r="F375" s="13" t="n"/>
      <c r="G375" s="2" t="n"/>
      <c r="H375" s="2" t="n"/>
      <c r="I375" s="2" t="n"/>
      <c r="J375" s="2" t="n"/>
      <c r="K375" s="2" t="n"/>
    </row>
    <row r="376">
      <c r="A376" s="6" t="n"/>
      <c r="B376" s="14" t="n"/>
      <c r="C376" s="6" t="n"/>
      <c r="D376" s="6" t="n"/>
      <c r="E376" s="2">
        <f>IF($C376="","",IFERROR(INDEX(Units_Owners!$C$5:$C$504,MATCH($C376,Units_Owners!$A$5:$A$504,0)),""))</f>
        <v/>
      </c>
      <c r="F376" s="15" t="n"/>
      <c r="G376" s="6" t="n"/>
      <c r="H376" s="6" t="n"/>
      <c r="I376" s="6" t="n"/>
      <c r="J376" s="6" t="n"/>
      <c r="K376" s="6" t="n"/>
    </row>
    <row r="377">
      <c r="A377" s="2" t="n"/>
      <c r="B377" s="12" t="n"/>
      <c r="C377" s="2" t="n"/>
      <c r="D377" s="2" t="n"/>
      <c r="E377" s="2">
        <f>IF($C377="","",IFERROR(INDEX(Units_Owners!$C$5:$C$504,MATCH($C377,Units_Owners!$A$5:$A$504,0)),""))</f>
        <v/>
      </c>
      <c r="F377" s="13" t="n"/>
      <c r="G377" s="2" t="n"/>
      <c r="H377" s="2" t="n"/>
      <c r="I377" s="2" t="n"/>
      <c r="J377" s="2" t="n"/>
      <c r="K377" s="2" t="n"/>
    </row>
    <row r="378">
      <c r="A378" s="6" t="n"/>
      <c r="B378" s="14" t="n"/>
      <c r="C378" s="6" t="n"/>
      <c r="D378" s="6" t="n"/>
      <c r="E378" s="2">
        <f>IF($C378="","",IFERROR(INDEX(Units_Owners!$C$5:$C$504,MATCH($C378,Units_Owners!$A$5:$A$504,0)),""))</f>
        <v/>
      </c>
      <c r="F378" s="15" t="n"/>
      <c r="G378" s="6" t="n"/>
      <c r="H378" s="6" t="n"/>
      <c r="I378" s="6" t="n"/>
      <c r="J378" s="6" t="n"/>
      <c r="K378" s="6" t="n"/>
    </row>
    <row r="379">
      <c r="A379" s="2" t="n"/>
      <c r="B379" s="12" t="n"/>
      <c r="C379" s="2" t="n"/>
      <c r="D379" s="2" t="n"/>
      <c r="E379" s="2">
        <f>IF($C379="","",IFERROR(INDEX(Units_Owners!$C$5:$C$504,MATCH($C379,Units_Owners!$A$5:$A$504,0)),""))</f>
        <v/>
      </c>
      <c r="F379" s="13" t="n"/>
      <c r="G379" s="2" t="n"/>
      <c r="H379" s="2" t="n"/>
      <c r="I379" s="2" t="n"/>
      <c r="J379" s="2" t="n"/>
      <c r="K379" s="2" t="n"/>
    </row>
    <row r="380">
      <c r="A380" s="6" t="n"/>
      <c r="B380" s="14" t="n"/>
      <c r="C380" s="6" t="n"/>
      <c r="D380" s="6" t="n"/>
      <c r="E380" s="2">
        <f>IF($C380="","",IFERROR(INDEX(Units_Owners!$C$5:$C$504,MATCH($C380,Units_Owners!$A$5:$A$504,0)),""))</f>
        <v/>
      </c>
      <c r="F380" s="15" t="n"/>
      <c r="G380" s="6" t="n"/>
      <c r="H380" s="6" t="n"/>
      <c r="I380" s="6" t="n"/>
      <c r="J380" s="6" t="n"/>
      <c r="K380" s="6" t="n"/>
    </row>
    <row r="381">
      <c r="A381" s="2" t="n"/>
      <c r="B381" s="12" t="n"/>
      <c r="C381" s="2" t="n"/>
      <c r="D381" s="2" t="n"/>
      <c r="E381" s="2">
        <f>IF($C381="","",IFERROR(INDEX(Units_Owners!$C$5:$C$504,MATCH($C381,Units_Owners!$A$5:$A$504,0)),""))</f>
        <v/>
      </c>
      <c r="F381" s="13" t="n"/>
      <c r="G381" s="2" t="n"/>
      <c r="H381" s="2" t="n"/>
      <c r="I381" s="2" t="n"/>
      <c r="J381" s="2" t="n"/>
      <c r="K381" s="2" t="n"/>
    </row>
    <row r="382">
      <c r="A382" s="6" t="n"/>
      <c r="B382" s="14" t="n"/>
      <c r="C382" s="6" t="n"/>
      <c r="D382" s="6" t="n"/>
      <c r="E382" s="2">
        <f>IF($C382="","",IFERROR(INDEX(Units_Owners!$C$5:$C$504,MATCH($C382,Units_Owners!$A$5:$A$504,0)),""))</f>
        <v/>
      </c>
      <c r="F382" s="15" t="n"/>
      <c r="G382" s="6" t="n"/>
      <c r="H382" s="6" t="n"/>
      <c r="I382" s="6" t="n"/>
      <c r="J382" s="6" t="n"/>
      <c r="K382" s="6" t="n"/>
    </row>
    <row r="383">
      <c r="A383" s="2" t="n"/>
      <c r="B383" s="12" t="n"/>
      <c r="C383" s="2" t="n"/>
      <c r="D383" s="2" t="n"/>
      <c r="E383" s="2">
        <f>IF($C383="","",IFERROR(INDEX(Units_Owners!$C$5:$C$504,MATCH($C383,Units_Owners!$A$5:$A$504,0)),""))</f>
        <v/>
      </c>
      <c r="F383" s="13" t="n"/>
      <c r="G383" s="2" t="n"/>
      <c r="H383" s="2" t="n"/>
      <c r="I383" s="2" t="n"/>
      <c r="J383" s="2" t="n"/>
      <c r="K383" s="2" t="n"/>
    </row>
    <row r="384">
      <c r="A384" s="6" t="n"/>
      <c r="B384" s="14" t="n"/>
      <c r="C384" s="6" t="n"/>
      <c r="D384" s="6" t="n"/>
      <c r="E384" s="2">
        <f>IF($C384="","",IFERROR(INDEX(Units_Owners!$C$5:$C$504,MATCH($C384,Units_Owners!$A$5:$A$504,0)),""))</f>
        <v/>
      </c>
      <c r="F384" s="15" t="n"/>
      <c r="G384" s="6" t="n"/>
      <c r="H384" s="6" t="n"/>
      <c r="I384" s="6" t="n"/>
      <c r="J384" s="6" t="n"/>
      <c r="K384" s="6" t="n"/>
    </row>
    <row r="385">
      <c r="A385" s="2" t="n"/>
      <c r="B385" s="12" t="n"/>
      <c r="C385" s="2" t="n"/>
      <c r="D385" s="2" t="n"/>
      <c r="E385" s="2">
        <f>IF($C385="","",IFERROR(INDEX(Units_Owners!$C$5:$C$504,MATCH($C385,Units_Owners!$A$5:$A$504,0)),""))</f>
        <v/>
      </c>
      <c r="F385" s="13" t="n"/>
      <c r="G385" s="2" t="n"/>
      <c r="H385" s="2" t="n"/>
      <c r="I385" s="2" t="n"/>
      <c r="J385" s="2" t="n"/>
      <c r="K385" s="2" t="n"/>
    </row>
    <row r="386">
      <c r="A386" s="6" t="n"/>
      <c r="B386" s="14" t="n"/>
      <c r="C386" s="6" t="n"/>
      <c r="D386" s="6" t="n"/>
      <c r="E386" s="2">
        <f>IF($C386="","",IFERROR(INDEX(Units_Owners!$C$5:$C$504,MATCH($C386,Units_Owners!$A$5:$A$504,0)),""))</f>
        <v/>
      </c>
      <c r="F386" s="15" t="n"/>
      <c r="G386" s="6" t="n"/>
      <c r="H386" s="6" t="n"/>
      <c r="I386" s="6" t="n"/>
      <c r="J386" s="6" t="n"/>
      <c r="K386" s="6" t="n"/>
    </row>
    <row r="387">
      <c r="A387" s="2" t="n"/>
      <c r="B387" s="12" t="n"/>
      <c r="C387" s="2" t="n"/>
      <c r="D387" s="2" t="n"/>
      <c r="E387" s="2">
        <f>IF($C387="","",IFERROR(INDEX(Units_Owners!$C$5:$C$504,MATCH($C387,Units_Owners!$A$5:$A$504,0)),""))</f>
        <v/>
      </c>
      <c r="F387" s="13" t="n"/>
      <c r="G387" s="2" t="n"/>
      <c r="H387" s="2" t="n"/>
      <c r="I387" s="2" t="n"/>
      <c r="J387" s="2" t="n"/>
      <c r="K387" s="2" t="n"/>
    </row>
    <row r="388">
      <c r="A388" s="6" t="n"/>
      <c r="B388" s="14" t="n"/>
      <c r="C388" s="6" t="n"/>
      <c r="D388" s="6" t="n"/>
      <c r="E388" s="2">
        <f>IF($C388="","",IFERROR(INDEX(Units_Owners!$C$5:$C$504,MATCH($C388,Units_Owners!$A$5:$A$504,0)),""))</f>
        <v/>
      </c>
      <c r="F388" s="15" t="n"/>
      <c r="G388" s="6" t="n"/>
      <c r="H388" s="6" t="n"/>
      <c r="I388" s="6" t="n"/>
      <c r="J388" s="6" t="n"/>
      <c r="K388" s="6" t="n"/>
    </row>
    <row r="389">
      <c r="A389" s="2" t="n"/>
      <c r="B389" s="12" t="n"/>
      <c r="C389" s="2" t="n"/>
      <c r="D389" s="2" t="n"/>
      <c r="E389" s="2">
        <f>IF($C389="","",IFERROR(INDEX(Units_Owners!$C$5:$C$504,MATCH($C389,Units_Owners!$A$5:$A$504,0)),""))</f>
        <v/>
      </c>
      <c r="F389" s="13" t="n"/>
      <c r="G389" s="2" t="n"/>
      <c r="H389" s="2" t="n"/>
      <c r="I389" s="2" t="n"/>
      <c r="J389" s="2" t="n"/>
      <c r="K389" s="2" t="n"/>
    </row>
    <row r="390">
      <c r="A390" s="6" t="n"/>
      <c r="B390" s="14" t="n"/>
      <c r="C390" s="6" t="n"/>
      <c r="D390" s="6" t="n"/>
      <c r="E390" s="2">
        <f>IF($C390="","",IFERROR(INDEX(Units_Owners!$C$5:$C$504,MATCH($C390,Units_Owners!$A$5:$A$504,0)),""))</f>
        <v/>
      </c>
      <c r="F390" s="15" t="n"/>
      <c r="G390" s="6" t="n"/>
      <c r="H390" s="6" t="n"/>
      <c r="I390" s="6" t="n"/>
      <c r="J390" s="6" t="n"/>
      <c r="K390" s="6" t="n"/>
    </row>
    <row r="391">
      <c r="A391" s="2" t="n"/>
      <c r="B391" s="12" t="n"/>
      <c r="C391" s="2" t="n"/>
      <c r="D391" s="2" t="n"/>
      <c r="E391" s="2">
        <f>IF($C391="","",IFERROR(INDEX(Units_Owners!$C$5:$C$504,MATCH($C391,Units_Owners!$A$5:$A$504,0)),""))</f>
        <v/>
      </c>
      <c r="F391" s="13" t="n"/>
      <c r="G391" s="2" t="n"/>
      <c r="H391" s="2" t="n"/>
      <c r="I391" s="2" t="n"/>
      <c r="J391" s="2" t="n"/>
      <c r="K391" s="2" t="n"/>
    </row>
    <row r="392">
      <c r="A392" s="6" t="n"/>
      <c r="B392" s="14" t="n"/>
      <c r="C392" s="6" t="n"/>
      <c r="D392" s="6" t="n"/>
      <c r="E392" s="2">
        <f>IF($C392="","",IFERROR(INDEX(Units_Owners!$C$5:$C$504,MATCH($C392,Units_Owners!$A$5:$A$504,0)),""))</f>
        <v/>
      </c>
      <c r="F392" s="15" t="n"/>
      <c r="G392" s="6" t="n"/>
      <c r="H392" s="6" t="n"/>
      <c r="I392" s="6" t="n"/>
      <c r="J392" s="6" t="n"/>
      <c r="K392" s="6" t="n"/>
    </row>
    <row r="393">
      <c r="A393" s="2" t="n"/>
      <c r="B393" s="12" t="n"/>
      <c r="C393" s="2" t="n"/>
      <c r="D393" s="2" t="n"/>
      <c r="E393" s="2">
        <f>IF($C393="","",IFERROR(INDEX(Units_Owners!$C$5:$C$504,MATCH($C393,Units_Owners!$A$5:$A$504,0)),""))</f>
        <v/>
      </c>
      <c r="F393" s="13" t="n"/>
      <c r="G393" s="2" t="n"/>
      <c r="H393" s="2" t="n"/>
      <c r="I393" s="2" t="n"/>
      <c r="J393" s="2" t="n"/>
      <c r="K393" s="2" t="n"/>
    </row>
    <row r="394">
      <c r="A394" s="6" t="n"/>
      <c r="B394" s="14" t="n"/>
      <c r="C394" s="6" t="n"/>
      <c r="D394" s="6" t="n"/>
      <c r="E394" s="2">
        <f>IF($C394="","",IFERROR(INDEX(Units_Owners!$C$5:$C$504,MATCH($C394,Units_Owners!$A$5:$A$504,0)),""))</f>
        <v/>
      </c>
      <c r="F394" s="15" t="n"/>
      <c r="G394" s="6" t="n"/>
      <c r="H394" s="6" t="n"/>
      <c r="I394" s="6" t="n"/>
      <c r="J394" s="6" t="n"/>
      <c r="K394" s="6" t="n"/>
    </row>
    <row r="395">
      <c r="A395" s="2" t="n"/>
      <c r="B395" s="12" t="n"/>
      <c r="C395" s="2" t="n"/>
      <c r="D395" s="2" t="n"/>
      <c r="E395" s="2">
        <f>IF($C395="","",IFERROR(INDEX(Units_Owners!$C$5:$C$504,MATCH($C395,Units_Owners!$A$5:$A$504,0)),""))</f>
        <v/>
      </c>
      <c r="F395" s="13" t="n"/>
      <c r="G395" s="2" t="n"/>
      <c r="H395" s="2" t="n"/>
      <c r="I395" s="2" t="n"/>
      <c r="J395" s="2" t="n"/>
      <c r="K395" s="2" t="n"/>
    </row>
    <row r="396">
      <c r="A396" s="6" t="n"/>
      <c r="B396" s="14" t="n"/>
      <c r="C396" s="6" t="n"/>
      <c r="D396" s="6" t="n"/>
      <c r="E396" s="2">
        <f>IF($C396="","",IFERROR(INDEX(Units_Owners!$C$5:$C$504,MATCH($C396,Units_Owners!$A$5:$A$504,0)),""))</f>
        <v/>
      </c>
      <c r="F396" s="15" t="n"/>
      <c r="G396" s="6" t="n"/>
      <c r="H396" s="6" t="n"/>
      <c r="I396" s="6" t="n"/>
      <c r="J396" s="6" t="n"/>
      <c r="K396" s="6" t="n"/>
    </row>
    <row r="397">
      <c r="A397" s="2" t="n"/>
      <c r="B397" s="12" t="n"/>
      <c r="C397" s="2" t="n"/>
      <c r="D397" s="2" t="n"/>
      <c r="E397" s="2">
        <f>IF($C397="","",IFERROR(INDEX(Units_Owners!$C$5:$C$504,MATCH($C397,Units_Owners!$A$5:$A$504,0)),""))</f>
        <v/>
      </c>
      <c r="F397" s="13" t="n"/>
      <c r="G397" s="2" t="n"/>
      <c r="H397" s="2" t="n"/>
      <c r="I397" s="2" t="n"/>
      <c r="J397" s="2" t="n"/>
      <c r="K397" s="2" t="n"/>
    </row>
    <row r="398">
      <c r="A398" s="6" t="n"/>
      <c r="B398" s="14" t="n"/>
      <c r="C398" s="6" t="n"/>
      <c r="D398" s="6" t="n"/>
      <c r="E398" s="2">
        <f>IF($C398="","",IFERROR(INDEX(Units_Owners!$C$5:$C$504,MATCH($C398,Units_Owners!$A$5:$A$504,0)),""))</f>
        <v/>
      </c>
      <c r="F398" s="15" t="n"/>
      <c r="G398" s="6" t="n"/>
      <c r="H398" s="6" t="n"/>
      <c r="I398" s="6" t="n"/>
      <c r="J398" s="6" t="n"/>
      <c r="K398" s="6" t="n"/>
    </row>
    <row r="399">
      <c r="A399" s="2" t="n"/>
      <c r="B399" s="12" t="n"/>
      <c r="C399" s="2" t="n"/>
      <c r="D399" s="2" t="n"/>
      <c r="E399" s="2">
        <f>IF($C399="","",IFERROR(INDEX(Units_Owners!$C$5:$C$504,MATCH($C399,Units_Owners!$A$5:$A$504,0)),""))</f>
        <v/>
      </c>
      <c r="F399" s="13" t="n"/>
      <c r="G399" s="2" t="n"/>
      <c r="H399" s="2" t="n"/>
      <c r="I399" s="2" t="n"/>
      <c r="J399" s="2" t="n"/>
      <c r="K399" s="2" t="n"/>
    </row>
    <row r="400">
      <c r="A400" s="6" t="n"/>
      <c r="B400" s="14" t="n"/>
      <c r="C400" s="6" t="n"/>
      <c r="D400" s="6" t="n"/>
      <c r="E400" s="2">
        <f>IF($C400="","",IFERROR(INDEX(Units_Owners!$C$5:$C$504,MATCH($C400,Units_Owners!$A$5:$A$504,0)),""))</f>
        <v/>
      </c>
      <c r="F400" s="15" t="n"/>
      <c r="G400" s="6" t="n"/>
      <c r="H400" s="6" t="n"/>
      <c r="I400" s="6" t="n"/>
      <c r="J400" s="6" t="n"/>
      <c r="K400" s="6" t="n"/>
    </row>
    <row r="401">
      <c r="A401" s="2" t="n"/>
      <c r="B401" s="12" t="n"/>
      <c r="C401" s="2" t="n"/>
      <c r="D401" s="2" t="n"/>
      <c r="E401" s="2">
        <f>IF($C401="","",IFERROR(INDEX(Units_Owners!$C$5:$C$504,MATCH($C401,Units_Owners!$A$5:$A$504,0)),""))</f>
        <v/>
      </c>
      <c r="F401" s="13" t="n"/>
      <c r="G401" s="2" t="n"/>
      <c r="H401" s="2" t="n"/>
      <c r="I401" s="2" t="n"/>
      <c r="J401" s="2" t="n"/>
      <c r="K401" s="2" t="n"/>
    </row>
    <row r="402">
      <c r="A402" s="6" t="n"/>
      <c r="B402" s="14" t="n"/>
      <c r="C402" s="6" t="n"/>
      <c r="D402" s="6" t="n"/>
      <c r="E402" s="2">
        <f>IF($C402="","",IFERROR(INDEX(Units_Owners!$C$5:$C$504,MATCH($C402,Units_Owners!$A$5:$A$504,0)),""))</f>
        <v/>
      </c>
      <c r="F402" s="15" t="n"/>
      <c r="G402" s="6" t="n"/>
      <c r="H402" s="6" t="n"/>
      <c r="I402" s="6" t="n"/>
      <c r="J402" s="6" t="n"/>
      <c r="K402" s="6" t="n"/>
    </row>
    <row r="403">
      <c r="A403" s="2" t="n"/>
      <c r="B403" s="12" t="n"/>
      <c r="C403" s="2" t="n"/>
      <c r="D403" s="2" t="n"/>
      <c r="E403" s="2">
        <f>IF($C403="","",IFERROR(INDEX(Units_Owners!$C$5:$C$504,MATCH($C403,Units_Owners!$A$5:$A$504,0)),""))</f>
        <v/>
      </c>
      <c r="F403" s="13" t="n"/>
      <c r="G403" s="2" t="n"/>
      <c r="H403" s="2" t="n"/>
      <c r="I403" s="2" t="n"/>
      <c r="J403" s="2" t="n"/>
      <c r="K403" s="2" t="n"/>
    </row>
    <row r="404">
      <c r="A404" s="6" t="n"/>
      <c r="B404" s="14" t="n"/>
      <c r="C404" s="6" t="n"/>
      <c r="D404" s="6" t="n"/>
      <c r="E404" s="2">
        <f>IF($C404="","",IFERROR(INDEX(Units_Owners!$C$5:$C$504,MATCH($C404,Units_Owners!$A$5:$A$504,0)),""))</f>
        <v/>
      </c>
      <c r="F404" s="15" t="n"/>
      <c r="G404" s="6" t="n"/>
      <c r="H404" s="6" t="n"/>
      <c r="I404" s="6" t="n"/>
      <c r="J404" s="6" t="n"/>
      <c r="K404" s="6" t="n"/>
    </row>
    <row r="405">
      <c r="A405" s="2" t="n"/>
      <c r="B405" s="12" t="n"/>
      <c r="C405" s="2" t="n"/>
      <c r="D405" s="2" t="n"/>
      <c r="E405" s="2">
        <f>IF($C405="","",IFERROR(INDEX(Units_Owners!$C$5:$C$504,MATCH($C405,Units_Owners!$A$5:$A$504,0)),""))</f>
        <v/>
      </c>
      <c r="F405" s="13" t="n"/>
      <c r="G405" s="2" t="n"/>
      <c r="H405" s="2" t="n"/>
      <c r="I405" s="2" t="n"/>
      <c r="J405" s="2" t="n"/>
      <c r="K405" s="2" t="n"/>
    </row>
    <row r="406">
      <c r="A406" s="6" t="n"/>
      <c r="B406" s="14" t="n"/>
      <c r="C406" s="6" t="n"/>
      <c r="D406" s="6" t="n"/>
      <c r="E406" s="2">
        <f>IF($C406="","",IFERROR(INDEX(Units_Owners!$C$5:$C$504,MATCH($C406,Units_Owners!$A$5:$A$504,0)),""))</f>
        <v/>
      </c>
      <c r="F406" s="15" t="n"/>
      <c r="G406" s="6" t="n"/>
      <c r="H406" s="6" t="n"/>
      <c r="I406" s="6" t="n"/>
      <c r="J406" s="6" t="n"/>
      <c r="K406" s="6" t="n"/>
    </row>
    <row r="407">
      <c r="A407" s="2" t="n"/>
      <c r="B407" s="12" t="n"/>
      <c r="C407" s="2" t="n"/>
      <c r="D407" s="2" t="n"/>
      <c r="E407" s="2">
        <f>IF($C407="","",IFERROR(INDEX(Units_Owners!$C$5:$C$504,MATCH($C407,Units_Owners!$A$5:$A$504,0)),""))</f>
        <v/>
      </c>
      <c r="F407" s="13" t="n"/>
      <c r="G407" s="2" t="n"/>
      <c r="H407" s="2" t="n"/>
      <c r="I407" s="2" t="n"/>
      <c r="J407" s="2" t="n"/>
      <c r="K407" s="2" t="n"/>
    </row>
    <row r="408">
      <c r="A408" s="6" t="n"/>
      <c r="B408" s="14" t="n"/>
      <c r="C408" s="6" t="n"/>
      <c r="D408" s="6" t="n"/>
      <c r="E408" s="2">
        <f>IF($C408="","",IFERROR(INDEX(Units_Owners!$C$5:$C$504,MATCH($C408,Units_Owners!$A$5:$A$504,0)),""))</f>
        <v/>
      </c>
      <c r="F408" s="15" t="n"/>
      <c r="G408" s="6" t="n"/>
      <c r="H408" s="6" t="n"/>
      <c r="I408" s="6" t="n"/>
      <c r="J408" s="6" t="n"/>
      <c r="K408" s="6" t="n"/>
    </row>
    <row r="409">
      <c r="A409" s="2" t="n"/>
      <c r="B409" s="12" t="n"/>
      <c r="C409" s="2" t="n"/>
      <c r="D409" s="2" t="n"/>
      <c r="E409" s="2">
        <f>IF($C409="","",IFERROR(INDEX(Units_Owners!$C$5:$C$504,MATCH($C409,Units_Owners!$A$5:$A$504,0)),""))</f>
        <v/>
      </c>
      <c r="F409" s="13" t="n"/>
      <c r="G409" s="2" t="n"/>
      <c r="H409" s="2" t="n"/>
      <c r="I409" s="2" t="n"/>
      <c r="J409" s="2" t="n"/>
      <c r="K409" s="2" t="n"/>
    </row>
    <row r="410">
      <c r="A410" s="6" t="n"/>
      <c r="B410" s="14" t="n"/>
      <c r="C410" s="6" t="n"/>
      <c r="D410" s="6" t="n"/>
      <c r="E410" s="2">
        <f>IF($C410="","",IFERROR(INDEX(Units_Owners!$C$5:$C$504,MATCH($C410,Units_Owners!$A$5:$A$504,0)),""))</f>
        <v/>
      </c>
      <c r="F410" s="15" t="n"/>
      <c r="G410" s="6" t="n"/>
      <c r="H410" s="6" t="n"/>
      <c r="I410" s="6" t="n"/>
      <c r="J410" s="6" t="n"/>
      <c r="K410" s="6" t="n"/>
    </row>
    <row r="411">
      <c r="A411" s="2" t="n"/>
      <c r="B411" s="12" t="n"/>
      <c r="C411" s="2" t="n"/>
      <c r="D411" s="2" t="n"/>
      <c r="E411" s="2">
        <f>IF($C411="","",IFERROR(INDEX(Units_Owners!$C$5:$C$504,MATCH($C411,Units_Owners!$A$5:$A$504,0)),""))</f>
        <v/>
      </c>
      <c r="F411" s="13" t="n"/>
      <c r="G411" s="2" t="n"/>
      <c r="H411" s="2" t="n"/>
      <c r="I411" s="2" t="n"/>
      <c r="J411" s="2" t="n"/>
      <c r="K411" s="2" t="n"/>
    </row>
    <row r="412">
      <c r="A412" s="6" t="n"/>
      <c r="B412" s="14" t="n"/>
      <c r="C412" s="6" t="n"/>
      <c r="D412" s="6" t="n"/>
      <c r="E412" s="2">
        <f>IF($C412="","",IFERROR(INDEX(Units_Owners!$C$5:$C$504,MATCH($C412,Units_Owners!$A$5:$A$504,0)),""))</f>
        <v/>
      </c>
      <c r="F412" s="15" t="n"/>
      <c r="G412" s="6" t="n"/>
      <c r="H412" s="6" t="n"/>
      <c r="I412" s="6" t="n"/>
      <c r="J412" s="6" t="n"/>
      <c r="K412" s="6" t="n"/>
    </row>
    <row r="413">
      <c r="A413" s="2" t="n"/>
      <c r="B413" s="12" t="n"/>
      <c r="C413" s="2" t="n"/>
      <c r="D413" s="2" t="n"/>
      <c r="E413" s="2">
        <f>IF($C413="","",IFERROR(INDEX(Units_Owners!$C$5:$C$504,MATCH($C413,Units_Owners!$A$5:$A$504,0)),""))</f>
        <v/>
      </c>
      <c r="F413" s="13" t="n"/>
      <c r="G413" s="2" t="n"/>
      <c r="H413" s="2" t="n"/>
      <c r="I413" s="2" t="n"/>
      <c r="J413" s="2" t="n"/>
      <c r="K413" s="2" t="n"/>
    </row>
    <row r="414">
      <c r="A414" s="6" t="n"/>
      <c r="B414" s="14" t="n"/>
      <c r="C414" s="6" t="n"/>
      <c r="D414" s="6" t="n"/>
      <c r="E414" s="2">
        <f>IF($C414="","",IFERROR(INDEX(Units_Owners!$C$5:$C$504,MATCH($C414,Units_Owners!$A$5:$A$504,0)),""))</f>
        <v/>
      </c>
      <c r="F414" s="15" t="n"/>
      <c r="G414" s="6" t="n"/>
      <c r="H414" s="6" t="n"/>
      <c r="I414" s="6" t="n"/>
      <c r="J414" s="6" t="n"/>
      <c r="K414" s="6" t="n"/>
    </row>
    <row r="415">
      <c r="A415" s="2" t="n"/>
      <c r="B415" s="12" t="n"/>
      <c r="C415" s="2" t="n"/>
      <c r="D415" s="2" t="n"/>
      <c r="E415" s="2">
        <f>IF($C415="","",IFERROR(INDEX(Units_Owners!$C$5:$C$504,MATCH($C415,Units_Owners!$A$5:$A$504,0)),""))</f>
        <v/>
      </c>
      <c r="F415" s="13" t="n"/>
      <c r="G415" s="2" t="n"/>
      <c r="H415" s="2" t="n"/>
      <c r="I415" s="2" t="n"/>
      <c r="J415" s="2" t="n"/>
      <c r="K415" s="2" t="n"/>
    </row>
    <row r="416">
      <c r="A416" s="6" t="n"/>
      <c r="B416" s="14" t="n"/>
      <c r="C416" s="6" t="n"/>
      <c r="D416" s="6" t="n"/>
      <c r="E416" s="2">
        <f>IF($C416="","",IFERROR(INDEX(Units_Owners!$C$5:$C$504,MATCH($C416,Units_Owners!$A$5:$A$504,0)),""))</f>
        <v/>
      </c>
      <c r="F416" s="15" t="n"/>
      <c r="G416" s="6" t="n"/>
      <c r="H416" s="6" t="n"/>
      <c r="I416" s="6" t="n"/>
      <c r="J416" s="6" t="n"/>
      <c r="K416" s="6" t="n"/>
    </row>
    <row r="417">
      <c r="A417" s="2" t="n"/>
      <c r="B417" s="12" t="n"/>
      <c r="C417" s="2" t="n"/>
      <c r="D417" s="2" t="n"/>
      <c r="E417" s="2">
        <f>IF($C417="","",IFERROR(INDEX(Units_Owners!$C$5:$C$504,MATCH($C417,Units_Owners!$A$5:$A$504,0)),""))</f>
        <v/>
      </c>
      <c r="F417" s="13" t="n"/>
      <c r="G417" s="2" t="n"/>
      <c r="H417" s="2" t="n"/>
      <c r="I417" s="2" t="n"/>
      <c r="J417" s="2" t="n"/>
      <c r="K417" s="2" t="n"/>
    </row>
    <row r="418">
      <c r="A418" s="6" t="n"/>
      <c r="B418" s="14" t="n"/>
      <c r="C418" s="6" t="n"/>
      <c r="D418" s="6" t="n"/>
      <c r="E418" s="2">
        <f>IF($C418="","",IFERROR(INDEX(Units_Owners!$C$5:$C$504,MATCH($C418,Units_Owners!$A$5:$A$504,0)),""))</f>
        <v/>
      </c>
      <c r="F418" s="15" t="n"/>
      <c r="G418" s="6" t="n"/>
      <c r="H418" s="6" t="n"/>
      <c r="I418" s="6" t="n"/>
      <c r="J418" s="6" t="n"/>
      <c r="K418" s="6" t="n"/>
    </row>
    <row r="419">
      <c r="A419" s="2" t="n"/>
      <c r="B419" s="12" t="n"/>
      <c r="C419" s="2" t="n"/>
      <c r="D419" s="2" t="n"/>
      <c r="E419" s="2">
        <f>IF($C419="","",IFERROR(INDEX(Units_Owners!$C$5:$C$504,MATCH($C419,Units_Owners!$A$5:$A$504,0)),""))</f>
        <v/>
      </c>
      <c r="F419" s="13" t="n"/>
      <c r="G419" s="2" t="n"/>
      <c r="H419" s="2" t="n"/>
      <c r="I419" s="2" t="n"/>
      <c r="J419" s="2" t="n"/>
      <c r="K419" s="2" t="n"/>
    </row>
    <row r="420">
      <c r="A420" s="6" t="n"/>
      <c r="B420" s="14" t="n"/>
      <c r="C420" s="6" t="n"/>
      <c r="D420" s="6" t="n"/>
      <c r="E420" s="2">
        <f>IF($C420="","",IFERROR(INDEX(Units_Owners!$C$5:$C$504,MATCH($C420,Units_Owners!$A$5:$A$504,0)),""))</f>
        <v/>
      </c>
      <c r="F420" s="15" t="n"/>
      <c r="G420" s="6" t="n"/>
      <c r="H420" s="6" t="n"/>
      <c r="I420" s="6" t="n"/>
      <c r="J420" s="6" t="n"/>
      <c r="K420" s="6" t="n"/>
    </row>
    <row r="421">
      <c r="A421" s="2" t="n"/>
      <c r="B421" s="12" t="n"/>
      <c r="C421" s="2" t="n"/>
      <c r="D421" s="2" t="n"/>
      <c r="E421" s="2">
        <f>IF($C421="","",IFERROR(INDEX(Units_Owners!$C$5:$C$504,MATCH($C421,Units_Owners!$A$5:$A$504,0)),""))</f>
        <v/>
      </c>
      <c r="F421" s="13" t="n"/>
      <c r="G421" s="2" t="n"/>
      <c r="H421" s="2" t="n"/>
      <c r="I421" s="2" t="n"/>
      <c r="J421" s="2" t="n"/>
      <c r="K421" s="2" t="n"/>
    </row>
    <row r="422">
      <c r="A422" s="6" t="n"/>
      <c r="B422" s="14" t="n"/>
      <c r="C422" s="6" t="n"/>
      <c r="D422" s="6" t="n"/>
      <c r="E422" s="2">
        <f>IF($C422="","",IFERROR(INDEX(Units_Owners!$C$5:$C$504,MATCH($C422,Units_Owners!$A$5:$A$504,0)),""))</f>
        <v/>
      </c>
      <c r="F422" s="15" t="n"/>
      <c r="G422" s="6" t="n"/>
      <c r="H422" s="6" t="n"/>
      <c r="I422" s="6" t="n"/>
      <c r="J422" s="6" t="n"/>
      <c r="K422" s="6" t="n"/>
    </row>
    <row r="423">
      <c r="A423" s="2" t="n"/>
      <c r="B423" s="12" t="n"/>
      <c r="C423" s="2" t="n"/>
      <c r="D423" s="2" t="n"/>
      <c r="E423" s="2">
        <f>IF($C423="","",IFERROR(INDEX(Units_Owners!$C$5:$C$504,MATCH($C423,Units_Owners!$A$5:$A$504,0)),""))</f>
        <v/>
      </c>
      <c r="F423" s="13" t="n"/>
      <c r="G423" s="2" t="n"/>
      <c r="H423" s="2" t="n"/>
      <c r="I423" s="2" t="n"/>
      <c r="J423" s="2" t="n"/>
      <c r="K423" s="2" t="n"/>
    </row>
    <row r="424">
      <c r="A424" s="6" t="n"/>
      <c r="B424" s="14" t="n"/>
      <c r="C424" s="6" t="n"/>
      <c r="D424" s="6" t="n"/>
      <c r="E424" s="2">
        <f>IF($C424="","",IFERROR(INDEX(Units_Owners!$C$5:$C$504,MATCH($C424,Units_Owners!$A$5:$A$504,0)),""))</f>
        <v/>
      </c>
      <c r="F424" s="15" t="n"/>
      <c r="G424" s="6" t="n"/>
      <c r="H424" s="6" t="n"/>
      <c r="I424" s="6" t="n"/>
      <c r="J424" s="6" t="n"/>
      <c r="K424" s="6" t="n"/>
    </row>
    <row r="425">
      <c r="A425" s="2" t="n"/>
      <c r="B425" s="12" t="n"/>
      <c r="C425" s="2" t="n"/>
      <c r="D425" s="2" t="n"/>
      <c r="E425" s="2">
        <f>IF($C425="","",IFERROR(INDEX(Units_Owners!$C$5:$C$504,MATCH($C425,Units_Owners!$A$5:$A$504,0)),""))</f>
        <v/>
      </c>
      <c r="F425" s="13" t="n"/>
      <c r="G425" s="2" t="n"/>
      <c r="H425" s="2" t="n"/>
      <c r="I425" s="2" t="n"/>
      <c r="J425" s="2" t="n"/>
      <c r="K425" s="2" t="n"/>
    </row>
    <row r="426">
      <c r="A426" s="6" t="n"/>
      <c r="B426" s="14" t="n"/>
      <c r="C426" s="6" t="n"/>
      <c r="D426" s="6" t="n"/>
      <c r="E426" s="2">
        <f>IF($C426="","",IFERROR(INDEX(Units_Owners!$C$5:$C$504,MATCH($C426,Units_Owners!$A$5:$A$504,0)),""))</f>
        <v/>
      </c>
      <c r="F426" s="15" t="n"/>
      <c r="G426" s="6" t="n"/>
      <c r="H426" s="6" t="n"/>
      <c r="I426" s="6" t="n"/>
      <c r="J426" s="6" t="n"/>
      <c r="K426" s="6" t="n"/>
    </row>
    <row r="427">
      <c r="A427" s="2" t="n"/>
      <c r="B427" s="12" t="n"/>
      <c r="C427" s="2" t="n"/>
      <c r="D427" s="2" t="n"/>
      <c r="E427" s="2">
        <f>IF($C427="","",IFERROR(INDEX(Units_Owners!$C$5:$C$504,MATCH($C427,Units_Owners!$A$5:$A$504,0)),""))</f>
        <v/>
      </c>
      <c r="F427" s="13" t="n"/>
      <c r="G427" s="2" t="n"/>
      <c r="H427" s="2" t="n"/>
      <c r="I427" s="2" t="n"/>
      <c r="J427" s="2" t="n"/>
      <c r="K427" s="2" t="n"/>
    </row>
    <row r="428">
      <c r="A428" s="6" t="n"/>
      <c r="B428" s="14" t="n"/>
      <c r="C428" s="6" t="n"/>
      <c r="D428" s="6" t="n"/>
      <c r="E428" s="2">
        <f>IF($C428="","",IFERROR(INDEX(Units_Owners!$C$5:$C$504,MATCH($C428,Units_Owners!$A$5:$A$504,0)),""))</f>
        <v/>
      </c>
      <c r="F428" s="15" t="n"/>
      <c r="G428" s="6" t="n"/>
      <c r="H428" s="6" t="n"/>
      <c r="I428" s="6" t="n"/>
      <c r="J428" s="6" t="n"/>
      <c r="K428" s="6" t="n"/>
    </row>
    <row r="429">
      <c r="A429" s="2" t="n"/>
      <c r="B429" s="12" t="n"/>
      <c r="C429" s="2" t="n"/>
      <c r="D429" s="2" t="n"/>
      <c r="E429" s="2">
        <f>IF($C429="","",IFERROR(INDEX(Units_Owners!$C$5:$C$504,MATCH($C429,Units_Owners!$A$5:$A$504,0)),""))</f>
        <v/>
      </c>
      <c r="F429" s="13" t="n"/>
      <c r="G429" s="2" t="n"/>
      <c r="H429" s="2" t="n"/>
      <c r="I429" s="2" t="n"/>
      <c r="J429" s="2" t="n"/>
      <c r="K429" s="2" t="n"/>
    </row>
    <row r="430">
      <c r="A430" s="6" t="n"/>
      <c r="B430" s="14" t="n"/>
      <c r="C430" s="6" t="n"/>
      <c r="D430" s="6" t="n"/>
      <c r="E430" s="2">
        <f>IF($C430="","",IFERROR(INDEX(Units_Owners!$C$5:$C$504,MATCH($C430,Units_Owners!$A$5:$A$504,0)),""))</f>
        <v/>
      </c>
      <c r="F430" s="15" t="n"/>
      <c r="G430" s="6" t="n"/>
      <c r="H430" s="6" t="n"/>
      <c r="I430" s="6" t="n"/>
      <c r="J430" s="6" t="n"/>
      <c r="K430" s="6" t="n"/>
    </row>
    <row r="431">
      <c r="A431" s="2" t="n"/>
      <c r="B431" s="12" t="n"/>
      <c r="C431" s="2" t="n"/>
      <c r="D431" s="2" t="n"/>
      <c r="E431" s="2">
        <f>IF($C431="","",IFERROR(INDEX(Units_Owners!$C$5:$C$504,MATCH($C431,Units_Owners!$A$5:$A$504,0)),""))</f>
        <v/>
      </c>
      <c r="F431" s="13" t="n"/>
      <c r="G431" s="2" t="n"/>
      <c r="H431" s="2" t="n"/>
      <c r="I431" s="2" t="n"/>
      <c r="J431" s="2" t="n"/>
      <c r="K431" s="2" t="n"/>
    </row>
    <row r="432">
      <c r="A432" s="6" t="n"/>
      <c r="B432" s="14" t="n"/>
      <c r="C432" s="6" t="n"/>
      <c r="D432" s="6" t="n"/>
      <c r="E432" s="2">
        <f>IF($C432="","",IFERROR(INDEX(Units_Owners!$C$5:$C$504,MATCH($C432,Units_Owners!$A$5:$A$504,0)),""))</f>
        <v/>
      </c>
      <c r="F432" s="15" t="n"/>
      <c r="G432" s="6" t="n"/>
      <c r="H432" s="6" t="n"/>
      <c r="I432" s="6" t="n"/>
      <c r="J432" s="6" t="n"/>
      <c r="K432" s="6" t="n"/>
    </row>
    <row r="433">
      <c r="A433" s="2" t="n"/>
      <c r="B433" s="12" t="n"/>
      <c r="C433" s="2" t="n"/>
      <c r="D433" s="2" t="n"/>
      <c r="E433" s="2">
        <f>IF($C433="","",IFERROR(INDEX(Units_Owners!$C$5:$C$504,MATCH($C433,Units_Owners!$A$5:$A$504,0)),""))</f>
        <v/>
      </c>
      <c r="F433" s="13" t="n"/>
      <c r="G433" s="2" t="n"/>
      <c r="H433" s="2" t="n"/>
      <c r="I433" s="2" t="n"/>
      <c r="J433" s="2" t="n"/>
      <c r="K433" s="2" t="n"/>
    </row>
    <row r="434">
      <c r="A434" s="6" t="n"/>
      <c r="B434" s="14" t="n"/>
      <c r="C434" s="6" t="n"/>
      <c r="D434" s="6" t="n"/>
      <c r="E434" s="2">
        <f>IF($C434="","",IFERROR(INDEX(Units_Owners!$C$5:$C$504,MATCH($C434,Units_Owners!$A$5:$A$504,0)),""))</f>
        <v/>
      </c>
      <c r="F434" s="15" t="n"/>
      <c r="G434" s="6" t="n"/>
      <c r="H434" s="6" t="n"/>
      <c r="I434" s="6" t="n"/>
      <c r="J434" s="6" t="n"/>
      <c r="K434" s="6" t="n"/>
    </row>
    <row r="435">
      <c r="A435" s="2" t="n"/>
      <c r="B435" s="12" t="n"/>
      <c r="C435" s="2" t="n"/>
      <c r="D435" s="2" t="n"/>
      <c r="E435" s="2">
        <f>IF($C435="","",IFERROR(INDEX(Units_Owners!$C$5:$C$504,MATCH($C435,Units_Owners!$A$5:$A$504,0)),""))</f>
        <v/>
      </c>
      <c r="F435" s="13" t="n"/>
      <c r="G435" s="2" t="n"/>
      <c r="H435" s="2" t="n"/>
      <c r="I435" s="2" t="n"/>
      <c r="J435" s="2" t="n"/>
      <c r="K435" s="2" t="n"/>
    </row>
    <row r="436">
      <c r="A436" s="6" t="n"/>
      <c r="B436" s="14" t="n"/>
      <c r="C436" s="6" t="n"/>
      <c r="D436" s="6" t="n"/>
      <c r="E436" s="2">
        <f>IF($C436="","",IFERROR(INDEX(Units_Owners!$C$5:$C$504,MATCH($C436,Units_Owners!$A$5:$A$504,0)),""))</f>
        <v/>
      </c>
      <c r="F436" s="15" t="n"/>
      <c r="G436" s="6" t="n"/>
      <c r="H436" s="6" t="n"/>
      <c r="I436" s="6" t="n"/>
      <c r="J436" s="6" t="n"/>
      <c r="K436" s="6" t="n"/>
    </row>
    <row r="437">
      <c r="A437" s="2" t="n"/>
      <c r="B437" s="12" t="n"/>
      <c r="C437" s="2" t="n"/>
      <c r="D437" s="2" t="n"/>
      <c r="E437" s="2">
        <f>IF($C437="","",IFERROR(INDEX(Units_Owners!$C$5:$C$504,MATCH($C437,Units_Owners!$A$5:$A$504,0)),""))</f>
        <v/>
      </c>
      <c r="F437" s="13" t="n"/>
      <c r="G437" s="2" t="n"/>
      <c r="H437" s="2" t="n"/>
      <c r="I437" s="2" t="n"/>
      <c r="J437" s="2" t="n"/>
      <c r="K437" s="2" t="n"/>
    </row>
    <row r="438">
      <c r="A438" s="6" t="n"/>
      <c r="B438" s="14" t="n"/>
      <c r="C438" s="6" t="n"/>
      <c r="D438" s="6" t="n"/>
      <c r="E438" s="2">
        <f>IF($C438="","",IFERROR(INDEX(Units_Owners!$C$5:$C$504,MATCH($C438,Units_Owners!$A$5:$A$504,0)),""))</f>
        <v/>
      </c>
      <c r="F438" s="15" t="n"/>
      <c r="G438" s="6" t="n"/>
      <c r="H438" s="6" t="n"/>
      <c r="I438" s="6" t="n"/>
      <c r="J438" s="6" t="n"/>
      <c r="K438" s="6" t="n"/>
    </row>
    <row r="439">
      <c r="A439" s="2" t="n"/>
      <c r="B439" s="12" t="n"/>
      <c r="C439" s="2" t="n"/>
      <c r="D439" s="2" t="n"/>
      <c r="E439" s="2">
        <f>IF($C439="","",IFERROR(INDEX(Units_Owners!$C$5:$C$504,MATCH($C439,Units_Owners!$A$5:$A$504,0)),""))</f>
        <v/>
      </c>
      <c r="F439" s="13" t="n"/>
      <c r="G439" s="2" t="n"/>
      <c r="H439" s="2" t="n"/>
      <c r="I439" s="2" t="n"/>
      <c r="J439" s="2" t="n"/>
      <c r="K439" s="2" t="n"/>
    </row>
    <row r="440">
      <c r="A440" s="6" t="n"/>
      <c r="B440" s="14" t="n"/>
      <c r="C440" s="6" t="n"/>
      <c r="D440" s="6" t="n"/>
      <c r="E440" s="2">
        <f>IF($C440="","",IFERROR(INDEX(Units_Owners!$C$5:$C$504,MATCH($C440,Units_Owners!$A$5:$A$504,0)),""))</f>
        <v/>
      </c>
      <c r="F440" s="15" t="n"/>
      <c r="G440" s="6" t="n"/>
      <c r="H440" s="6" t="n"/>
      <c r="I440" s="6" t="n"/>
      <c r="J440" s="6" t="n"/>
      <c r="K440" s="6" t="n"/>
    </row>
    <row r="441">
      <c r="A441" s="2" t="n"/>
      <c r="B441" s="12" t="n"/>
      <c r="C441" s="2" t="n"/>
      <c r="D441" s="2" t="n"/>
      <c r="E441" s="2">
        <f>IF($C441="","",IFERROR(INDEX(Units_Owners!$C$5:$C$504,MATCH($C441,Units_Owners!$A$5:$A$504,0)),""))</f>
        <v/>
      </c>
      <c r="F441" s="13" t="n"/>
      <c r="G441" s="2" t="n"/>
      <c r="H441" s="2" t="n"/>
      <c r="I441" s="2" t="n"/>
      <c r="J441" s="2" t="n"/>
      <c r="K441" s="2" t="n"/>
    </row>
    <row r="442">
      <c r="A442" s="6" t="n"/>
      <c r="B442" s="14" t="n"/>
      <c r="C442" s="6" t="n"/>
      <c r="D442" s="6" t="n"/>
      <c r="E442" s="2">
        <f>IF($C442="","",IFERROR(INDEX(Units_Owners!$C$5:$C$504,MATCH($C442,Units_Owners!$A$5:$A$504,0)),""))</f>
        <v/>
      </c>
      <c r="F442" s="15" t="n"/>
      <c r="G442" s="6" t="n"/>
      <c r="H442" s="6" t="n"/>
      <c r="I442" s="6" t="n"/>
      <c r="J442" s="6" t="n"/>
      <c r="K442" s="6" t="n"/>
    </row>
    <row r="443">
      <c r="A443" s="2" t="n"/>
      <c r="B443" s="12" t="n"/>
      <c r="C443" s="2" t="n"/>
      <c r="D443" s="2" t="n"/>
      <c r="E443" s="2">
        <f>IF($C443="","",IFERROR(INDEX(Units_Owners!$C$5:$C$504,MATCH($C443,Units_Owners!$A$5:$A$504,0)),""))</f>
        <v/>
      </c>
      <c r="F443" s="13" t="n"/>
      <c r="G443" s="2" t="n"/>
      <c r="H443" s="2" t="n"/>
      <c r="I443" s="2" t="n"/>
      <c r="J443" s="2" t="n"/>
      <c r="K443" s="2" t="n"/>
    </row>
    <row r="444">
      <c r="A444" s="6" t="n"/>
      <c r="B444" s="14" t="n"/>
      <c r="C444" s="6" t="n"/>
      <c r="D444" s="6" t="n"/>
      <c r="E444" s="2">
        <f>IF($C444="","",IFERROR(INDEX(Units_Owners!$C$5:$C$504,MATCH($C444,Units_Owners!$A$5:$A$504,0)),""))</f>
        <v/>
      </c>
      <c r="F444" s="15" t="n"/>
      <c r="G444" s="6" t="n"/>
      <c r="H444" s="6" t="n"/>
      <c r="I444" s="6" t="n"/>
      <c r="J444" s="6" t="n"/>
      <c r="K444" s="6" t="n"/>
    </row>
    <row r="445">
      <c r="A445" s="2" t="n"/>
      <c r="B445" s="12" t="n"/>
      <c r="C445" s="2" t="n"/>
      <c r="D445" s="2" t="n"/>
      <c r="E445" s="2">
        <f>IF($C445="","",IFERROR(INDEX(Units_Owners!$C$5:$C$504,MATCH($C445,Units_Owners!$A$5:$A$504,0)),""))</f>
        <v/>
      </c>
      <c r="F445" s="13" t="n"/>
      <c r="G445" s="2" t="n"/>
      <c r="H445" s="2" t="n"/>
      <c r="I445" s="2" t="n"/>
      <c r="J445" s="2" t="n"/>
      <c r="K445" s="2" t="n"/>
    </row>
    <row r="446">
      <c r="A446" s="6" t="n"/>
      <c r="B446" s="14" t="n"/>
      <c r="C446" s="6" t="n"/>
      <c r="D446" s="6" t="n"/>
      <c r="E446" s="2">
        <f>IF($C446="","",IFERROR(INDEX(Units_Owners!$C$5:$C$504,MATCH($C446,Units_Owners!$A$5:$A$504,0)),""))</f>
        <v/>
      </c>
      <c r="F446" s="15" t="n"/>
      <c r="G446" s="6" t="n"/>
      <c r="H446" s="6" t="n"/>
      <c r="I446" s="6" t="n"/>
      <c r="J446" s="6" t="n"/>
      <c r="K446" s="6" t="n"/>
    </row>
    <row r="447">
      <c r="A447" s="2" t="n"/>
      <c r="B447" s="12" t="n"/>
      <c r="C447" s="2" t="n"/>
      <c r="D447" s="2" t="n"/>
      <c r="E447" s="2">
        <f>IF($C447="","",IFERROR(INDEX(Units_Owners!$C$5:$C$504,MATCH($C447,Units_Owners!$A$5:$A$504,0)),""))</f>
        <v/>
      </c>
      <c r="F447" s="13" t="n"/>
      <c r="G447" s="2" t="n"/>
      <c r="H447" s="2" t="n"/>
      <c r="I447" s="2" t="n"/>
      <c r="J447" s="2" t="n"/>
      <c r="K447" s="2" t="n"/>
    </row>
    <row r="448">
      <c r="A448" s="6" t="n"/>
      <c r="B448" s="14" t="n"/>
      <c r="C448" s="6" t="n"/>
      <c r="D448" s="6" t="n"/>
      <c r="E448" s="2">
        <f>IF($C448="","",IFERROR(INDEX(Units_Owners!$C$5:$C$504,MATCH($C448,Units_Owners!$A$5:$A$504,0)),""))</f>
        <v/>
      </c>
      <c r="F448" s="15" t="n"/>
      <c r="G448" s="6" t="n"/>
      <c r="H448" s="6" t="n"/>
      <c r="I448" s="6" t="n"/>
      <c r="J448" s="6" t="n"/>
      <c r="K448" s="6" t="n"/>
    </row>
    <row r="449">
      <c r="A449" s="2" t="n"/>
      <c r="B449" s="12" t="n"/>
      <c r="C449" s="2" t="n"/>
      <c r="D449" s="2" t="n"/>
      <c r="E449" s="2">
        <f>IF($C449="","",IFERROR(INDEX(Units_Owners!$C$5:$C$504,MATCH($C449,Units_Owners!$A$5:$A$504,0)),""))</f>
        <v/>
      </c>
      <c r="F449" s="13" t="n"/>
      <c r="G449" s="2" t="n"/>
      <c r="H449" s="2" t="n"/>
      <c r="I449" s="2" t="n"/>
      <c r="J449" s="2" t="n"/>
      <c r="K449" s="2" t="n"/>
    </row>
    <row r="450">
      <c r="A450" s="6" t="n"/>
      <c r="B450" s="14" t="n"/>
      <c r="C450" s="6" t="n"/>
      <c r="D450" s="6" t="n"/>
      <c r="E450" s="2">
        <f>IF($C450="","",IFERROR(INDEX(Units_Owners!$C$5:$C$504,MATCH($C450,Units_Owners!$A$5:$A$504,0)),""))</f>
        <v/>
      </c>
      <c r="F450" s="15" t="n"/>
      <c r="G450" s="6" t="n"/>
      <c r="H450" s="6" t="n"/>
      <c r="I450" s="6" t="n"/>
      <c r="J450" s="6" t="n"/>
      <c r="K450" s="6" t="n"/>
    </row>
    <row r="451">
      <c r="A451" s="2" t="n"/>
      <c r="B451" s="12" t="n"/>
      <c r="C451" s="2" t="n"/>
      <c r="D451" s="2" t="n"/>
      <c r="E451" s="2">
        <f>IF($C451="","",IFERROR(INDEX(Units_Owners!$C$5:$C$504,MATCH($C451,Units_Owners!$A$5:$A$504,0)),""))</f>
        <v/>
      </c>
      <c r="F451" s="13" t="n"/>
      <c r="G451" s="2" t="n"/>
      <c r="H451" s="2" t="n"/>
      <c r="I451" s="2" t="n"/>
      <c r="J451" s="2" t="n"/>
      <c r="K451" s="2" t="n"/>
    </row>
    <row r="452">
      <c r="A452" s="6" t="n"/>
      <c r="B452" s="14" t="n"/>
      <c r="C452" s="6" t="n"/>
      <c r="D452" s="6" t="n"/>
      <c r="E452" s="2">
        <f>IF($C452="","",IFERROR(INDEX(Units_Owners!$C$5:$C$504,MATCH($C452,Units_Owners!$A$5:$A$504,0)),""))</f>
        <v/>
      </c>
      <c r="F452" s="15" t="n"/>
      <c r="G452" s="6" t="n"/>
      <c r="H452" s="6" t="n"/>
      <c r="I452" s="6" t="n"/>
      <c r="J452" s="6" t="n"/>
      <c r="K452" s="6" t="n"/>
    </row>
    <row r="453">
      <c r="A453" s="2" t="n"/>
      <c r="B453" s="12" t="n"/>
      <c r="C453" s="2" t="n"/>
      <c r="D453" s="2" t="n"/>
      <c r="E453" s="2">
        <f>IF($C453="","",IFERROR(INDEX(Units_Owners!$C$5:$C$504,MATCH($C453,Units_Owners!$A$5:$A$504,0)),""))</f>
        <v/>
      </c>
      <c r="F453" s="13" t="n"/>
      <c r="G453" s="2" t="n"/>
      <c r="H453" s="2" t="n"/>
      <c r="I453" s="2" t="n"/>
      <c r="J453" s="2" t="n"/>
      <c r="K453" s="2" t="n"/>
    </row>
    <row r="454">
      <c r="A454" s="6" t="n"/>
      <c r="B454" s="14" t="n"/>
      <c r="C454" s="6" t="n"/>
      <c r="D454" s="6" t="n"/>
      <c r="E454" s="2">
        <f>IF($C454="","",IFERROR(INDEX(Units_Owners!$C$5:$C$504,MATCH($C454,Units_Owners!$A$5:$A$504,0)),""))</f>
        <v/>
      </c>
      <c r="F454" s="15" t="n"/>
      <c r="G454" s="6" t="n"/>
      <c r="H454" s="6" t="n"/>
      <c r="I454" s="6" t="n"/>
      <c r="J454" s="6" t="n"/>
      <c r="K454" s="6" t="n"/>
    </row>
    <row r="455">
      <c r="A455" s="2" t="n"/>
      <c r="B455" s="12" t="n"/>
      <c r="C455" s="2" t="n"/>
      <c r="D455" s="2" t="n"/>
      <c r="E455" s="2">
        <f>IF($C455="","",IFERROR(INDEX(Units_Owners!$C$5:$C$504,MATCH($C455,Units_Owners!$A$5:$A$504,0)),""))</f>
        <v/>
      </c>
      <c r="F455" s="13" t="n"/>
      <c r="G455" s="2" t="n"/>
      <c r="H455" s="2" t="n"/>
      <c r="I455" s="2" t="n"/>
      <c r="J455" s="2" t="n"/>
      <c r="K455" s="2" t="n"/>
    </row>
    <row r="456">
      <c r="A456" s="6" t="n"/>
      <c r="B456" s="14" t="n"/>
      <c r="C456" s="6" t="n"/>
      <c r="D456" s="6" t="n"/>
      <c r="E456" s="2">
        <f>IF($C456="","",IFERROR(INDEX(Units_Owners!$C$5:$C$504,MATCH($C456,Units_Owners!$A$5:$A$504,0)),""))</f>
        <v/>
      </c>
      <c r="F456" s="15" t="n"/>
      <c r="G456" s="6" t="n"/>
      <c r="H456" s="6" t="n"/>
      <c r="I456" s="6" t="n"/>
      <c r="J456" s="6" t="n"/>
      <c r="K456" s="6" t="n"/>
    </row>
    <row r="457">
      <c r="A457" s="2" t="n"/>
      <c r="B457" s="12" t="n"/>
      <c r="C457" s="2" t="n"/>
      <c r="D457" s="2" t="n"/>
      <c r="E457" s="2">
        <f>IF($C457="","",IFERROR(INDEX(Units_Owners!$C$5:$C$504,MATCH($C457,Units_Owners!$A$5:$A$504,0)),""))</f>
        <v/>
      </c>
      <c r="F457" s="13" t="n"/>
      <c r="G457" s="2" t="n"/>
      <c r="H457" s="2" t="n"/>
      <c r="I457" s="2" t="n"/>
      <c r="J457" s="2" t="n"/>
      <c r="K457" s="2" t="n"/>
    </row>
    <row r="458">
      <c r="A458" s="6" t="n"/>
      <c r="B458" s="14" t="n"/>
      <c r="C458" s="6" t="n"/>
      <c r="D458" s="6" t="n"/>
      <c r="E458" s="2">
        <f>IF($C458="","",IFERROR(INDEX(Units_Owners!$C$5:$C$504,MATCH($C458,Units_Owners!$A$5:$A$504,0)),""))</f>
        <v/>
      </c>
      <c r="F458" s="15" t="n"/>
      <c r="G458" s="6" t="n"/>
      <c r="H458" s="6" t="n"/>
      <c r="I458" s="6" t="n"/>
      <c r="J458" s="6" t="n"/>
      <c r="K458" s="6" t="n"/>
    </row>
    <row r="459">
      <c r="A459" s="2" t="n"/>
      <c r="B459" s="12" t="n"/>
      <c r="C459" s="2" t="n"/>
      <c r="D459" s="2" t="n"/>
      <c r="E459" s="2">
        <f>IF($C459="","",IFERROR(INDEX(Units_Owners!$C$5:$C$504,MATCH($C459,Units_Owners!$A$5:$A$504,0)),""))</f>
        <v/>
      </c>
      <c r="F459" s="13" t="n"/>
      <c r="G459" s="2" t="n"/>
      <c r="H459" s="2" t="n"/>
      <c r="I459" s="2" t="n"/>
      <c r="J459" s="2" t="n"/>
      <c r="K459" s="2" t="n"/>
    </row>
    <row r="460">
      <c r="A460" s="6" t="n"/>
      <c r="B460" s="14" t="n"/>
      <c r="C460" s="6" t="n"/>
      <c r="D460" s="6" t="n"/>
      <c r="E460" s="2">
        <f>IF($C460="","",IFERROR(INDEX(Units_Owners!$C$5:$C$504,MATCH($C460,Units_Owners!$A$5:$A$504,0)),""))</f>
        <v/>
      </c>
      <c r="F460" s="15" t="n"/>
      <c r="G460" s="6" t="n"/>
      <c r="H460" s="6" t="n"/>
      <c r="I460" s="6" t="n"/>
      <c r="J460" s="6" t="n"/>
      <c r="K460" s="6" t="n"/>
    </row>
    <row r="461">
      <c r="A461" s="2" t="n"/>
      <c r="B461" s="12" t="n"/>
      <c r="C461" s="2" t="n"/>
      <c r="D461" s="2" t="n"/>
      <c r="E461" s="2">
        <f>IF($C461="","",IFERROR(INDEX(Units_Owners!$C$5:$C$504,MATCH($C461,Units_Owners!$A$5:$A$504,0)),""))</f>
        <v/>
      </c>
      <c r="F461" s="13" t="n"/>
      <c r="G461" s="2" t="n"/>
      <c r="H461" s="2" t="n"/>
      <c r="I461" s="2" t="n"/>
      <c r="J461" s="2" t="n"/>
      <c r="K461" s="2" t="n"/>
    </row>
    <row r="462">
      <c r="A462" s="6" t="n"/>
      <c r="B462" s="14" t="n"/>
      <c r="C462" s="6" t="n"/>
      <c r="D462" s="6" t="n"/>
      <c r="E462" s="2">
        <f>IF($C462="","",IFERROR(INDEX(Units_Owners!$C$5:$C$504,MATCH($C462,Units_Owners!$A$5:$A$504,0)),""))</f>
        <v/>
      </c>
      <c r="F462" s="15" t="n"/>
      <c r="G462" s="6" t="n"/>
      <c r="H462" s="6" t="n"/>
      <c r="I462" s="6" t="n"/>
      <c r="J462" s="6" t="n"/>
      <c r="K462" s="6" t="n"/>
    </row>
    <row r="463">
      <c r="A463" s="2" t="n"/>
      <c r="B463" s="12" t="n"/>
      <c r="C463" s="2" t="n"/>
      <c r="D463" s="2" t="n"/>
      <c r="E463" s="2">
        <f>IF($C463="","",IFERROR(INDEX(Units_Owners!$C$5:$C$504,MATCH($C463,Units_Owners!$A$5:$A$504,0)),""))</f>
        <v/>
      </c>
      <c r="F463" s="13" t="n"/>
      <c r="G463" s="2" t="n"/>
      <c r="H463" s="2" t="n"/>
      <c r="I463" s="2" t="n"/>
      <c r="J463" s="2" t="n"/>
      <c r="K463" s="2" t="n"/>
    </row>
    <row r="464">
      <c r="A464" s="6" t="n"/>
      <c r="B464" s="14" t="n"/>
      <c r="C464" s="6" t="n"/>
      <c r="D464" s="6" t="n"/>
      <c r="E464" s="2">
        <f>IF($C464="","",IFERROR(INDEX(Units_Owners!$C$5:$C$504,MATCH($C464,Units_Owners!$A$5:$A$504,0)),""))</f>
        <v/>
      </c>
      <c r="F464" s="15" t="n"/>
      <c r="G464" s="6" t="n"/>
      <c r="H464" s="6" t="n"/>
      <c r="I464" s="6" t="n"/>
      <c r="J464" s="6" t="n"/>
      <c r="K464" s="6" t="n"/>
    </row>
    <row r="465">
      <c r="A465" s="2" t="n"/>
      <c r="B465" s="12" t="n"/>
      <c r="C465" s="2" t="n"/>
      <c r="D465" s="2" t="n"/>
      <c r="E465" s="2">
        <f>IF($C465="","",IFERROR(INDEX(Units_Owners!$C$5:$C$504,MATCH($C465,Units_Owners!$A$5:$A$504,0)),""))</f>
        <v/>
      </c>
      <c r="F465" s="13" t="n"/>
      <c r="G465" s="2" t="n"/>
      <c r="H465" s="2" t="n"/>
      <c r="I465" s="2" t="n"/>
      <c r="J465" s="2" t="n"/>
      <c r="K465" s="2" t="n"/>
    </row>
    <row r="466">
      <c r="A466" s="6" t="n"/>
      <c r="B466" s="14" t="n"/>
      <c r="C466" s="6" t="n"/>
      <c r="D466" s="6" t="n"/>
      <c r="E466" s="2">
        <f>IF($C466="","",IFERROR(INDEX(Units_Owners!$C$5:$C$504,MATCH($C466,Units_Owners!$A$5:$A$504,0)),""))</f>
        <v/>
      </c>
      <c r="F466" s="15" t="n"/>
      <c r="G466" s="6" t="n"/>
      <c r="H466" s="6" t="n"/>
      <c r="I466" s="6" t="n"/>
      <c r="J466" s="6" t="n"/>
      <c r="K466" s="6" t="n"/>
    </row>
    <row r="467">
      <c r="A467" s="2" t="n"/>
      <c r="B467" s="12" t="n"/>
      <c r="C467" s="2" t="n"/>
      <c r="D467" s="2" t="n"/>
      <c r="E467" s="2">
        <f>IF($C467="","",IFERROR(INDEX(Units_Owners!$C$5:$C$504,MATCH($C467,Units_Owners!$A$5:$A$504,0)),""))</f>
        <v/>
      </c>
      <c r="F467" s="13" t="n"/>
      <c r="G467" s="2" t="n"/>
      <c r="H467" s="2" t="n"/>
      <c r="I467" s="2" t="n"/>
      <c r="J467" s="2" t="n"/>
      <c r="K467" s="2" t="n"/>
    </row>
    <row r="468">
      <c r="A468" s="6" t="n"/>
      <c r="B468" s="14" t="n"/>
      <c r="C468" s="6" t="n"/>
      <c r="D468" s="6" t="n"/>
      <c r="E468" s="2">
        <f>IF($C468="","",IFERROR(INDEX(Units_Owners!$C$5:$C$504,MATCH($C468,Units_Owners!$A$5:$A$504,0)),""))</f>
        <v/>
      </c>
      <c r="F468" s="15" t="n"/>
      <c r="G468" s="6" t="n"/>
      <c r="H468" s="6" t="n"/>
      <c r="I468" s="6" t="n"/>
      <c r="J468" s="6" t="n"/>
      <c r="K468" s="6" t="n"/>
    </row>
    <row r="469">
      <c r="A469" s="2" t="n"/>
      <c r="B469" s="12" t="n"/>
      <c r="C469" s="2" t="n"/>
      <c r="D469" s="2" t="n"/>
      <c r="E469" s="2">
        <f>IF($C469="","",IFERROR(INDEX(Units_Owners!$C$5:$C$504,MATCH($C469,Units_Owners!$A$5:$A$504,0)),""))</f>
        <v/>
      </c>
      <c r="F469" s="13" t="n"/>
      <c r="G469" s="2" t="n"/>
      <c r="H469" s="2" t="n"/>
      <c r="I469" s="2" t="n"/>
      <c r="J469" s="2" t="n"/>
      <c r="K469" s="2" t="n"/>
    </row>
    <row r="470">
      <c r="A470" s="6" t="n"/>
      <c r="B470" s="14" t="n"/>
      <c r="C470" s="6" t="n"/>
      <c r="D470" s="6" t="n"/>
      <c r="E470" s="2">
        <f>IF($C470="","",IFERROR(INDEX(Units_Owners!$C$5:$C$504,MATCH($C470,Units_Owners!$A$5:$A$504,0)),""))</f>
        <v/>
      </c>
      <c r="F470" s="15" t="n"/>
      <c r="G470" s="6" t="n"/>
      <c r="H470" s="6" t="n"/>
      <c r="I470" s="6" t="n"/>
      <c r="J470" s="6" t="n"/>
      <c r="K470" s="6" t="n"/>
    </row>
    <row r="471">
      <c r="A471" s="2" t="n"/>
      <c r="B471" s="12" t="n"/>
      <c r="C471" s="2" t="n"/>
      <c r="D471" s="2" t="n"/>
      <c r="E471" s="2">
        <f>IF($C471="","",IFERROR(INDEX(Units_Owners!$C$5:$C$504,MATCH($C471,Units_Owners!$A$5:$A$504,0)),""))</f>
        <v/>
      </c>
      <c r="F471" s="13" t="n"/>
      <c r="G471" s="2" t="n"/>
      <c r="H471" s="2" t="n"/>
      <c r="I471" s="2" t="n"/>
      <c r="J471" s="2" t="n"/>
      <c r="K471" s="2" t="n"/>
    </row>
    <row r="472">
      <c r="A472" s="6" t="n"/>
      <c r="B472" s="14" t="n"/>
      <c r="C472" s="6" t="n"/>
      <c r="D472" s="6" t="n"/>
      <c r="E472" s="2">
        <f>IF($C472="","",IFERROR(INDEX(Units_Owners!$C$5:$C$504,MATCH($C472,Units_Owners!$A$5:$A$504,0)),""))</f>
        <v/>
      </c>
      <c r="F472" s="15" t="n"/>
      <c r="G472" s="6" t="n"/>
      <c r="H472" s="6" t="n"/>
      <c r="I472" s="6" t="n"/>
      <c r="J472" s="6" t="n"/>
      <c r="K472" s="6" t="n"/>
    </row>
    <row r="473">
      <c r="A473" s="2" t="n"/>
      <c r="B473" s="12" t="n"/>
      <c r="C473" s="2" t="n"/>
      <c r="D473" s="2" t="n"/>
      <c r="E473" s="2">
        <f>IF($C473="","",IFERROR(INDEX(Units_Owners!$C$5:$C$504,MATCH($C473,Units_Owners!$A$5:$A$504,0)),""))</f>
        <v/>
      </c>
      <c r="F473" s="13" t="n"/>
      <c r="G473" s="2" t="n"/>
      <c r="H473" s="2" t="n"/>
      <c r="I473" s="2" t="n"/>
      <c r="J473" s="2" t="n"/>
      <c r="K473" s="2" t="n"/>
    </row>
    <row r="474">
      <c r="A474" s="6" t="n"/>
      <c r="B474" s="14" t="n"/>
      <c r="C474" s="6" t="n"/>
      <c r="D474" s="6" t="n"/>
      <c r="E474" s="2">
        <f>IF($C474="","",IFERROR(INDEX(Units_Owners!$C$5:$C$504,MATCH($C474,Units_Owners!$A$5:$A$504,0)),""))</f>
        <v/>
      </c>
      <c r="F474" s="15" t="n"/>
      <c r="G474" s="6" t="n"/>
      <c r="H474" s="6" t="n"/>
      <c r="I474" s="6" t="n"/>
      <c r="J474" s="6" t="n"/>
      <c r="K474" s="6" t="n"/>
    </row>
    <row r="475">
      <c r="A475" s="2" t="n"/>
      <c r="B475" s="12" t="n"/>
      <c r="C475" s="2" t="n"/>
      <c r="D475" s="2" t="n"/>
      <c r="E475" s="2">
        <f>IF($C475="","",IFERROR(INDEX(Units_Owners!$C$5:$C$504,MATCH($C475,Units_Owners!$A$5:$A$504,0)),""))</f>
        <v/>
      </c>
      <c r="F475" s="13" t="n"/>
      <c r="G475" s="2" t="n"/>
      <c r="H475" s="2" t="n"/>
      <c r="I475" s="2" t="n"/>
      <c r="J475" s="2" t="n"/>
      <c r="K475" s="2" t="n"/>
    </row>
    <row r="476">
      <c r="A476" s="6" t="n"/>
      <c r="B476" s="14" t="n"/>
      <c r="C476" s="6" t="n"/>
      <c r="D476" s="6" t="n"/>
      <c r="E476" s="2">
        <f>IF($C476="","",IFERROR(INDEX(Units_Owners!$C$5:$C$504,MATCH($C476,Units_Owners!$A$5:$A$504,0)),""))</f>
        <v/>
      </c>
      <c r="F476" s="15" t="n"/>
      <c r="G476" s="6" t="n"/>
      <c r="H476" s="6" t="n"/>
      <c r="I476" s="6" t="n"/>
      <c r="J476" s="6" t="n"/>
      <c r="K476" s="6" t="n"/>
    </row>
    <row r="477">
      <c r="A477" s="2" t="n"/>
      <c r="B477" s="12" t="n"/>
      <c r="C477" s="2" t="n"/>
      <c r="D477" s="2" t="n"/>
      <c r="E477" s="2">
        <f>IF($C477="","",IFERROR(INDEX(Units_Owners!$C$5:$C$504,MATCH($C477,Units_Owners!$A$5:$A$504,0)),""))</f>
        <v/>
      </c>
      <c r="F477" s="13" t="n"/>
      <c r="G477" s="2" t="n"/>
      <c r="H477" s="2" t="n"/>
      <c r="I477" s="2" t="n"/>
      <c r="J477" s="2" t="n"/>
      <c r="K477" s="2" t="n"/>
    </row>
    <row r="478">
      <c r="A478" s="6" t="n"/>
      <c r="B478" s="14" t="n"/>
      <c r="C478" s="6" t="n"/>
      <c r="D478" s="6" t="n"/>
      <c r="E478" s="2">
        <f>IF($C478="","",IFERROR(INDEX(Units_Owners!$C$5:$C$504,MATCH($C478,Units_Owners!$A$5:$A$504,0)),""))</f>
        <v/>
      </c>
      <c r="F478" s="15" t="n"/>
      <c r="G478" s="6" t="n"/>
      <c r="H478" s="6" t="n"/>
      <c r="I478" s="6" t="n"/>
      <c r="J478" s="6" t="n"/>
      <c r="K478" s="6" t="n"/>
    </row>
    <row r="479">
      <c r="A479" s="2" t="n"/>
      <c r="B479" s="12" t="n"/>
      <c r="C479" s="2" t="n"/>
      <c r="D479" s="2" t="n"/>
      <c r="E479" s="2">
        <f>IF($C479="","",IFERROR(INDEX(Units_Owners!$C$5:$C$504,MATCH($C479,Units_Owners!$A$5:$A$504,0)),""))</f>
        <v/>
      </c>
      <c r="F479" s="13" t="n"/>
      <c r="G479" s="2" t="n"/>
      <c r="H479" s="2" t="n"/>
      <c r="I479" s="2" t="n"/>
      <c r="J479" s="2" t="n"/>
      <c r="K479" s="2" t="n"/>
    </row>
    <row r="480">
      <c r="A480" s="6" t="n"/>
      <c r="B480" s="14" t="n"/>
      <c r="C480" s="6" t="n"/>
      <c r="D480" s="6" t="n"/>
      <c r="E480" s="2">
        <f>IF($C480="","",IFERROR(INDEX(Units_Owners!$C$5:$C$504,MATCH($C480,Units_Owners!$A$5:$A$504,0)),""))</f>
        <v/>
      </c>
      <c r="F480" s="15" t="n"/>
      <c r="G480" s="6" t="n"/>
      <c r="H480" s="6" t="n"/>
      <c r="I480" s="6" t="n"/>
      <c r="J480" s="6" t="n"/>
      <c r="K480" s="6" t="n"/>
    </row>
    <row r="481">
      <c r="A481" s="2" t="n"/>
      <c r="B481" s="12" t="n"/>
      <c r="C481" s="2" t="n"/>
      <c r="D481" s="2" t="n"/>
      <c r="E481" s="2">
        <f>IF($C481="","",IFERROR(INDEX(Units_Owners!$C$5:$C$504,MATCH($C481,Units_Owners!$A$5:$A$504,0)),""))</f>
        <v/>
      </c>
      <c r="F481" s="13" t="n"/>
      <c r="G481" s="2" t="n"/>
      <c r="H481" s="2" t="n"/>
      <c r="I481" s="2" t="n"/>
      <c r="J481" s="2" t="n"/>
      <c r="K481" s="2" t="n"/>
    </row>
    <row r="482">
      <c r="A482" s="6" t="n"/>
      <c r="B482" s="14" t="n"/>
      <c r="C482" s="6" t="n"/>
      <c r="D482" s="6" t="n"/>
      <c r="E482" s="2">
        <f>IF($C482="","",IFERROR(INDEX(Units_Owners!$C$5:$C$504,MATCH($C482,Units_Owners!$A$5:$A$504,0)),""))</f>
        <v/>
      </c>
      <c r="F482" s="15" t="n"/>
      <c r="G482" s="6" t="n"/>
      <c r="H482" s="6" t="n"/>
      <c r="I482" s="6" t="n"/>
      <c r="J482" s="6" t="n"/>
      <c r="K482" s="6" t="n"/>
    </row>
    <row r="483">
      <c r="A483" s="2" t="n"/>
      <c r="B483" s="12" t="n"/>
      <c r="C483" s="2" t="n"/>
      <c r="D483" s="2" t="n"/>
      <c r="E483" s="2">
        <f>IF($C483="","",IFERROR(INDEX(Units_Owners!$C$5:$C$504,MATCH($C483,Units_Owners!$A$5:$A$504,0)),""))</f>
        <v/>
      </c>
      <c r="F483" s="13" t="n"/>
      <c r="G483" s="2" t="n"/>
      <c r="H483" s="2" t="n"/>
      <c r="I483" s="2" t="n"/>
      <c r="J483" s="2" t="n"/>
      <c r="K483" s="2" t="n"/>
    </row>
    <row r="484">
      <c r="A484" s="6" t="n"/>
      <c r="B484" s="14" t="n"/>
      <c r="C484" s="6" t="n"/>
      <c r="D484" s="6" t="n"/>
      <c r="E484" s="2">
        <f>IF($C484="","",IFERROR(INDEX(Units_Owners!$C$5:$C$504,MATCH($C484,Units_Owners!$A$5:$A$504,0)),""))</f>
        <v/>
      </c>
      <c r="F484" s="15" t="n"/>
      <c r="G484" s="6" t="n"/>
      <c r="H484" s="6" t="n"/>
      <c r="I484" s="6" t="n"/>
      <c r="J484" s="6" t="n"/>
      <c r="K484" s="6" t="n"/>
    </row>
    <row r="485">
      <c r="A485" s="2" t="n"/>
      <c r="B485" s="12" t="n"/>
      <c r="C485" s="2" t="n"/>
      <c r="D485" s="2" t="n"/>
      <c r="E485" s="2">
        <f>IF($C485="","",IFERROR(INDEX(Units_Owners!$C$5:$C$504,MATCH($C485,Units_Owners!$A$5:$A$504,0)),""))</f>
        <v/>
      </c>
      <c r="F485" s="13" t="n"/>
      <c r="G485" s="2" t="n"/>
      <c r="H485" s="2" t="n"/>
      <c r="I485" s="2" t="n"/>
      <c r="J485" s="2" t="n"/>
      <c r="K485" s="2" t="n"/>
    </row>
    <row r="486">
      <c r="A486" s="6" t="n"/>
      <c r="B486" s="14" t="n"/>
      <c r="C486" s="6" t="n"/>
      <c r="D486" s="6" t="n"/>
      <c r="E486" s="2">
        <f>IF($C486="","",IFERROR(INDEX(Units_Owners!$C$5:$C$504,MATCH($C486,Units_Owners!$A$5:$A$504,0)),""))</f>
        <v/>
      </c>
      <c r="F486" s="15" t="n"/>
      <c r="G486" s="6" t="n"/>
      <c r="H486" s="6" t="n"/>
      <c r="I486" s="6" t="n"/>
      <c r="J486" s="6" t="n"/>
      <c r="K486" s="6" t="n"/>
    </row>
    <row r="487">
      <c r="A487" s="2" t="n"/>
      <c r="B487" s="12" t="n"/>
      <c r="C487" s="2" t="n"/>
      <c r="D487" s="2" t="n"/>
      <c r="E487" s="2">
        <f>IF($C487="","",IFERROR(INDEX(Units_Owners!$C$5:$C$504,MATCH($C487,Units_Owners!$A$5:$A$504,0)),""))</f>
        <v/>
      </c>
      <c r="F487" s="13" t="n"/>
      <c r="G487" s="2" t="n"/>
      <c r="H487" s="2" t="n"/>
      <c r="I487" s="2" t="n"/>
      <c r="J487" s="2" t="n"/>
      <c r="K487" s="2" t="n"/>
    </row>
    <row r="488">
      <c r="A488" s="6" t="n"/>
      <c r="B488" s="14" t="n"/>
      <c r="C488" s="6" t="n"/>
      <c r="D488" s="6" t="n"/>
      <c r="E488" s="2">
        <f>IF($C488="","",IFERROR(INDEX(Units_Owners!$C$5:$C$504,MATCH($C488,Units_Owners!$A$5:$A$504,0)),""))</f>
        <v/>
      </c>
      <c r="F488" s="15" t="n"/>
      <c r="G488" s="6" t="n"/>
      <c r="H488" s="6" t="n"/>
      <c r="I488" s="6" t="n"/>
      <c r="J488" s="6" t="n"/>
      <c r="K488" s="6" t="n"/>
    </row>
    <row r="489">
      <c r="A489" s="2" t="n"/>
      <c r="B489" s="12" t="n"/>
      <c r="C489" s="2" t="n"/>
      <c r="D489" s="2" t="n"/>
      <c r="E489" s="2">
        <f>IF($C489="","",IFERROR(INDEX(Units_Owners!$C$5:$C$504,MATCH($C489,Units_Owners!$A$5:$A$504,0)),""))</f>
        <v/>
      </c>
      <c r="F489" s="13" t="n"/>
      <c r="G489" s="2" t="n"/>
      <c r="H489" s="2" t="n"/>
      <c r="I489" s="2" t="n"/>
      <c r="J489" s="2" t="n"/>
      <c r="K489" s="2" t="n"/>
    </row>
    <row r="490">
      <c r="A490" s="6" t="n"/>
      <c r="B490" s="14" t="n"/>
      <c r="C490" s="6" t="n"/>
      <c r="D490" s="6" t="n"/>
      <c r="E490" s="2">
        <f>IF($C490="","",IFERROR(INDEX(Units_Owners!$C$5:$C$504,MATCH($C490,Units_Owners!$A$5:$A$504,0)),""))</f>
        <v/>
      </c>
      <c r="F490" s="15" t="n"/>
      <c r="G490" s="6" t="n"/>
      <c r="H490" s="6" t="n"/>
      <c r="I490" s="6" t="n"/>
      <c r="J490" s="6" t="n"/>
      <c r="K490" s="6" t="n"/>
    </row>
    <row r="491">
      <c r="A491" s="2" t="n"/>
      <c r="B491" s="12" t="n"/>
      <c r="C491" s="2" t="n"/>
      <c r="D491" s="2" t="n"/>
      <c r="E491" s="2">
        <f>IF($C491="","",IFERROR(INDEX(Units_Owners!$C$5:$C$504,MATCH($C491,Units_Owners!$A$5:$A$504,0)),""))</f>
        <v/>
      </c>
      <c r="F491" s="13" t="n"/>
      <c r="G491" s="2" t="n"/>
      <c r="H491" s="2" t="n"/>
      <c r="I491" s="2" t="n"/>
      <c r="J491" s="2" t="n"/>
      <c r="K491" s="2" t="n"/>
    </row>
    <row r="492">
      <c r="A492" s="6" t="n"/>
      <c r="B492" s="14" t="n"/>
      <c r="C492" s="6" t="n"/>
      <c r="D492" s="6" t="n"/>
      <c r="E492" s="2">
        <f>IF($C492="","",IFERROR(INDEX(Units_Owners!$C$5:$C$504,MATCH($C492,Units_Owners!$A$5:$A$504,0)),""))</f>
        <v/>
      </c>
      <c r="F492" s="15" t="n"/>
      <c r="G492" s="6" t="n"/>
      <c r="H492" s="6" t="n"/>
      <c r="I492" s="6" t="n"/>
      <c r="J492" s="6" t="n"/>
      <c r="K492" s="6" t="n"/>
    </row>
    <row r="493">
      <c r="A493" s="2" t="n"/>
      <c r="B493" s="12" t="n"/>
      <c r="C493" s="2" t="n"/>
      <c r="D493" s="2" t="n"/>
      <c r="E493" s="2">
        <f>IF($C493="","",IFERROR(INDEX(Units_Owners!$C$5:$C$504,MATCH($C493,Units_Owners!$A$5:$A$504,0)),""))</f>
        <v/>
      </c>
      <c r="F493" s="13" t="n"/>
      <c r="G493" s="2" t="n"/>
      <c r="H493" s="2" t="n"/>
      <c r="I493" s="2" t="n"/>
      <c r="J493" s="2" t="n"/>
      <c r="K493" s="2" t="n"/>
    </row>
    <row r="494">
      <c r="A494" s="6" t="n"/>
      <c r="B494" s="14" t="n"/>
      <c r="C494" s="6" t="n"/>
      <c r="D494" s="6" t="n"/>
      <c r="E494" s="2">
        <f>IF($C494="","",IFERROR(INDEX(Units_Owners!$C$5:$C$504,MATCH($C494,Units_Owners!$A$5:$A$504,0)),""))</f>
        <v/>
      </c>
      <c r="F494" s="15" t="n"/>
      <c r="G494" s="6" t="n"/>
      <c r="H494" s="6" t="n"/>
      <c r="I494" s="6" t="n"/>
      <c r="J494" s="6" t="n"/>
      <c r="K494" s="6" t="n"/>
    </row>
    <row r="495">
      <c r="A495" s="2" t="n"/>
      <c r="B495" s="12" t="n"/>
      <c r="C495" s="2" t="n"/>
      <c r="D495" s="2" t="n"/>
      <c r="E495" s="2">
        <f>IF($C495="","",IFERROR(INDEX(Units_Owners!$C$5:$C$504,MATCH($C495,Units_Owners!$A$5:$A$504,0)),""))</f>
        <v/>
      </c>
      <c r="F495" s="13" t="n"/>
      <c r="G495" s="2" t="n"/>
      <c r="H495" s="2" t="n"/>
      <c r="I495" s="2" t="n"/>
      <c r="J495" s="2" t="n"/>
      <c r="K495" s="2" t="n"/>
    </row>
    <row r="496">
      <c r="A496" s="6" t="n"/>
      <c r="B496" s="14" t="n"/>
      <c r="C496" s="6" t="n"/>
      <c r="D496" s="6" t="n"/>
      <c r="E496" s="2">
        <f>IF($C496="","",IFERROR(INDEX(Units_Owners!$C$5:$C$504,MATCH($C496,Units_Owners!$A$5:$A$504,0)),""))</f>
        <v/>
      </c>
      <c r="F496" s="15" t="n"/>
      <c r="G496" s="6" t="n"/>
      <c r="H496" s="6" t="n"/>
      <c r="I496" s="6" t="n"/>
      <c r="J496" s="6" t="n"/>
      <c r="K496" s="6" t="n"/>
    </row>
    <row r="497">
      <c r="A497" s="2" t="n"/>
      <c r="B497" s="12" t="n"/>
      <c r="C497" s="2" t="n"/>
      <c r="D497" s="2" t="n"/>
      <c r="E497" s="2">
        <f>IF($C497="","",IFERROR(INDEX(Units_Owners!$C$5:$C$504,MATCH($C497,Units_Owners!$A$5:$A$504,0)),""))</f>
        <v/>
      </c>
      <c r="F497" s="13" t="n"/>
      <c r="G497" s="2" t="n"/>
      <c r="H497" s="2" t="n"/>
      <c r="I497" s="2" t="n"/>
      <c r="J497" s="2" t="n"/>
      <c r="K497" s="2" t="n"/>
    </row>
    <row r="498">
      <c r="A498" s="6" t="n"/>
      <c r="B498" s="14" t="n"/>
      <c r="C498" s="6" t="n"/>
      <c r="D498" s="6" t="n"/>
      <c r="E498" s="2">
        <f>IF($C498="","",IFERROR(INDEX(Units_Owners!$C$5:$C$504,MATCH($C498,Units_Owners!$A$5:$A$504,0)),""))</f>
        <v/>
      </c>
      <c r="F498" s="15" t="n"/>
      <c r="G498" s="6" t="n"/>
      <c r="H498" s="6" t="n"/>
      <c r="I498" s="6" t="n"/>
      <c r="J498" s="6" t="n"/>
      <c r="K498" s="6" t="n"/>
    </row>
    <row r="499">
      <c r="A499" s="2" t="n"/>
      <c r="B499" s="12" t="n"/>
      <c r="C499" s="2" t="n"/>
      <c r="D499" s="2" t="n"/>
      <c r="E499" s="2">
        <f>IF($C499="","",IFERROR(INDEX(Units_Owners!$C$5:$C$504,MATCH($C499,Units_Owners!$A$5:$A$504,0)),""))</f>
        <v/>
      </c>
      <c r="F499" s="13" t="n"/>
      <c r="G499" s="2" t="n"/>
      <c r="H499" s="2" t="n"/>
      <c r="I499" s="2" t="n"/>
      <c r="J499" s="2" t="n"/>
      <c r="K499" s="2" t="n"/>
    </row>
    <row r="500">
      <c r="A500" s="6" t="n"/>
      <c r="B500" s="14" t="n"/>
      <c r="C500" s="6" t="n"/>
      <c r="D500" s="6" t="n"/>
      <c r="E500" s="2">
        <f>IF($C500="","",IFERROR(INDEX(Units_Owners!$C$5:$C$504,MATCH($C500,Units_Owners!$A$5:$A$504,0)),""))</f>
        <v/>
      </c>
      <c r="F500" s="15" t="n"/>
      <c r="G500" s="6" t="n"/>
      <c r="H500" s="6" t="n"/>
      <c r="I500" s="6" t="n"/>
      <c r="J500" s="6" t="n"/>
      <c r="K500" s="6" t="n"/>
    </row>
    <row r="501">
      <c r="A501" s="2" t="n"/>
      <c r="B501" s="12" t="n"/>
      <c r="C501" s="2" t="n"/>
      <c r="D501" s="2" t="n"/>
      <c r="E501" s="2">
        <f>IF($C501="","",IFERROR(INDEX(Units_Owners!$C$5:$C$504,MATCH($C501,Units_Owners!$A$5:$A$504,0)),""))</f>
        <v/>
      </c>
      <c r="F501" s="13" t="n"/>
      <c r="G501" s="2" t="n"/>
      <c r="H501" s="2" t="n"/>
      <c r="I501" s="2" t="n"/>
      <c r="J501" s="2" t="n"/>
      <c r="K501" s="2" t="n"/>
    </row>
    <row r="502">
      <c r="A502" s="6" t="n"/>
      <c r="B502" s="14" t="n"/>
      <c r="C502" s="6" t="n"/>
      <c r="D502" s="6" t="n"/>
      <c r="E502" s="2">
        <f>IF($C502="","",IFERROR(INDEX(Units_Owners!$C$5:$C$504,MATCH($C502,Units_Owners!$A$5:$A$504,0)),""))</f>
        <v/>
      </c>
      <c r="F502" s="15" t="n"/>
      <c r="G502" s="6" t="n"/>
      <c r="H502" s="6" t="n"/>
      <c r="I502" s="6" t="n"/>
      <c r="J502" s="6" t="n"/>
      <c r="K502" s="6" t="n"/>
    </row>
    <row r="503">
      <c r="A503" s="2" t="n"/>
      <c r="B503" s="12" t="n"/>
      <c r="C503" s="2" t="n"/>
      <c r="D503" s="2" t="n"/>
      <c r="E503" s="2">
        <f>IF($C503="","",IFERROR(INDEX(Units_Owners!$C$5:$C$504,MATCH($C503,Units_Owners!$A$5:$A$504,0)),""))</f>
        <v/>
      </c>
      <c r="F503" s="13" t="n"/>
      <c r="G503" s="2" t="n"/>
      <c r="H503" s="2" t="n"/>
      <c r="I503" s="2" t="n"/>
      <c r="J503" s="2" t="n"/>
      <c r="K503" s="2" t="n"/>
    </row>
    <row r="504">
      <c r="A504" s="6" t="n"/>
      <c r="B504" s="14" t="n"/>
      <c r="C504" s="6" t="n"/>
      <c r="D504" s="6" t="n"/>
      <c r="E504" s="2">
        <f>IF($C504="","",IFERROR(INDEX(Units_Owners!$C$5:$C$504,MATCH($C504,Units_Owners!$A$5:$A$504,0)),""))</f>
        <v/>
      </c>
      <c r="F504" s="15" t="n"/>
      <c r="G504" s="6" t="n"/>
      <c r="H504" s="6" t="n"/>
      <c r="I504" s="6" t="n"/>
      <c r="J504" s="6" t="n"/>
      <c r="K504" s="6" t="n"/>
    </row>
    <row r="505">
      <c r="A505" s="2" t="n"/>
      <c r="B505" s="12" t="n"/>
      <c r="C505" s="2" t="n"/>
      <c r="D505" s="2" t="n"/>
      <c r="E505" s="2" t="n"/>
      <c r="F505" s="13" t="n"/>
      <c r="G505" s="2" t="n"/>
      <c r="H505" s="2" t="n"/>
      <c r="I505" s="2" t="n"/>
      <c r="J505" s="2" t="n"/>
      <c r="K505" s="2" t="n"/>
    </row>
    <row r="506">
      <c r="A506" s="6" t="n"/>
      <c r="B506" s="14" t="n"/>
      <c r="C506" s="6" t="n"/>
      <c r="D506" s="6" t="n"/>
      <c r="E506" s="6" t="n"/>
      <c r="F506" s="15" t="n"/>
      <c r="G506" s="6" t="n"/>
      <c r="H506" s="6" t="n"/>
      <c r="I506" s="6" t="n"/>
      <c r="J506" s="6" t="n"/>
      <c r="K506" s="6" t="n"/>
    </row>
    <row r="507">
      <c r="A507" s="2" t="n"/>
      <c r="B507" s="12" t="n"/>
      <c r="C507" s="2" t="n"/>
      <c r="D507" s="2" t="n"/>
      <c r="E507" s="2" t="n"/>
      <c r="F507" s="13" t="n"/>
      <c r="G507" s="2" t="n"/>
      <c r="H507" s="2" t="n"/>
      <c r="I507" s="2" t="n"/>
      <c r="J507" s="2" t="n"/>
      <c r="K507" s="2" t="n"/>
    </row>
    <row r="508">
      <c r="A508" s="6" t="n"/>
      <c r="B508" s="14" t="n"/>
      <c r="C508" s="6" t="n"/>
      <c r="D508" s="6" t="n"/>
      <c r="E508" s="6" t="n"/>
      <c r="F508" s="15" t="n"/>
      <c r="G508" s="6" t="n"/>
      <c r="H508" s="6" t="n"/>
      <c r="I508" s="6" t="n"/>
      <c r="J508" s="6" t="n"/>
      <c r="K508" s="6" t="n"/>
    </row>
    <row r="509">
      <c r="A509" s="2" t="n"/>
      <c r="B509" s="12" t="n"/>
      <c r="C509" s="2" t="n"/>
      <c r="D509" s="2" t="n"/>
      <c r="E509" s="2" t="n"/>
      <c r="F509" s="13" t="n"/>
      <c r="G509" s="2" t="n"/>
      <c r="H509" s="2" t="n"/>
      <c r="I509" s="2" t="n"/>
      <c r="J509" s="2" t="n"/>
      <c r="K509" s="2" t="n"/>
    </row>
    <row r="510">
      <c r="A510" s="6" t="n"/>
      <c r="B510" s="14" t="n"/>
      <c r="C510" s="6" t="n"/>
      <c r="D510" s="6" t="n"/>
      <c r="E510" s="6" t="n"/>
      <c r="F510" s="15" t="n"/>
      <c r="G510" s="6" t="n"/>
      <c r="H510" s="6" t="n"/>
      <c r="I510" s="6" t="n"/>
      <c r="J510" s="6" t="n"/>
      <c r="K510" s="6" t="n"/>
    </row>
    <row r="511">
      <c r="A511" s="2" t="n"/>
      <c r="B511" s="12" t="n"/>
      <c r="C511" s="2" t="n"/>
      <c r="D511" s="2" t="n"/>
      <c r="E511" s="2" t="n"/>
      <c r="F511" s="13" t="n"/>
      <c r="G511" s="2" t="n"/>
      <c r="H511" s="2" t="n"/>
      <c r="I511" s="2" t="n"/>
      <c r="J511" s="2" t="n"/>
      <c r="K511" s="2" t="n"/>
    </row>
    <row r="512">
      <c r="A512" s="6" t="n"/>
      <c r="B512" s="14" t="n"/>
      <c r="C512" s="6" t="n"/>
      <c r="D512" s="6" t="n"/>
      <c r="E512" s="6" t="n"/>
      <c r="F512" s="15" t="n"/>
      <c r="G512" s="6" t="n"/>
      <c r="H512" s="6" t="n"/>
      <c r="I512" s="6" t="n"/>
      <c r="J512" s="6" t="n"/>
      <c r="K512" s="6" t="n"/>
    </row>
    <row r="513">
      <c r="A513" s="2" t="n"/>
      <c r="B513" s="12" t="n"/>
      <c r="C513" s="2" t="n"/>
      <c r="D513" s="2" t="n"/>
      <c r="E513" s="2" t="n"/>
      <c r="F513" s="13" t="n"/>
      <c r="G513" s="2" t="n"/>
      <c r="H513" s="2" t="n"/>
      <c r="I513" s="2" t="n"/>
      <c r="J513" s="2" t="n"/>
      <c r="K513" s="2" t="n"/>
    </row>
    <row r="514">
      <c r="A514" s="6" t="n"/>
      <c r="B514" s="14" t="n"/>
      <c r="C514" s="6" t="n"/>
      <c r="D514" s="6" t="n"/>
      <c r="E514" s="6" t="n"/>
      <c r="F514" s="15" t="n"/>
      <c r="G514" s="6" t="n"/>
      <c r="H514" s="6" t="n"/>
      <c r="I514" s="6" t="n"/>
      <c r="J514" s="6" t="n"/>
      <c r="K514" s="6" t="n"/>
    </row>
    <row r="515">
      <c r="A515" s="2" t="n"/>
      <c r="B515" s="12" t="n"/>
      <c r="C515" s="2" t="n"/>
      <c r="D515" s="2" t="n"/>
      <c r="E515" s="2" t="n"/>
      <c r="F515" s="13" t="n"/>
      <c r="G515" s="2" t="n"/>
      <c r="H515" s="2" t="n"/>
      <c r="I515" s="2" t="n"/>
      <c r="J515" s="2" t="n"/>
      <c r="K515" s="2" t="n"/>
    </row>
    <row r="516">
      <c r="A516" s="6" t="n"/>
      <c r="B516" s="14" t="n"/>
      <c r="C516" s="6" t="n"/>
      <c r="D516" s="6" t="n"/>
      <c r="E516" s="6" t="n"/>
      <c r="F516" s="15" t="n"/>
      <c r="G516" s="6" t="n"/>
      <c r="H516" s="6" t="n"/>
      <c r="I516" s="6" t="n"/>
      <c r="J516" s="6" t="n"/>
      <c r="K516" s="6" t="n"/>
    </row>
    <row r="517">
      <c r="A517" s="2" t="n"/>
      <c r="B517" s="12" t="n"/>
      <c r="C517" s="2" t="n"/>
      <c r="D517" s="2" t="n"/>
      <c r="E517" s="2" t="n"/>
      <c r="F517" s="13" t="n"/>
      <c r="G517" s="2" t="n"/>
      <c r="H517" s="2" t="n"/>
      <c r="I517" s="2" t="n"/>
      <c r="J517" s="2" t="n"/>
      <c r="K517" s="2" t="n"/>
    </row>
    <row r="518">
      <c r="A518" s="6" t="n"/>
      <c r="B518" s="14" t="n"/>
      <c r="C518" s="6" t="n"/>
      <c r="D518" s="6" t="n"/>
      <c r="E518" s="6" t="n"/>
      <c r="F518" s="15" t="n"/>
      <c r="G518" s="6" t="n"/>
      <c r="H518" s="6" t="n"/>
      <c r="I518" s="6" t="n"/>
      <c r="J518" s="6" t="n"/>
      <c r="K518" s="6" t="n"/>
    </row>
    <row r="519">
      <c r="A519" s="2" t="n"/>
      <c r="B519" s="12" t="n"/>
      <c r="C519" s="2" t="n"/>
      <c r="D519" s="2" t="n"/>
      <c r="E519" s="2" t="n"/>
      <c r="F519" s="13" t="n"/>
      <c r="G519" s="2" t="n"/>
      <c r="H519" s="2" t="n"/>
      <c r="I519" s="2" t="n"/>
      <c r="J519" s="2" t="n"/>
      <c r="K519" s="2" t="n"/>
    </row>
    <row r="520">
      <c r="A520" s="6" t="n"/>
      <c r="B520" s="14" t="n"/>
      <c r="C520" s="6" t="n"/>
      <c r="D520" s="6" t="n"/>
      <c r="E520" s="6" t="n"/>
      <c r="F520" s="15" t="n"/>
      <c r="G520" s="6" t="n"/>
      <c r="H520" s="6" t="n"/>
      <c r="I520" s="6" t="n"/>
      <c r="J520" s="6" t="n"/>
      <c r="K520" s="6" t="n"/>
    </row>
    <row r="521">
      <c r="A521" s="2" t="n"/>
      <c r="B521" s="12" t="n"/>
      <c r="C521" s="2" t="n"/>
      <c r="D521" s="2" t="n"/>
      <c r="E521" s="2" t="n"/>
      <c r="F521" s="13" t="n"/>
      <c r="G521" s="2" t="n"/>
      <c r="H521" s="2" t="n"/>
      <c r="I521" s="2" t="n"/>
      <c r="J521" s="2" t="n"/>
      <c r="K521" s="2" t="n"/>
    </row>
    <row r="522">
      <c r="A522" s="6" t="n"/>
      <c r="B522" s="14" t="n"/>
      <c r="C522" s="6" t="n"/>
      <c r="D522" s="6" t="n"/>
      <c r="E522" s="6" t="n"/>
      <c r="F522" s="15" t="n"/>
      <c r="G522" s="6" t="n"/>
      <c r="H522" s="6" t="n"/>
      <c r="I522" s="6" t="n"/>
      <c r="J522" s="6" t="n"/>
      <c r="K522" s="6" t="n"/>
    </row>
    <row r="523">
      <c r="A523" s="2" t="n"/>
      <c r="B523" s="12" t="n"/>
      <c r="C523" s="2" t="n"/>
      <c r="D523" s="2" t="n"/>
      <c r="E523" s="2" t="n"/>
      <c r="F523" s="13" t="n"/>
      <c r="G523" s="2" t="n"/>
      <c r="H523" s="2" t="n"/>
      <c r="I523" s="2" t="n"/>
      <c r="J523" s="2" t="n"/>
      <c r="K523" s="2" t="n"/>
    </row>
    <row r="524">
      <c r="A524" s="6" t="n"/>
      <c r="B524" s="14" t="n"/>
      <c r="C524" s="6" t="n"/>
      <c r="D524" s="6" t="n"/>
      <c r="E524" s="6" t="n"/>
      <c r="F524" s="15" t="n"/>
      <c r="G524" s="6" t="n"/>
      <c r="H524" s="6" t="n"/>
      <c r="I524" s="6" t="n"/>
      <c r="J524" s="6" t="n"/>
      <c r="K524" s="6" t="n"/>
    </row>
    <row r="525">
      <c r="A525" s="2" t="n"/>
      <c r="B525" s="12" t="n"/>
      <c r="C525" s="2" t="n"/>
      <c r="D525" s="2" t="n"/>
      <c r="E525" s="2" t="n"/>
      <c r="F525" s="13" t="n"/>
      <c r="G525" s="2" t="n"/>
      <c r="H525" s="2" t="n"/>
      <c r="I525" s="2" t="n"/>
      <c r="J525" s="2" t="n"/>
      <c r="K525" s="2" t="n"/>
    </row>
    <row r="526">
      <c r="A526" s="6" t="n"/>
      <c r="B526" s="14" t="n"/>
      <c r="C526" s="6" t="n"/>
      <c r="D526" s="6" t="n"/>
      <c r="E526" s="6" t="n"/>
      <c r="F526" s="15" t="n"/>
      <c r="G526" s="6" t="n"/>
      <c r="H526" s="6" t="n"/>
      <c r="I526" s="6" t="n"/>
      <c r="J526" s="6" t="n"/>
      <c r="K526" s="6" t="n"/>
    </row>
    <row r="527">
      <c r="A527" s="2" t="n"/>
      <c r="B527" s="12" t="n"/>
      <c r="C527" s="2" t="n"/>
      <c r="D527" s="2" t="n"/>
      <c r="E527" s="2" t="n"/>
      <c r="F527" s="13" t="n"/>
      <c r="G527" s="2" t="n"/>
      <c r="H527" s="2" t="n"/>
      <c r="I527" s="2" t="n"/>
      <c r="J527" s="2" t="n"/>
      <c r="K527" s="2" t="n"/>
    </row>
    <row r="528">
      <c r="A528" s="6" t="n"/>
      <c r="B528" s="14" t="n"/>
      <c r="C528" s="6" t="n"/>
      <c r="D528" s="6" t="n"/>
      <c r="E528" s="6" t="n"/>
      <c r="F528" s="15" t="n"/>
      <c r="G528" s="6" t="n"/>
      <c r="H528" s="6" t="n"/>
      <c r="I528" s="6" t="n"/>
      <c r="J528" s="6" t="n"/>
      <c r="K528" s="6" t="n"/>
    </row>
    <row r="529">
      <c r="A529" s="2" t="n"/>
      <c r="B529" s="12" t="n"/>
      <c r="C529" s="2" t="n"/>
      <c r="D529" s="2" t="n"/>
      <c r="E529" s="2" t="n"/>
      <c r="F529" s="13" t="n"/>
      <c r="G529" s="2" t="n"/>
      <c r="H529" s="2" t="n"/>
      <c r="I529" s="2" t="n"/>
      <c r="J529" s="2" t="n"/>
      <c r="K529" s="2" t="n"/>
    </row>
    <row r="530">
      <c r="A530" s="6" t="n"/>
      <c r="B530" s="14" t="n"/>
      <c r="C530" s="6" t="n"/>
      <c r="D530" s="6" t="n"/>
      <c r="E530" s="6" t="n"/>
      <c r="F530" s="15" t="n"/>
      <c r="G530" s="6" t="n"/>
      <c r="H530" s="6" t="n"/>
      <c r="I530" s="6" t="n"/>
      <c r="J530" s="6" t="n"/>
      <c r="K530" s="6" t="n"/>
    </row>
    <row r="531">
      <c r="A531" s="2" t="n"/>
      <c r="B531" s="12" t="n"/>
      <c r="C531" s="2" t="n"/>
      <c r="D531" s="2" t="n"/>
      <c r="E531" s="2" t="n"/>
      <c r="F531" s="13" t="n"/>
      <c r="G531" s="2" t="n"/>
      <c r="H531" s="2" t="n"/>
      <c r="I531" s="2" t="n"/>
      <c r="J531" s="2" t="n"/>
      <c r="K531" s="2" t="n"/>
    </row>
    <row r="532">
      <c r="A532" s="6" t="n"/>
      <c r="B532" s="14" t="n"/>
      <c r="C532" s="6" t="n"/>
      <c r="D532" s="6" t="n"/>
      <c r="E532" s="6" t="n"/>
      <c r="F532" s="15" t="n"/>
      <c r="G532" s="6" t="n"/>
      <c r="H532" s="6" t="n"/>
      <c r="I532" s="6" t="n"/>
      <c r="J532" s="6" t="n"/>
      <c r="K532" s="6" t="n"/>
    </row>
    <row r="533">
      <c r="A533" s="2" t="n"/>
      <c r="B533" s="12" t="n"/>
      <c r="C533" s="2" t="n"/>
      <c r="D533" s="2" t="n"/>
      <c r="E533" s="2" t="n"/>
      <c r="F533" s="13" t="n"/>
      <c r="G533" s="2" t="n"/>
      <c r="H533" s="2" t="n"/>
      <c r="I533" s="2" t="n"/>
      <c r="J533" s="2" t="n"/>
      <c r="K533" s="2" t="n"/>
    </row>
    <row r="534">
      <c r="A534" s="6" t="n"/>
      <c r="B534" s="14" t="n"/>
      <c r="C534" s="6" t="n"/>
      <c r="D534" s="6" t="n"/>
      <c r="E534" s="6" t="n"/>
      <c r="F534" s="15" t="n"/>
      <c r="G534" s="6" t="n"/>
      <c r="H534" s="6" t="n"/>
      <c r="I534" s="6" t="n"/>
      <c r="J534" s="6" t="n"/>
      <c r="K534" s="6" t="n"/>
    </row>
    <row r="535">
      <c r="A535" s="2" t="n"/>
      <c r="B535" s="12" t="n"/>
      <c r="C535" s="2" t="n"/>
      <c r="D535" s="2" t="n"/>
      <c r="E535" s="2" t="n"/>
      <c r="F535" s="13" t="n"/>
      <c r="G535" s="2" t="n"/>
      <c r="H535" s="2" t="n"/>
      <c r="I535" s="2" t="n"/>
      <c r="J535" s="2" t="n"/>
      <c r="K535" s="2" t="n"/>
    </row>
    <row r="536">
      <c r="A536" s="6" t="n"/>
      <c r="B536" s="14" t="n"/>
      <c r="C536" s="6" t="n"/>
      <c r="D536" s="6" t="n"/>
      <c r="E536" s="6" t="n"/>
      <c r="F536" s="15" t="n"/>
      <c r="G536" s="6" t="n"/>
      <c r="H536" s="6" t="n"/>
      <c r="I536" s="6" t="n"/>
      <c r="J536" s="6" t="n"/>
      <c r="K536" s="6" t="n"/>
    </row>
    <row r="537">
      <c r="A537" s="2" t="n"/>
      <c r="B537" s="12" t="n"/>
      <c r="C537" s="2" t="n"/>
      <c r="D537" s="2" t="n"/>
      <c r="E537" s="2" t="n"/>
      <c r="F537" s="13" t="n"/>
      <c r="G537" s="2" t="n"/>
      <c r="H537" s="2" t="n"/>
      <c r="I537" s="2" t="n"/>
      <c r="J537" s="2" t="n"/>
      <c r="K537" s="2" t="n"/>
    </row>
    <row r="538">
      <c r="A538" s="6" t="n"/>
      <c r="B538" s="14" t="n"/>
      <c r="C538" s="6" t="n"/>
      <c r="D538" s="6" t="n"/>
      <c r="E538" s="6" t="n"/>
      <c r="F538" s="15" t="n"/>
      <c r="G538" s="6" t="n"/>
      <c r="H538" s="6" t="n"/>
      <c r="I538" s="6" t="n"/>
      <c r="J538" s="6" t="n"/>
      <c r="K538" s="6" t="n"/>
    </row>
    <row r="539">
      <c r="A539" s="2" t="n"/>
      <c r="B539" s="12" t="n"/>
      <c r="C539" s="2" t="n"/>
      <c r="D539" s="2" t="n"/>
      <c r="E539" s="2" t="n"/>
      <c r="F539" s="13" t="n"/>
      <c r="G539" s="2" t="n"/>
      <c r="H539" s="2" t="n"/>
      <c r="I539" s="2" t="n"/>
      <c r="J539" s="2" t="n"/>
      <c r="K539" s="2" t="n"/>
    </row>
    <row r="540">
      <c r="A540" s="6" t="n"/>
      <c r="B540" s="14" t="n"/>
      <c r="C540" s="6" t="n"/>
      <c r="D540" s="6" t="n"/>
      <c r="E540" s="6" t="n"/>
      <c r="F540" s="15" t="n"/>
      <c r="G540" s="6" t="n"/>
      <c r="H540" s="6" t="n"/>
      <c r="I540" s="6" t="n"/>
      <c r="J540" s="6" t="n"/>
      <c r="K540" s="6" t="n"/>
    </row>
    <row r="541">
      <c r="A541" s="2" t="n"/>
      <c r="B541" s="12" t="n"/>
      <c r="C541" s="2" t="n"/>
      <c r="D541" s="2" t="n"/>
      <c r="E541" s="2" t="n"/>
      <c r="F541" s="13" t="n"/>
      <c r="G541" s="2" t="n"/>
      <c r="H541" s="2" t="n"/>
      <c r="I541" s="2" t="n"/>
      <c r="J541" s="2" t="n"/>
      <c r="K541" s="2" t="n"/>
    </row>
    <row r="542">
      <c r="A542" s="6" t="n"/>
      <c r="B542" s="14" t="n"/>
      <c r="C542" s="6" t="n"/>
      <c r="D542" s="6" t="n"/>
      <c r="E542" s="6" t="n"/>
      <c r="F542" s="15" t="n"/>
      <c r="G542" s="6" t="n"/>
      <c r="H542" s="6" t="n"/>
      <c r="I542" s="6" t="n"/>
      <c r="J542" s="6" t="n"/>
      <c r="K542" s="6" t="n"/>
    </row>
    <row r="543">
      <c r="A543" s="2" t="n"/>
      <c r="B543" s="12" t="n"/>
      <c r="C543" s="2" t="n"/>
      <c r="D543" s="2" t="n"/>
      <c r="E543" s="2" t="n"/>
      <c r="F543" s="13" t="n"/>
      <c r="G543" s="2" t="n"/>
      <c r="H543" s="2" t="n"/>
      <c r="I543" s="2" t="n"/>
      <c r="J543" s="2" t="n"/>
      <c r="K543" s="2" t="n"/>
    </row>
    <row r="544">
      <c r="A544" s="6" t="n"/>
      <c r="B544" s="14" t="n"/>
      <c r="C544" s="6" t="n"/>
      <c r="D544" s="6" t="n"/>
      <c r="E544" s="6" t="n"/>
      <c r="F544" s="15" t="n"/>
      <c r="G544" s="6" t="n"/>
      <c r="H544" s="6" t="n"/>
      <c r="I544" s="6" t="n"/>
      <c r="J544" s="6" t="n"/>
      <c r="K544" s="6" t="n"/>
    </row>
    <row r="545">
      <c r="A545" s="2" t="n"/>
      <c r="B545" s="12" t="n"/>
      <c r="C545" s="2" t="n"/>
      <c r="D545" s="2" t="n"/>
      <c r="E545" s="2" t="n"/>
      <c r="F545" s="13" t="n"/>
      <c r="G545" s="2" t="n"/>
      <c r="H545" s="2" t="n"/>
      <c r="I545" s="2" t="n"/>
      <c r="J545" s="2" t="n"/>
      <c r="K545" s="2" t="n"/>
    </row>
    <row r="546">
      <c r="A546" s="6" t="n"/>
      <c r="B546" s="14" t="n"/>
      <c r="C546" s="6" t="n"/>
      <c r="D546" s="6" t="n"/>
      <c r="E546" s="6" t="n"/>
      <c r="F546" s="15" t="n"/>
      <c r="G546" s="6" t="n"/>
      <c r="H546" s="6" t="n"/>
      <c r="I546" s="6" t="n"/>
      <c r="J546" s="6" t="n"/>
      <c r="K546" s="6" t="n"/>
    </row>
    <row r="547">
      <c r="A547" s="2" t="n"/>
      <c r="B547" s="12" t="n"/>
      <c r="C547" s="2" t="n"/>
      <c r="D547" s="2" t="n"/>
      <c r="E547" s="2" t="n"/>
      <c r="F547" s="13" t="n"/>
      <c r="G547" s="2" t="n"/>
      <c r="H547" s="2" t="n"/>
      <c r="I547" s="2" t="n"/>
      <c r="J547" s="2" t="n"/>
      <c r="K547" s="2" t="n"/>
    </row>
    <row r="548">
      <c r="A548" s="6" t="n"/>
      <c r="B548" s="14" t="n"/>
      <c r="C548" s="6" t="n"/>
      <c r="D548" s="6" t="n"/>
      <c r="E548" s="6" t="n"/>
      <c r="F548" s="15" t="n"/>
      <c r="G548" s="6" t="n"/>
      <c r="H548" s="6" t="n"/>
      <c r="I548" s="6" t="n"/>
      <c r="J548" s="6" t="n"/>
      <c r="K548" s="6" t="n"/>
    </row>
    <row r="549">
      <c r="A549" s="2" t="n"/>
      <c r="B549" s="12" t="n"/>
      <c r="C549" s="2" t="n"/>
      <c r="D549" s="2" t="n"/>
      <c r="E549" s="2" t="n"/>
      <c r="F549" s="13" t="n"/>
      <c r="G549" s="2" t="n"/>
      <c r="H549" s="2" t="n"/>
      <c r="I549" s="2" t="n"/>
      <c r="J549" s="2" t="n"/>
      <c r="K549" s="2" t="n"/>
    </row>
    <row r="550">
      <c r="A550" s="6" t="n"/>
      <c r="B550" s="14" t="n"/>
      <c r="C550" s="6" t="n"/>
      <c r="D550" s="6" t="n"/>
      <c r="E550" s="6" t="n"/>
      <c r="F550" s="15" t="n"/>
      <c r="G550" s="6" t="n"/>
      <c r="H550" s="6" t="n"/>
      <c r="I550" s="6" t="n"/>
      <c r="J550" s="6" t="n"/>
      <c r="K550" s="6" t="n"/>
    </row>
    <row r="551">
      <c r="A551" s="2" t="n"/>
      <c r="B551" s="12" t="n"/>
      <c r="C551" s="2" t="n"/>
      <c r="D551" s="2" t="n"/>
      <c r="E551" s="2" t="n"/>
      <c r="F551" s="13" t="n"/>
      <c r="G551" s="2" t="n"/>
      <c r="H551" s="2" t="n"/>
      <c r="I551" s="2" t="n"/>
      <c r="J551" s="2" t="n"/>
      <c r="K551" s="2" t="n"/>
    </row>
    <row r="552">
      <c r="A552" s="6" t="n"/>
      <c r="B552" s="14" t="n"/>
      <c r="C552" s="6" t="n"/>
      <c r="D552" s="6" t="n"/>
      <c r="E552" s="6" t="n"/>
      <c r="F552" s="15" t="n"/>
      <c r="G552" s="6" t="n"/>
      <c r="H552" s="6" t="n"/>
      <c r="I552" s="6" t="n"/>
      <c r="J552" s="6" t="n"/>
      <c r="K552" s="6" t="n"/>
    </row>
    <row r="553">
      <c r="A553" s="2" t="n"/>
      <c r="B553" s="12" t="n"/>
      <c r="C553" s="2" t="n"/>
      <c r="D553" s="2" t="n"/>
      <c r="E553" s="2" t="n"/>
      <c r="F553" s="13" t="n"/>
      <c r="G553" s="2" t="n"/>
      <c r="H553" s="2" t="n"/>
      <c r="I553" s="2" t="n"/>
      <c r="J553" s="2" t="n"/>
      <c r="K553" s="2" t="n"/>
    </row>
    <row r="554">
      <c r="A554" s="6" t="n"/>
      <c r="B554" s="14" t="n"/>
      <c r="C554" s="6" t="n"/>
      <c r="D554" s="6" t="n"/>
      <c r="E554" s="6" t="n"/>
      <c r="F554" s="15" t="n"/>
      <c r="G554" s="6" t="n"/>
      <c r="H554" s="6" t="n"/>
      <c r="I554" s="6" t="n"/>
      <c r="J554" s="6" t="n"/>
      <c r="K554" s="6" t="n"/>
    </row>
    <row r="555">
      <c r="A555" s="2" t="n"/>
      <c r="B555" s="12" t="n"/>
      <c r="C555" s="2" t="n"/>
      <c r="D555" s="2" t="n"/>
      <c r="E555" s="2" t="n"/>
      <c r="F555" s="13" t="n"/>
      <c r="G555" s="2" t="n"/>
      <c r="H555" s="2" t="n"/>
      <c r="I555" s="2" t="n"/>
      <c r="J555" s="2" t="n"/>
      <c r="K555" s="2" t="n"/>
    </row>
    <row r="556">
      <c r="A556" s="6" t="n"/>
      <c r="B556" s="14" t="n"/>
      <c r="C556" s="6" t="n"/>
      <c r="D556" s="6" t="n"/>
      <c r="E556" s="6" t="n"/>
      <c r="F556" s="15" t="n"/>
      <c r="G556" s="6" t="n"/>
      <c r="H556" s="6" t="n"/>
      <c r="I556" s="6" t="n"/>
      <c r="J556" s="6" t="n"/>
      <c r="K556" s="6" t="n"/>
    </row>
    <row r="557">
      <c r="A557" s="2" t="n"/>
      <c r="B557" s="12" t="n"/>
      <c r="C557" s="2" t="n"/>
      <c r="D557" s="2" t="n"/>
      <c r="E557" s="2" t="n"/>
      <c r="F557" s="13" t="n"/>
      <c r="G557" s="2" t="n"/>
      <c r="H557" s="2" t="n"/>
      <c r="I557" s="2" t="n"/>
      <c r="J557" s="2" t="n"/>
      <c r="K557" s="2" t="n"/>
    </row>
    <row r="558">
      <c r="A558" s="6" t="n"/>
      <c r="B558" s="14" t="n"/>
      <c r="C558" s="6" t="n"/>
      <c r="D558" s="6" t="n"/>
      <c r="E558" s="6" t="n"/>
      <c r="F558" s="15" t="n"/>
      <c r="G558" s="6" t="n"/>
      <c r="H558" s="6" t="n"/>
      <c r="I558" s="6" t="n"/>
      <c r="J558" s="6" t="n"/>
      <c r="K558" s="6" t="n"/>
    </row>
    <row r="559">
      <c r="A559" s="2" t="n"/>
      <c r="B559" s="12" t="n"/>
      <c r="C559" s="2" t="n"/>
      <c r="D559" s="2" t="n"/>
      <c r="E559" s="2" t="n"/>
      <c r="F559" s="13" t="n"/>
      <c r="G559" s="2" t="n"/>
      <c r="H559" s="2" t="n"/>
      <c r="I559" s="2" t="n"/>
      <c r="J559" s="2" t="n"/>
      <c r="K559" s="2" t="n"/>
    </row>
    <row r="560">
      <c r="A560" s="6" t="n"/>
      <c r="B560" s="14" t="n"/>
      <c r="C560" s="6" t="n"/>
      <c r="D560" s="6" t="n"/>
      <c r="E560" s="6" t="n"/>
      <c r="F560" s="15" t="n"/>
      <c r="G560" s="6" t="n"/>
      <c r="H560" s="6" t="n"/>
      <c r="I560" s="6" t="n"/>
      <c r="J560" s="6" t="n"/>
      <c r="K560" s="6" t="n"/>
    </row>
    <row r="561">
      <c r="A561" s="2" t="n"/>
      <c r="B561" s="12" t="n"/>
      <c r="C561" s="2" t="n"/>
      <c r="D561" s="2" t="n"/>
      <c r="E561" s="2" t="n"/>
      <c r="F561" s="13" t="n"/>
      <c r="G561" s="2" t="n"/>
      <c r="H561" s="2" t="n"/>
      <c r="I561" s="2" t="n"/>
      <c r="J561" s="2" t="n"/>
      <c r="K561" s="2" t="n"/>
    </row>
    <row r="562">
      <c r="A562" s="6" t="n"/>
      <c r="B562" s="14" t="n"/>
      <c r="C562" s="6" t="n"/>
      <c r="D562" s="6" t="n"/>
      <c r="E562" s="6" t="n"/>
      <c r="F562" s="15" t="n"/>
      <c r="G562" s="6" t="n"/>
      <c r="H562" s="6" t="n"/>
      <c r="I562" s="6" t="n"/>
      <c r="J562" s="6" t="n"/>
      <c r="K562" s="6" t="n"/>
    </row>
    <row r="563">
      <c r="A563" s="2" t="n"/>
      <c r="B563" s="12" t="n"/>
      <c r="C563" s="2" t="n"/>
      <c r="D563" s="2" t="n"/>
      <c r="E563" s="2" t="n"/>
      <c r="F563" s="13" t="n"/>
      <c r="G563" s="2" t="n"/>
      <c r="H563" s="2" t="n"/>
      <c r="I563" s="2" t="n"/>
      <c r="J563" s="2" t="n"/>
      <c r="K563" s="2" t="n"/>
    </row>
    <row r="564">
      <c r="A564" s="6" t="n"/>
      <c r="B564" s="14" t="n"/>
      <c r="C564" s="6" t="n"/>
      <c r="D564" s="6" t="n"/>
      <c r="E564" s="6" t="n"/>
      <c r="F564" s="15" t="n"/>
      <c r="G564" s="6" t="n"/>
      <c r="H564" s="6" t="n"/>
      <c r="I564" s="6" t="n"/>
      <c r="J564" s="6" t="n"/>
      <c r="K564" s="6" t="n"/>
    </row>
    <row r="565">
      <c r="A565" s="2" t="n"/>
      <c r="B565" s="12" t="n"/>
      <c r="C565" s="2" t="n"/>
      <c r="D565" s="2" t="n"/>
      <c r="E565" s="2" t="n"/>
      <c r="F565" s="13" t="n"/>
      <c r="G565" s="2" t="n"/>
      <c r="H565" s="2" t="n"/>
      <c r="I565" s="2" t="n"/>
      <c r="J565" s="2" t="n"/>
      <c r="K565" s="2" t="n"/>
    </row>
    <row r="566">
      <c r="A566" s="6" t="n"/>
      <c r="B566" s="14" t="n"/>
      <c r="C566" s="6" t="n"/>
      <c r="D566" s="6" t="n"/>
      <c r="E566" s="6" t="n"/>
      <c r="F566" s="15" t="n"/>
      <c r="G566" s="6" t="n"/>
      <c r="H566" s="6" t="n"/>
      <c r="I566" s="6" t="n"/>
      <c r="J566" s="6" t="n"/>
      <c r="K566" s="6" t="n"/>
    </row>
    <row r="567">
      <c r="A567" s="2" t="n"/>
      <c r="B567" s="12" t="n"/>
      <c r="C567" s="2" t="n"/>
      <c r="D567" s="2" t="n"/>
      <c r="E567" s="2" t="n"/>
      <c r="F567" s="13" t="n"/>
      <c r="G567" s="2" t="n"/>
      <c r="H567" s="2" t="n"/>
      <c r="I567" s="2" t="n"/>
      <c r="J567" s="2" t="n"/>
      <c r="K567" s="2" t="n"/>
    </row>
    <row r="568">
      <c r="A568" s="6" t="n"/>
      <c r="B568" s="14" t="n"/>
      <c r="C568" s="6" t="n"/>
      <c r="D568" s="6" t="n"/>
      <c r="E568" s="6" t="n"/>
      <c r="F568" s="15" t="n"/>
      <c r="G568" s="6" t="n"/>
      <c r="H568" s="6" t="n"/>
      <c r="I568" s="6" t="n"/>
      <c r="J568" s="6" t="n"/>
      <c r="K568" s="6" t="n"/>
    </row>
    <row r="569">
      <c r="A569" s="2" t="n"/>
      <c r="B569" s="12" t="n"/>
      <c r="C569" s="2" t="n"/>
      <c r="D569" s="2" t="n"/>
      <c r="E569" s="2" t="n"/>
      <c r="F569" s="13" t="n"/>
      <c r="G569" s="2" t="n"/>
      <c r="H569" s="2" t="n"/>
      <c r="I569" s="2" t="n"/>
      <c r="J569" s="2" t="n"/>
      <c r="K569" s="2" t="n"/>
    </row>
    <row r="570">
      <c r="A570" s="6" t="n"/>
      <c r="B570" s="14" t="n"/>
      <c r="C570" s="6" t="n"/>
      <c r="D570" s="6" t="n"/>
      <c r="E570" s="6" t="n"/>
      <c r="F570" s="15" t="n"/>
      <c r="G570" s="6" t="n"/>
      <c r="H570" s="6" t="n"/>
      <c r="I570" s="6" t="n"/>
      <c r="J570" s="6" t="n"/>
      <c r="K570" s="6" t="n"/>
    </row>
    <row r="571">
      <c r="A571" s="2" t="n"/>
      <c r="B571" s="12" t="n"/>
      <c r="C571" s="2" t="n"/>
      <c r="D571" s="2" t="n"/>
      <c r="E571" s="2" t="n"/>
      <c r="F571" s="13" t="n"/>
      <c r="G571" s="2" t="n"/>
      <c r="H571" s="2" t="n"/>
      <c r="I571" s="2" t="n"/>
      <c r="J571" s="2" t="n"/>
      <c r="K571" s="2" t="n"/>
    </row>
    <row r="572">
      <c r="A572" s="6" t="n"/>
      <c r="B572" s="14" t="n"/>
      <c r="C572" s="6" t="n"/>
      <c r="D572" s="6" t="n"/>
      <c r="E572" s="6" t="n"/>
      <c r="F572" s="15" t="n"/>
      <c r="G572" s="6" t="n"/>
      <c r="H572" s="6" t="n"/>
      <c r="I572" s="6" t="n"/>
      <c r="J572" s="6" t="n"/>
      <c r="K572" s="6" t="n"/>
    </row>
    <row r="573">
      <c r="A573" s="2" t="n"/>
      <c r="B573" s="12" t="n"/>
      <c r="C573" s="2" t="n"/>
      <c r="D573" s="2" t="n"/>
      <c r="E573" s="2" t="n"/>
      <c r="F573" s="13" t="n"/>
      <c r="G573" s="2" t="n"/>
      <c r="H573" s="2" t="n"/>
      <c r="I573" s="2" t="n"/>
      <c r="J573" s="2" t="n"/>
      <c r="K573" s="2" t="n"/>
    </row>
    <row r="574">
      <c r="A574" s="6" t="n"/>
      <c r="B574" s="14" t="n"/>
      <c r="C574" s="6" t="n"/>
      <c r="D574" s="6" t="n"/>
      <c r="E574" s="6" t="n"/>
      <c r="F574" s="15" t="n"/>
      <c r="G574" s="6" t="n"/>
      <c r="H574" s="6" t="n"/>
      <c r="I574" s="6" t="n"/>
      <c r="J574" s="6" t="n"/>
      <c r="K574" s="6" t="n"/>
    </row>
    <row r="575">
      <c r="A575" s="2" t="n"/>
      <c r="B575" s="12" t="n"/>
      <c r="C575" s="2" t="n"/>
      <c r="D575" s="2" t="n"/>
      <c r="E575" s="2" t="n"/>
      <c r="F575" s="13" t="n"/>
      <c r="G575" s="2" t="n"/>
      <c r="H575" s="2" t="n"/>
      <c r="I575" s="2" t="n"/>
      <c r="J575" s="2" t="n"/>
      <c r="K575" s="2" t="n"/>
    </row>
    <row r="576">
      <c r="A576" s="6" t="n"/>
      <c r="B576" s="14" t="n"/>
      <c r="C576" s="6" t="n"/>
      <c r="D576" s="6" t="n"/>
      <c r="E576" s="6" t="n"/>
      <c r="F576" s="15" t="n"/>
      <c r="G576" s="6" t="n"/>
      <c r="H576" s="6" t="n"/>
      <c r="I576" s="6" t="n"/>
      <c r="J576" s="6" t="n"/>
      <c r="K576" s="6" t="n"/>
    </row>
    <row r="577">
      <c r="A577" s="2" t="n"/>
      <c r="B577" s="12" t="n"/>
      <c r="C577" s="2" t="n"/>
      <c r="D577" s="2" t="n"/>
      <c r="E577" s="2" t="n"/>
      <c r="F577" s="13" t="n"/>
      <c r="G577" s="2" t="n"/>
      <c r="H577" s="2" t="n"/>
      <c r="I577" s="2" t="n"/>
      <c r="J577" s="2" t="n"/>
      <c r="K577" s="2" t="n"/>
    </row>
    <row r="578">
      <c r="A578" s="6" t="n"/>
      <c r="B578" s="14" t="n"/>
      <c r="C578" s="6" t="n"/>
      <c r="D578" s="6" t="n"/>
      <c r="E578" s="6" t="n"/>
      <c r="F578" s="15" t="n"/>
      <c r="G578" s="6" t="n"/>
      <c r="H578" s="6" t="n"/>
      <c r="I578" s="6" t="n"/>
      <c r="J578" s="6" t="n"/>
      <c r="K578" s="6" t="n"/>
    </row>
    <row r="579">
      <c r="A579" s="2" t="n"/>
      <c r="B579" s="12" t="n"/>
      <c r="C579" s="2" t="n"/>
      <c r="D579" s="2" t="n"/>
      <c r="E579" s="2" t="n"/>
      <c r="F579" s="13" t="n"/>
      <c r="G579" s="2" t="n"/>
      <c r="H579" s="2" t="n"/>
      <c r="I579" s="2" t="n"/>
      <c r="J579" s="2" t="n"/>
      <c r="K579" s="2" t="n"/>
    </row>
    <row r="580">
      <c r="A580" s="6" t="n"/>
      <c r="B580" s="14" t="n"/>
      <c r="C580" s="6" t="n"/>
      <c r="D580" s="6" t="n"/>
      <c r="E580" s="6" t="n"/>
      <c r="F580" s="15" t="n"/>
      <c r="G580" s="6" t="n"/>
      <c r="H580" s="6" t="n"/>
      <c r="I580" s="6" t="n"/>
      <c r="J580" s="6" t="n"/>
      <c r="K580" s="6" t="n"/>
    </row>
    <row r="581">
      <c r="A581" s="2" t="n"/>
      <c r="B581" s="12" t="n"/>
      <c r="C581" s="2" t="n"/>
      <c r="D581" s="2" t="n"/>
      <c r="E581" s="2" t="n"/>
      <c r="F581" s="13" t="n"/>
      <c r="G581" s="2" t="n"/>
      <c r="H581" s="2" t="n"/>
      <c r="I581" s="2" t="n"/>
      <c r="J581" s="2" t="n"/>
      <c r="K581" s="2" t="n"/>
    </row>
    <row r="582">
      <c r="A582" s="6" t="n"/>
      <c r="B582" s="14" t="n"/>
      <c r="C582" s="6" t="n"/>
      <c r="D582" s="6" t="n"/>
      <c r="E582" s="6" t="n"/>
      <c r="F582" s="15" t="n"/>
      <c r="G582" s="6" t="n"/>
      <c r="H582" s="6" t="n"/>
      <c r="I582" s="6" t="n"/>
      <c r="J582" s="6" t="n"/>
      <c r="K582" s="6" t="n"/>
    </row>
    <row r="583">
      <c r="A583" s="2" t="n"/>
      <c r="B583" s="12" t="n"/>
      <c r="C583" s="2" t="n"/>
      <c r="D583" s="2" t="n"/>
      <c r="E583" s="2" t="n"/>
      <c r="F583" s="13" t="n"/>
      <c r="G583" s="2" t="n"/>
      <c r="H583" s="2" t="n"/>
      <c r="I583" s="2" t="n"/>
      <c r="J583" s="2" t="n"/>
      <c r="K583" s="2" t="n"/>
    </row>
    <row r="584">
      <c r="A584" s="6" t="n"/>
      <c r="B584" s="14" t="n"/>
      <c r="C584" s="6" t="n"/>
      <c r="D584" s="6" t="n"/>
      <c r="E584" s="6" t="n"/>
      <c r="F584" s="15" t="n"/>
      <c r="G584" s="6" t="n"/>
      <c r="H584" s="6" t="n"/>
      <c r="I584" s="6" t="n"/>
      <c r="J584" s="6" t="n"/>
      <c r="K584" s="6" t="n"/>
    </row>
    <row r="585">
      <c r="A585" s="2" t="n"/>
      <c r="B585" s="12" t="n"/>
      <c r="C585" s="2" t="n"/>
      <c r="D585" s="2" t="n"/>
      <c r="E585" s="2" t="n"/>
      <c r="F585" s="13" t="n"/>
      <c r="G585" s="2" t="n"/>
      <c r="H585" s="2" t="n"/>
      <c r="I585" s="2" t="n"/>
      <c r="J585" s="2" t="n"/>
      <c r="K585" s="2" t="n"/>
    </row>
    <row r="586">
      <c r="A586" s="6" t="n"/>
      <c r="B586" s="14" t="n"/>
      <c r="C586" s="6" t="n"/>
      <c r="D586" s="6" t="n"/>
      <c r="E586" s="6" t="n"/>
      <c r="F586" s="15" t="n"/>
      <c r="G586" s="6" t="n"/>
      <c r="H586" s="6" t="n"/>
      <c r="I586" s="6" t="n"/>
      <c r="J586" s="6" t="n"/>
      <c r="K586" s="6" t="n"/>
    </row>
    <row r="587">
      <c r="A587" s="2" t="n"/>
      <c r="B587" s="12" t="n"/>
      <c r="C587" s="2" t="n"/>
      <c r="D587" s="2" t="n"/>
      <c r="E587" s="2" t="n"/>
      <c r="F587" s="13" t="n"/>
      <c r="G587" s="2" t="n"/>
      <c r="H587" s="2" t="n"/>
      <c r="I587" s="2" t="n"/>
      <c r="J587" s="2" t="n"/>
      <c r="K587" s="2" t="n"/>
    </row>
    <row r="588">
      <c r="A588" s="6" t="n"/>
      <c r="B588" s="14" t="n"/>
      <c r="C588" s="6" t="n"/>
      <c r="D588" s="6" t="n"/>
      <c r="E588" s="6" t="n"/>
      <c r="F588" s="15" t="n"/>
      <c r="G588" s="6" t="n"/>
      <c r="H588" s="6" t="n"/>
      <c r="I588" s="6" t="n"/>
      <c r="J588" s="6" t="n"/>
      <c r="K588" s="6" t="n"/>
    </row>
    <row r="589">
      <c r="A589" s="2" t="n"/>
      <c r="B589" s="12" t="n"/>
      <c r="C589" s="2" t="n"/>
      <c r="D589" s="2" t="n"/>
      <c r="E589" s="2" t="n"/>
      <c r="F589" s="13" t="n"/>
      <c r="G589" s="2" t="n"/>
      <c r="H589" s="2" t="n"/>
      <c r="I589" s="2" t="n"/>
      <c r="J589" s="2" t="n"/>
      <c r="K589" s="2" t="n"/>
    </row>
    <row r="590">
      <c r="A590" s="6" t="n"/>
      <c r="B590" s="14" t="n"/>
      <c r="C590" s="6" t="n"/>
      <c r="D590" s="6" t="n"/>
      <c r="E590" s="6" t="n"/>
      <c r="F590" s="15" t="n"/>
      <c r="G590" s="6" t="n"/>
      <c r="H590" s="6" t="n"/>
      <c r="I590" s="6" t="n"/>
      <c r="J590" s="6" t="n"/>
      <c r="K590" s="6" t="n"/>
    </row>
    <row r="591">
      <c r="A591" s="2" t="n"/>
      <c r="B591" s="12" t="n"/>
      <c r="C591" s="2" t="n"/>
      <c r="D591" s="2" t="n"/>
      <c r="E591" s="2" t="n"/>
      <c r="F591" s="13" t="n"/>
      <c r="G591" s="2" t="n"/>
      <c r="H591" s="2" t="n"/>
      <c r="I591" s="2" t="n"/>
      <c r="J591" s="2" t="n"/>
      <c r="K591" s="2" t="n"/>
    </row>
    <row r="592">
      <c r="A592" s="6" t="n"/>
      <c r="B592" s="14" t="n"/>
      <c r="C592" s="6" t="n"/>
      <c r="D592" s="6" t="n"/>
      <c r="E592" s="6" t="n"/>
      <c r="F592" s="15" t="n"/>
      <c r="G592" s="6" t="n"/>
      <c r="H592" s="6" t="n"/>
      <c r="I592" s="6" t="n"/>
      <c r="J592" s="6" t="n"/>
      <c r="K592" s="6" t="n"/>
    </row>
    <row r="593">
      <c r="A593" s="2" t="n"/>
      <c r="B593" s="12" t="n"/>
      <c r="C593" s="2" t="n"/>
      <c r="D593" s="2" t="n"/>
      <c r="E593" s="2" t="n"/>
      <c r="F593" s="13" t="n"/>
      <c r="G593" s="2" t="n"/>
      <c r="H593" s="2" t="n"/>
      <c r="I593" s="2" t="n"/>
      <c r="J593" s="2" t="n"/>
      <c r="K593" s="2" t="n"/>
    </row>
    <row r="594">
      <c r="A594" s="6" t="n"/>
      <c r="B594" s="14" t="n"/>
      <c r="C594" s="6" t="n"/>
      <c r="D594" s="6" t="n"/>
      <c r="E594" s="6" t="n"/>
      <c r="F594" s="15" t="n"/>
      <c r="G594" s="6" t="n"/>
      <c r="H594" s="6" t="n"/>
      <c r="I594" s="6" t="n"/>
      <c r="J594" s="6" t="n"/>
      <c r="K594" s="6" t="n"/>
    </row>
    <row r="595">
      <c r="A595" s="2" t="n"/>
      <c r="B595" s="12" t="n"/>
      <c r="C595" s="2" t="n"/>
      <c r="D595" s="2" t="n"/>
      <c r="E595" s="2" t="n"/>
      <c r="F595" s="13" t="n"/>
      <c r="G595" s="2" t="n"/>
      <c r="H595" s="2" t="n"/>
      <c r="I595" s="2" t="n"/>
      <c r="J595" s="2" t="n"/>
      <c r="K595" s="2" t="n"/>
    </row>
    <row r="596">
      <c r="A596" s="6" t="n"/>
      <c r="B596" s="14" t="n"/>
      <c r="C596" s="6" t="n"/>
      <c r="D596" s="6" t="n"/>
      <c r="E596" s="6" t="n"/>
      <c r="F596" s="15" t="n"/>
      <c r="G596" s="6" t="n"/>
      <c r="H596" s="6" t="n"/>
      <c r="I596" s="6" t="n"/>
      <c r="J596" s="6" t="n"/>
      <c r="K596" s="6" t="n"/>
    </row>
    <row r="597">
      <c r="A597" s="2" t="n"/>
      <c r="B597" s="12" t="n"/>
      <c r="C597" s="2" t="n"/>
      <c r="D597" s="2" t="n"/>
      <c r="E597" s="2" t="n"/>
      <c r="F597" s="13" t="n"/>
      <c r="G597" s="2" t="n"/>
      <c r="H597" s="2" t="n"/>
      <c r="I597" s="2" t="n"/>
      <c r="J597" s="2" t="n"/>
      <c r="K597" s="2" t="n"/>
    </row>
    <row r="598">
      <c r="A598" s="6" t="n"/>
      <c r="B598" s="14" t="n"/>
      <c r="C598" s="6" t="n"/>
      <c r="D598" s="6" t="n"/>
      <c r="E598" s="6" t="n"/>
      <c r="F598" s="15" t="n"/>
      <c r="G598" s="6" t="n"/>
      <c r="H598" s="6" t="n"/>
      <c r="I598" s="6" t="n"/>
      <c r="J598" s="6" t="n"/>
      <c r="K598" s="6" t="n"/>
    </row>
    <row r="599">
      <c r="A599" s="2" t="n"/>
      <c r="B599" s="12" t="n"/>
      <c r="C599" s="2" t="n"/>
      <c r="D599" s="2" t="n"/>
      <c r="E599" s="2" t="n"/>
      <c r="F599" s="13" t="n"/>
      <c r="G599" s="2" t="n"/>
      <c r="H599" s="2" t="n"/>
      <c r="I599" s="2" t="n"/>
      <c r="J599" s="2" t="n"/>
      <c r="K599" s="2" t="n"/>
    </row>
    <row r="600">
      <c r="A600" s="6" t="n"/>
      <c r="B600" s="14" t="n"/>
      <c r="C600" s="6" t="n"/>
      <c r="D600" s="6" t="n"/>
      <c r="E600" s="6" t="n"/>
      <c r="F600" s="15" t="n"/>
      <c r="G600" s="6" t="n"/>
      <c r="H600" s="6" t="n"/>
      <c r="I600" s="6" t="n"/>
      <c r="J600" s="6" t="n"/>
      <c r="K600" s="6" t="n"/>
    </row>
    <row r="601">
      <c r="A601" s="2" t="n"/>
      <c r="B601" s="12" t="n"/>
      <c r="C601" s="2" t="n"/>
      <c r="D601" s="2" t="n"/>
      <c r="E601" s="2" t="n"/>
      <c r="F601" s="13" t="n"/>
      <c r="G601" s="2" t="n"/>
      <c r="H601" s="2" t="n"/>
      <c r="I601" s="2" t="n"/>
      <c r="J601" s="2" t="n"/>
      <c r="K601" s="2" t="n"/>
    </row>
    <row r="602">
      <c r="A602" s="6" t="n"/>
      <c r="B602" s="14" t="n"/>
      <c r="C602" s="6" t="n"/>
      <c r="D602" s="6" t="n"/>
      <c r="E602" s="6" t="n"/>
      <c r="F602" s="15" t="n"/>
      <c r="G602" s="6" t="n"/>
      <c r="H602" s="6" t="n"/>
      <c r="I602" s="6" t="n"/>
      <c r="J602" s="6" t="n"/>
      <c r="K602" s="6" t="n"/>
    </row>
    <row r="603">
      <c r="A603" s="2" t="n"/>
      <c r="B603" s="12" t="n"/>
      <c r="C603" s="2" t="n"/>
      <c r="D603" s="2" t="n"/>
      <c r="E603" s="2" t="n"/>
      <c r="F603" s="13" t="n"/>
      <c r="G603" s="2" t="n"/>
      <c r="H603" s="2" t="n"/>
      <c r="I603" s="2" t="n"/>
      <c r="J603" s="2" t="n"/>
      <c r="K603" s="2" t="n"/>
    </row>
    <row r="604">
      <c r="A604" s="6" t="n"/>
      <c r="B604" s="14" t="n"/>
      <c r="C604" s="6" t="n"/>
      <c r="D604" s="6" t="n"/>
      <c r="E604" s="6" t="n"/>
      <c r="F604" s="15" t="n"/>
      <c r="G604" s="6" t="n"/>
      <c r="H604" s="6" t="n"/>
      <c r="I604" s="6" t="n"/>
      <c r="J604" s="6" t="n"/>
      <c r="K604" s="6" t="n"/>
    </row>
    <row r="605">
      <c r="A605" s="2" t="n"/>
      <c r="B605" s="12" t="n"/>
      <c r="C605" s="2" t="n"/>
      <c r="D605" s="2" t="n"/>
      <c r="E605" s="2" t="n"/>
      <c r="F605" s="13" t="n"/>
      <c r="G605" s="2" t="n"/>
      <c r="H605" s="2" t="n"/>
      <c r="I605" s="2" t="n"/>
      <c r="J605" s="2" t="n"/>
      <c r="K605" s="2" t="n"/>
    </row>
    <row r="606">
      <c r="A606" s="6" t="n"/>
      <c r="B606" s="14" t="n"/>
      <c r="C606" s="6" t="n"/>
      <c r="D606" s="6" t="n"/>
      <c r="E606" s="6" t="n"/>
      <c r="F606" s="15" t="n"/>
      <c r="G606" s="6" t="n"/>
      <c r="H606" s="6" t="n"/>
      <c r="I606" s="6" t="n"/>
      <c r="J606" s="6" t="n"/>
      <c r="K606" s="6" t="n"/>
    </row>
    <row r="607">
      <c r="A607" s="2" t="n"/>
      <c r="B607" s="12" t="n"/>
      <c r="C607" s="2" t="n"/>
      <c r="D607" s="2" t="n"/>
      <c r="E607" s="2" t="n"/>
      <c r="F607" s="13" t="n"/>
      <c r="G607" s="2" t="n"/>
      <c r="H607" s="2" t="n"/>
      <c r="I607" s="2" t="n"/>
      <c r="J607" s="2" t="n"/>
      <c r="K607" s="2" t="n"/>
    </row>
    <row r="608">
      <c r="A608" s="6" t="n"/>
      <c r="B608" s="14" t="n"/>
      <c r="C608" s="6" t="n"/>
      <c r="D608" s="6" t="n"/>
      <c r="E608" s="6" t="n"/>
      <c r="F608" s="15" t="n"/>
      <c r="G608" s="6" t="n"/>
      <c r="H608" s="6" t="n"/>
      <c r="I608" s="6" t="n"/>
      <c r="J608" s="6" t="n"/>
      <c r="K608" s="6" t="n"/>
    </row>
    <row r="609">
      <c r="A609" s="2" t="n"/>
      <c r="B609" s="12" t="n"/>
      <c r="C609" s="2" t="n"/>
      <c r="D609" s="2" t="n"/>
      <c r="E609" s="2" t="n"/>
      <c r="F609" s="13" t="n"/>
      <c r="G609" s="2" t="n"/>
      <c r="H609" s="2" t="n"/>
      <c r="I609" s="2" t="n"/>
      <c r="J609" s="2" t="n"/>
      <c r="K609" s="2" t="n"/>
    </row>
    <row r="610">
      <c r="A610" s="6" t="n"/>
      <c r="B610" s="14" t="n"/>
      <c r="C610" s="6" t="n"/>
      <c r="D610" s="6" t="n"/>
      <c r="E610" s="6" t="n"/>
      <c r="F610" s="15" t="n"/>
      <c r="G610" s="6" t="n"/>
      <c r="H610" s="6" t="n"/>
      <c r="I610" s="6" t="n"/>
      <c r="J610" s="6" t="n"/>
      <c r="K610" s="6" t="n"/>
    </row>
    <row r="611">
      <c r="A611" s="2" t="n"/>
      <c r="B611" s="12" t="n"/>
      <c r="C611" s="2" t="n"/>
      <c r="D611" s="2" t="n"/>
      <c r="E611" s="2" t="n"/>
      <c r="F611" s="13" t="n"/>
      <c r="G611" s="2" t="n"/>
      <c r="H611" s="2" t="n"/>
      <c r="I611" s="2" t="n"/>
      <c r="J611" s="2" t="n"/>
      <c r="K611" s="2" t="n"/>
    </row>
    <row r="612">
      <c r="A612" s="6" t="n"/>
      <c r="B612" s="14" t="n"/>
      <c r="C612" s="6" t="n"/>
      <c r="D612" s="6" t="n"/>
      <c r="E612" s="6" t="n"/>
      <c r="F612" s="15" t="n"/>
      <c r="G612" s="6" t="n"/>
      <c r="H612" s="6" t="n"/>
      <c r="I612" s="6" t="n"/>
      <c r="J612" s="6" t="n"/>
      <c r="K612" s="6" t="n"/>
    </row>
    <row r="613">
      <c r="A613" s="2" t="n"/>
      <c r="B613" s="12" t="n"/>
      <c r="C613" s="2" t="n"/>
      <c r="D613" s="2" t="n"/>
      <c r="E613" s="2" t="n"/>
      <c r="F613" s="13" t="n"/>
      <c r="G613" s="2" t="n"/>
      <c r="H613" s="2" t="n"/>
      <c r="I613" s="2" t="n"/>
      <c r="J613" s="2" t="n"/>
      <c r="K613" s="2" t="n"/>
    </row>
    <row r="614">
      <c r="A614" s="6" t="n"/>
      <c r="B614" s="14" t="n"/>
      <c r="C614" s="6" t="n"/>
      <c r="D614" s="6" t="n"/>
      <c r="E614" s="6" t="n"/>
      <c r="F614" s="15" t="n"/>
      <c r="G614" s="6" t="n"/>
      <c r="H614" s="6" t="n"/>
      <c r="I614" s="6" t="n"/>
      <c r="J614" s="6" t="n"/>
      <c r="K614" s="6" t="n"/>
    </row>
    <row r="615">
      <c r="A615" s="2" t="n"/>
      <c r="B615" s="12" t="n"/>
      <c r="C615" s="2" t="n"/>
      <c r="D615" s="2" t="n"/>
      <c r="E615" s="2" t="n"/>
      <c r="F615" s="13" t="n"/>
      <c r="G615" s="2" t="n"/>
      <c r="H615" s="2" t="n"/>
      <c r="I615" s="2" t="n"/>
      <c r="J615" s="2" t="n"/>
      <c r="K615" s="2" t="n"/>
    </row>
    <row r="616">
      <c r="A616" s="6" t="n"/>
      <c r="B616" s="14" t="n"/>
      <c r="C616" s="6" t="n"/>
      <c r="D616" s="6" t="n"/>
      <c r="E616" s="6" t="n"/>
      <c r="F616" s="15" t="n"/>
      <c r="G616" s="6" t="n"/>
      <c r="H616" s="6" t="n"/>
      <c r="I616" s="6" t="n"/>
      <c r="J616" s="6" t="n"/>
      <c r="K616" s="6" t="n"/>
    </row>
    <row r="617">
      <c r="A617" s="2" t="n"/>
      <c r="B617" s="12" t="n"/>
      <c r="C617" s="2" t="n"/>
      <c r="D617" s="2" t="n"/>
      <c r="E617" s="2" t="n"/>
      <c r="F617" s="13" t="n"/>
      <c r="G617" s="2" t="n"/>
      <c r="H617" s="2" t="n"/>
      <c r="I617" s="2" t="n"/>
      <c r="J617" s="2" t="n"/>
      <c r="K617" s="2" t="n"/>
    </row>
    <row r="618">
      <c r="A618" s="6" t="n"/>
      <c r="B618" s="14" t="n"/>
      <c r="C618" s="6" t="n"/>
      <c r="D618" s="6" t="n"/>
      <c r="E618" s="6" t="n"/>
      <c r="F618" s="15" t="n"/>
      <c r="G618" s="6" t="n"/>
      <c r="H618" s="6" t="n"/>
      <c r="I618" s="6" t="n"/>
      <c r="J618" s="6" t="n"/>
      <c r="K618" s="6" t="n"/>
    </row>
    <row r="619">
      <c r="A619" s="2" t="n"/>
      <c r="B619" s="12" t="n"/>
      <c r="C619" s="2" t="n"/>
      <c r="D619" s="2" t="n"/>
      <c r="E619" s="2" t="n"/>
      <c r="F619" s="13" t="n"/>
      <c r="G619" s="2" t="n"/>
      <c r="H619" s="2" t="n"/>
      <c r="I619" s="2" t="n"/>
      <c r="J619" s="2" t="n"/>
      <c r="K619" s="2" t="n"/>
    </row>
    <row r="620">
      <c r="A620" s="6" t="n"/>
      <c r="B620" s="14" t="n"/>
      <c r="C620" s="6" t="n"/>
      <c r="D620" s="6" t="n"/>
      <c r="E620" s="6" t="n"/>
      <c r="F620" s="15" t="n"/>
      <c r="G620" s="6" t="n"/>
      <c r="H620" s="6" t="n"/>
      <c r="I620" s="6" t="n"/>
      <c r="J620" s="6" t="n"/>
      <c r="K620" s="6" t="n"/>
    </row>
    <row r="621">
      <c r="A621" s="2" t="n"/>
      <c r="B621" s="12" t="n"/>
      <c r="C621" s="2" t="n"/>
      <c r="D621" s="2" t="n"/>
      <c r="E621" s="2" t="n"/>
      <c r="F621" s="13" t="n"/>
      <c r="G621" s="2" t="n"/>
      <c r="H621" s="2" t="n"/>
      <c r="I621" s="2" t="n"/>
      <c r="J621" s="2" t="n"/>
      <c r="K621" s="2" t="n"/>
    </row>
    <row r="622">
      <c r="A622" s="6" t="n"/>
      <c r="B622" s="14" t="n"/>
      <c r="C622" s="6" t="n"/>
      <c r="D622" s="6" t="n"/>
      <c r="E622" s="6" t="n"/>
      <c r="F622" s="15" t="n"/>
      <c r="G622" s="6" t="n"/>
      <c r="H622" s="6" t="n"/>
      <c r="I622" s="6" t="n"/>
      <c r="J622" s="6" t="n"/>
      <c r="K622" s="6" t="n"/>
    </row>
    <row r="623">
      <c r="A623" s="2" t="n"/>
      <c r="B623" s="12" t="n"/>
      <c r="C623" s="2" t="n"/>
      <c r="D623" s="2" t="n"/>
      <c r="E623" s="2" t="n"/>
      <c r="F623" s="13" t="n"/>
      <c r="G623" s="2" t="n"/>
      <c r="H623" s="2" t="n"/>
      <c r="I623" s="2" t="n"/>
      <c r="J623" s="2" t="n"/>
      <c r="K623" s="2" t="n"/>
    </row>
    <row r="624">
      <c r="A624" s="6" t="n"/>
      <c r="B624" s="14" t="n"/>
      <c r="C624" s="6" t="n"/>
      <c r="D624" s="6" t="n"/>
      <c r="E624" s="6" t="n"/>
      <c r="F624" s="15" t="n"/>
      <c r="G624" s="6" t="n"/>
      <c r="H624" s="6" t="n"/>
      <c r="I624" s="6" t="n"/>
      <c r="J624" s="6" t="n"/>
      <c r="K624" s="6" t="n"/>
    </row>
    <row r="625">
      <c r="A625" s="2" t="n"/>
      <c r="B625" s="12" t="n"/>
      <c r="C625" s="2" t="n"/>
      <c r="D625" s="2" t="n"/>
      <c r="E625" s="2" t="n"/>
      <c r="F625" s="13" t="n"/>
      <c r="G625" s="2" t="n"/>
      <c r="H625" s="2" t="n"/>
      <c r="I625" s="2" t="n"/>
      <c r="J625" s="2" t="n"/>
      <c r="K625" s="2" t="n"/>
    </row>
    <row r="626">
      <c r="A626" s="6" t="n"/>
      <c r="B626" s="14" t="n"/>
      <c r="C626" s="6" t="n"/>
      <c r="D626" s="6" t="n"/>
      <c r="E626" s="6" t="n"/>
      <c r="F626" s="15" t="n"/>
      <c r="G626" s="6" t="n"/>
      <c r="H626" s="6" t="n"/>
      <c r="I626" s="6" t="n"/>
      <c r="J626" s="6" t="n"/>
      <c r="K626" s="6" t="n"/>
    </row>
    <row r="627">
      <c r="A627" s="2" t="n"/>
      <c r="B627" s="12" t="n"/>
      <c r="C627" s="2" t="n"/>
      <c r="D627" s="2" t="n"/>
      <c r="E627" s="2" t="n"/>
      <c r="F627" s="13" t="n"/>
      <c r="G627" s="2" t="n"/>
      <c r="H627" s="2" t="n"/>
      <c r="I627" s="2" t="n"/>
      <c r="J627" s="2" t="n"/>
      <c r="K627" s="2" t="n"/>
    </row>
    <row r="628">
      <c r="A628" s="6" t="n"/>
      <c r="B628" s="14" t="n"/>
      <c r="C628" s="6" t="n"/>
      <c r="D628" s="6" t="n"/>
      <c r="E628" s="6" t="n"/>
      <c r="F628" s="15" t="n"/>
      <c r="G628" s="6" t="n"/>
      <c r="H628" s="6" t="n"/>
      <c r="I628" s="6" t="n"/>
      <c r="J628" s="6" t="n"/>
      <c r="K628" s="6" t="n"/>
    </row>
    <row r="629">
      <c r="A629" s="2" t="n"/>
      <c r="B629" s="12" t="n"/>
      <c r="C629" s="2" t="n"/>
      <c r="D629" s="2" t="n"/>
      <c r="E629" s="2" t="n"/>
      <c r="F629" s="13" t="n"/>
      <c r="G629" s="2" t="n"/>
      <c r="H629" s="2" t="n"/>
      <c r="I629" s="2" t="n"/>
      <c r="J629" s="2" t="n"/>
      <c r="K629" s="2" t="n"/>
    </row>
    <row r="630">
      <c r="A630" s="6" t="n"/>
      <c r="B630" s="14" t="n"/>
      <c r="C630" s="6" t="n"/>
      <c r="D630" s="6" t="n"/>
      <c r="E630" s="6" t="n"/>
      <c r="F630" s="15" t="n"/>
      <c r="G630" s="6" t="n"/>
      <c r="H630" s="6" t="n"/>
      <c r="I630" s="6" t="n"/>
      <c r="J630" s="6" t="n"/>
      <c r="K630" s="6" t="n"/>
    </row>
    <row r="631">
      <c r="A631" s="2" t="n"/>
      <c r="B631" s="12" t="n"/>
      <c r="C631" s="2" t="n"/>
      <c r="D631" s="2" t="n"/>
      <c r="E631" s="2" t="n"/>
      <c r="F631" s="13" t="n"/>
      <c r="G631" s="2" t="n"/>
      <c r="H631" s="2" t="n"/>
      <c r="I631" s="2" t="n"/>
      <c r="J631" s="2" t="n"/>
      <c r="K631" s="2" t="n"/>
    </row>
    <row r="632">
      <c r="A632" s="6" t="n"/>
      <c r="B632" s="14" t="n"/>
      <c r="C632" s="6" t="n"/>
      <c r="D632" s="6" t="n"/>
      <c r="E632" s="6" t="n"/>
      <c r="F632" s="15" t="n"/>
      <c r="G632" s="6" t="n"/>
      <c r="H632" s="6" t="n"/>
      <c r="I632" s="6" t="n"/>
      <c r="J632" s="6" t="n"/>
      <c r="K632" s="6" t="n"/>
    </row>
    <row r="633">
      <c r="A633" s="2" t="n"/>
      <c r="B633" s="12" t="n"/>
      <c r="C633" s="2" t="n"/>
      <c r="D633" s="2" t="n"/>
      <c r="E633" s="2" t="n"/>
      <c r="F633" s="13" t="n"/>
      <c r="G633" s="2" t="n"/>
      <c r="H633" s="2" t="n"/>
      <c r="I633" s="2" t="n"/>
      <c r="J633" s="2" t="n"/>
      <c r="K633" s="2" t="n"/>
    </row>
    <row r="634">
      <c r="A634" s="6" t="n"/>
      <c r="B634" s="14" t="n"/>
      <c r="C634" s="6" t="n"/>
      <c r="D634" s="6" t="n"/>
      <c r="E634" s="6" t="n"/>
      <c r="F634" s="15" t="n"/>
      <c r="G634" s="6" t="n"/>
      <c r="H634" s="6" t="n"/>
      <c r="I634" s="6" t="n"/>
      <c r="J634" s="6" t="n"/>
      <c r="K634" s="6" t="n"/>
    </row>
    <row r="635">
      <c r="A635" s="2" t="n"/>
      <c r="B635" s="12" t="n"/>
      <c r="C635" s="2" t="n"/>
      <c r="D635" s="2" t="n"/>
      <c r="E635" s="2" t="n"/>
      <c r="F635" s="13" t="n"/>
      <c r="G635" s="2" t="n"/>
      <c r="H635" s="2" t="n"/>
      <c r="I635" s="2" t="n"/>
      <c r="J635" s="2" t="n"/>
      <c r="K635" s="2" t="n"/>
    </row>
    <row r="636">
      <c r="A636" s="6" t="n"/>
      <c r="B636" s="14" t="n"/>
      <c r="C636" s="6" t="n"/>
      <c r="D636" s="6" t="n"/>
      <c r="E636" s="6" t="n"/>
      <c r="F636" s="15" t="n"/>
      <c r="G636" s="6" t="n"/>
      <c r="H636" s="6" t="n"/>
      <c r="I636" s="6" t="n"/>
      <c r="J636" s="6" t="n"/>
      <c r="K636" s="6" t="n"/>
    </row>
    <row r="637">
      <c r="A637" s="2" t="n"/>
      <c r="B637" s="12" t="n"/>
      <c r="C637" s="2" t="n"/>
      <c r="D637" s="2" t="n"/>
      <c r="E637" s="2" t="n"/>
      <c r="F637" s="13" t="n"/>
      <c r="G637" s="2" t="n"/>
      <c r="H637" s="2" t="n"/>
      <c r="I637" s="2" t="n"/>
      <c r="J637" s="2" t="n"/>
      <c r="K637" s="2" t="n"/>
    </row>
    <row r="638">
      <c r="A638" s="6" t="n"/>
      <c r="B638" s="14" t="n"/>
      <c r="C638" s="6" t="n"/>
      <c r="D638" s="6" t="n"/>
      <c r="E638" s="6" t="n"/>
      <c r="F638" s="15" t="n"/>
      <c r="G638" s="6" t="n"/>
      <c r="H638" s="6" t="n"/>
      <c r="I638" s="6" t="n"/>
      <c r="J638" s="6" t="n"/>
      <c r="K638" s="6" t="n"/>
    </row>
    <row r="639">
      <c r="A639" s="2" t="n"/>
      <c r="B639" s="12" t="n"/>
      <c r="C639" s="2" t="n"/>
      <c r="D639" s="2" t="n"/>
      <c r="E639" s="2" t="n"/>
      <c r="F639" s="13" t="n"/>
      <c r="G639" s="2" t="n"/>
      <c r="H639" s="2" t="n"/>
      <c r="I639" s="2" t="n"/>
      <c r="J639" s="2" t="n"/>
      <c r="K639" s="2" t="n"/>
    </row>
    <row r="640">
      <c r="A640" s="6" t="n"/>
      <c r="B640" s="14" t="n"/>
      <c r="C640" s="6" t="n"/>
      <c r="D640" s="6" t="n"/>
      <c r="E640" s="6" t="n"/>
      <c r="F640" s="15" t="n"/>
      <c r="G640" s="6" t="n"/>
      <c r="H640" s="6" t="n"/>
      <c r="I640" s="6" t="n"/>
      <c r="J640" s="6" t="n"/>
      <c r="K640" s="6" t="n"/>
    </row>
    <row r="641">
      <c r="A641" s="2" t="n"/>
      <c r="B641" s="12" t="n"/>
      <c r="C641" s="2" t="n"/>
      <c r="D641" s="2" t="n"/>
      <c r="E641" s="2" t="n"/>
      <c r="F641" s="13" t="n"/>
      <c r="G641" s="2" t="n"/>
      <c r="H641" s="2" t="n"/>
      <c r="I641" s="2" t="n"/>
      <c r="J641" s="2" t="n"/>
      <c r="K641" s="2" t="n"/>
    </row>
    <row r="642">
      <c r="A642" s="6" t="n"/>
      <c r="B642" s="14" t="n"/>
      <c r="C642" s="6" t="n"/>
      <c r="D642" s="6" t="n"/>
      <c r="E642" s="6" t="n"/>
      <c r="F642" s="15" t="n"/>
      <c r="G642" s="6" t="n"/>
      <c r="H642" s="6" t="n"/>
      <c r="I642" s="6" t="n"/>
      <c r="J642" s="6" t="n"/>
      <c r="K642" s="6" t="n"/>
    </row>
    <row r="643">
      <c r="A643" s="2" t="n"/>
      <c r="B643" s="12" t="n"/>
      <c r="C643" s="2" t="n"/>
      <c r="D643" s="2" t="n"/>
      <c r="E643" s="2" t="n"/>
      <c r="F643" s="13" t="n"/>
      <c r="G643" s="2" t="n"/>
      <c r="H643" s="2" t="n"/>
      <c r="I643" s="2" t="n"/>
      <c r="J643" s="2" t="n"/>
      <c r="K643" s="2" t="n"/>
    </row>
    <row r="644">
      <c r="A644" s="6" t="n"/>
      <c r="B644" s="14" t="n"/>
      <c r="C644" s="6" t="n"/>
      <c r="D644" s="6" t="n"/>
      <c r="E644" s="6" t="n"/>
      <c r="F644" s="15" t="n"/>
      <c r="G644" s="6" t="n"/>
      <c r="H644" s="6" t="n"/>
      <c r="I644" s="6" t="n"/>
      <c r="J644" s="6" t="n"/>
      <c r="K644" s="6" t="n"/>
    </row>
    <row r="645">
      <c r="A645" s="2" t="n"/>
      <c r="B645" s="12" t="n"/>
      <c r="C645" s="2" t="n"/>
      <c r="D645" s="2" t="n"/>
      <c r="E645" s="2" t="n"/>
      <c r="F645" s="13" t="n"/>
      <c r="G645" s="2" t="n"/>
      <c r="H645" s="2" t="n"/>
      <c r="I645" s="2" t="n"/>
      <c r="J645" s="2" t="n"/>
      <c r="K645" s="2" t="n"/>
    </row>
    <row r="646">
      <c r="A646" s="6" t="n"/>
      <c r="B646" s="14" t="n"/>
      <c r="C646" s="6" t="n"/>
      <c r="D646" s="6" t="n"/>
      <c r="E646" s="6" t="n"/>
      <c r="F646" s="15" t="n"/>
      <c r="G646" s="6" t="n"/>
      <c r="H646" s="6" t="n"/>
      <c r="I646" s="6" t="n"/>
      <c r="J646" s="6" t="n"/>
      <c r="K646" s="6" t="n"/>
    </row>
    <row r="647">
      <c r="A647" s="2" t="n"/>
      <c r="B647" s="12" t="n"/>
      <c r="C647" s="2" t="n"/>
      <c r="D647" s="2" t="n"/>
      <c r="E647" s="2" t="n"/>
      <c r="F647" s="13" t="n"/>
      <c r="G647" s="2" t="n"/>
      <c r="H647" s="2" t="n"/>
      <c r="I647" s="2" t="n"/>
      <c r="J647" s="2" t="n"/>
      <c r="K647" s="2" t="n"/>
    </row>
    <row r="648">
      <c r="A648" s="6" t="n"/>
      <c r="B648" s="14" t="n"/>
      <c r="C648" s="6" t="n"/>
      <c r="D648" s="6" t="n"/>
      <c r="E648" s="6" t="n"/>
      <c r="F648" s="15" t="n"/>
      <c r="G648" s="6" t="n"/>
      <c r="H648" s="6" t="n"/>
      <c r="I648" s="6" t="n"/>
      <c r="J648" s="6" t="n"/>
      <c r="K648" s="6" t="n"/>
    </row>
    <row r="649">
      <c r="A649" s="2" t="n"/>
      <c r="B649" s="12" t="n"/>
      <c r="C649" s="2" t="n"/>
      <c r="D649" s="2" t="n"/>
      <c r="E649" s="2" t="n"/>
      <c r="F649" s="13" t="n"/>
      <c r="G649" s="2" t="n"/>
      <c r="H649" s="2" t="n"/>
      <c r="I649" s="2" t="n"/>
      <c r="J649" s="2" t="n"/>
      <c r="K649" s="2" t="n"/>
    </row>
    <row r="650">
      <c r="A650" s="6" t="n"/>
      <c r="B650" s="14" t="n"/>
      <c r="C650" s="6" t="n"/>
      <c r="D650" s="6" t="n"/>
      <c r="E650" s="6" t="n"/>
      <c r="F650" s="15" t="n"/>
      <c r="G650" s="6" t="n"/>
      <c r="H650" s="6" t="n"/>
      <c r="I650" s="6" t="n"/>
      <c r="J650" s="6" t="n"/>
      <c r="K650" s="6" t="n"/>
    </row>
    <row r="651">
      <c r="A651" s="2" t="n"/>
      <c r="B651" s="12" t="n"/>
      <c r="C651" s="2" t="n"/>
      <c r="D651" s="2" t="n"/>
      <c r="E651" s="2" t="n"/>
      <c r="F651" s="13" t="n"/>
      <c r="G651" s="2" t="n"/>
      <c r="H651" s="2" t="n"/>
      <c r="I651" s="2" t="n"/>
      <c r="J651" s="2" t="n"/>
      <c r="K651" s="2" t="n"/>
    </row>
    <row r="652">
      <c r="A652" s="6" t="n"/>
      <c r="B652" s="14" t="n"/>
      <c r="C652" s="6" t="n"/>
      <c r="D652" s="6" t="n"/>
      <c r="E652" s="6" t="n"/>
      <c r="F652" s="15" t="n"/>
      <c r="G652" s="6" t="n"/>
      <c r="H652" s="6" t="n"/>
      <c r="I652" s="6" t="n"/>
      <c r="J652" s="6" t="n"/>
      <c r="K652" s="6" t="n"/>
    </row>
    <row r="653">
      <c r="A653" s="2" t="n"/>
      <c r="B653" s="12" t="n"/>
      <c r="C653" s="2" t="n"/>
      <c r="D653" s="2" t="n"/>
      <c r="E653" s="2" t="n"/>
      <c r="F653" s="13" t="n"/>
      <c r="G653" s="2" t="n"/>
      <c r="H653" s="2" t="n"/>
      <c r="I653" s="2" t="n"/>
      <c r="J653" s="2" t="n"/>
      <c r="K653" s="2" t="n"/>
    </row>
    <row r="654">
      <c r="A654" s="6" t="n"/>
      <c r="B654" s="14" t="n"/>
      <c r="C654" s="6" t="n"/>
      <c r="D654" s="6" t="n"/>
      <c r="E654" s="6" t="n"/>
      <c r="F654" s="15" t="n"/>
      <c r="G654" s="6" t="n"/>
      <c r="H654" s="6" t="n"/>
      <c r="I654" s="6" t="n"/>
      <c r="J654" s="6" t="n"/>
      <c r="K654" s="6" t="n"/>
    </row>
    <row r="655">
      <c r="A655" s="2" t="n"/>
      <c r="B655" s="12" t="n"/>
      <c r="C655" s="2" t="n"/>
      <c r="D655" s="2" t="n"/>
      <c r="E655" s="2" t="n"/>
      <c r="F655" s="13" t="n"/>
      <c r="G655" s="2" t="n"/>
      <c r="H655" s="2" t="n"/>
      <c r="I655" s="2" t="n"/>
      <c r="J655" s="2" t="n"/>
      <c r="K655" s="2" t="n"/>
    </row>
    <row r="656">
      <c r="A656" s="6" t="n"/>
      <c r="B656" s="14" t="n"/>
      <c r="C656" s="6" t="n"/>
      <c r="D656" s="6" t="n"/>
      <c r="E656" s="6" t="n"/>
      <c r="F656" s="15" t="n"/>
      <c r="G656" s="6" t="n"/>
      <c r="H656" s="6" t="n"/>
      <c r="I656" s="6" t="n"/>
      <c r="J656" s="6" t="n"/>
      <c r="K656" s="6" t="n"/>
    </row>
    <row r="657">
      <c r="A657" s="2" t="n"/>
      <c r="B657" s="12" t="n"/>
      <c r="C657" s="2" t="n"/>
      <c r="D657" s="2" t="n"/>
      <c r="E657" s="2" t="n"/>
      <c r="F657" s="13" t="n"/>
      <c r="G657" s="2" t="n"/>
      <c r="H657" s="2" t="n"/>
      <c r="I657" s="2" t="n"/>
      <c r="J657" s="2" t="n"/>
      <c r="K657" s="2" t="n"/>
    </row>
    <row r="658">
      <c r="A658" s="6" t="n"/>
      <c r="B658" s="14" t="n"/>
      <c r="C658" s="6" t="n"/>
      <c r="D658" s="6" t="n"/>
      <c r="E658" s="6" t="n"/>
      <c r="F658" s="15" t="n"/>
      <c r="G658" s="6" t="n"/>
      <c r="H658" s="6" t="n"/>
      <c r="I658" s="6" t="n"/>
      <c r="J658" s="6" t="n"/>
      <c r="K658" s="6" t="n"/>
    </row>
    <row r="659">
      <c r="A659" s="2" t="n"/>
      <c r="B659" s="12" t="n"/>
      <c r="C659" s="2" t="n"/>
      <c r="D659" s="2" t="n"/>
      <c r="E659" s="2" t="n"/>
      <c r="F659" s="13" t="n"/>
      <c r="G659" s="2" t="n"/>
      <c r="H659" s="2" t="n"/>
      <c r="I659" s="2" t="n"/>
      <c r="J659" s="2" t="n"/>
      <c r="K659" s="2" t="n"/>
    </row>
    <row r="660">
      <c r="A660" s="6" t="n"/>
      <c r="B660" s="14" t="n"/>
      <c r="C660" s="6" t="n"/>
      <c r="D660" s="6" t="n"/>
      <c r="E660" s="6" t="n"/>
      <c r="F660" s="15" t="n"/>
      <c r="G660" s="6" t="n"/>
      <c r="H660" s="6" t="n"/>
      <c r="I660" s="6" t="n"/>
      <c r="J660" s="6" t="n"/>
      <c r="K660" s="6" t="n"/>
    </row>
    <row r="661">
      <c r="A661" s="2" t="n"/>
      <c r="B661" s="12" t="n"/>
      <c r="C661" s="2" t="n"/>
      <c r="D661" s="2" t="n"/>
      <c r="E661" s="2" t="n"/>
      <c r="F661" s="13" t="n"/>
      <c r="G661" s="2" t="n"/>
      <c r="H661" s="2" t="n"/>
      <c r="I661" s="2" t="n"/>
      <c r="J661" s="2" t="n"/>
      <c r="K661" s="2" t="n"/>
    </row>
    <row r="662">
      <c r="A662" s="6" t="n"/>
      <c r="B662" s="14" t="n"/>
      <c r="C662" s="6" t="n"/>
      <c r="D662" s="6" t="n"/>
      <c r="E662" s="6" t="n"/>
      <c r="F662" s="15" t="n"/>
      <c r="G662" s="6" t="n"/>
      <c r="H662" s="6" t="n"/>
      <c r="I662" s="6" t="n"/>
      <c r="J662" s="6" t="n"/>
      <c r="K662" s="6" t="n"/>
    </row>
    <row r="663">
      <c r="A663" s="2" t="n"/>
      <c r="B663" s="12" t="n"/>
      <c r="C663" s="2" t="n"/>
      <c r="D663" s="2" t="n"/>
      <c r="E663" s="2" t="n"/>
      <c r="F663" s="13" t="n"/>
      <c r="G663" s="2" t="n"/>
      <c r="H663" s="2" t="n"/>
      <c r="I663" s="2" t="n"/>
      <c r="J663" s="2" t="n"/>
      <c r="K663" s="2" t="n"/>
    </row>
    <row r="664">
      <c r="A664" s="6" t="n"/>
      <c r="B664" s="14" t="n"/>
      <c r="C664" s="6" t="n"/>
      <c r="D664" s="6" t="n"/>
      <c r="E664" s="6" t="n"/>
      <c r="F664" s="15" t="n"/>
      <c r="G664" s="6" t="n"/>
      <c r="H664" s="6" t="n"/>
      <c r="I664" s="6" t="n"/>
      <c r="J664" s="6" t="n"/>
      <c r="K664" s="6" t="n"/>
    </row>
    <row r="665">
      <c r="A665" s="2" t="n"/>
      <c r="B665" s="12" t="n"/>
      <c r="C665" s="2" t="n"/>
      <c r="D665" s="2" t="n"/>
      <c r="E665" s="2" t="n"/>
      <c r="F665" s="13" t="n"/>
      <c r="G665" s="2" t="n"/>
      <c r="H665" s="2" t="n"/>
      <c r="I665" s="2" t="n"/>
      <c r="J665" s="2" t="n"/>
      <c r="K665" s="2" t="n"/>
    </row>
    <row r="666">
      <c r="A666" s="6" t="n"/>
      <c r="B666" s="14" t="n"/>
      <c r="C666" s="6" t="n"/>
      <c r="D666" s="6" t="n"/>
      <c r="E666" s="6" t="n"/>
      <c r="F666" s="15" t="n"/>
      <c r="G666" s="6" t="n"/>
      <c r="H666" s="6" t="n"/>
      <c r="I666" s="6" t="n"/>
      <c r="J666" s="6" t="n"/>
      <c r="K666" s="6" t="n"/>
    </row>
    <row r="667">
      <c r="A667" s="2" t="n"/>
      <c r="B667" s="12" t="n"/>
      <c r="C667" s="2" t="n"/>
      <c r="D667" s="2" t="n"/>
      <c r="E667" s="2" t="n"/>
      <c r="F667" s="13" t="n"/>
      <c r="G667" s="2" t="n"/>
      <c r="H667" s="2" t="n"/>
      <c r="I667" s="2" t="n"/>
      <c r="J667" s="2" t="n"/>
      <c r="K667" s="2" t="n"/>
    </row>
    <row r="668">
      <c r="A668" s="6" t="n"/>
      <c r="B668" s="14" t="n"/>
      <c r="C668" s="6" t="n"/>
      <c r="D668" s="6" t="n"/>
      <c r="E668" s="6" t="n"/>
      <c r="F668" s="15" t="n"/>
      <c r="G668" s="6" t="n"/>
      <c r="H668" s="6" t="n"/>
      <c r="I668" s="6" t="n"/>
      <c r="J668" s="6" t="n"/>
      <c r="K668" s="6" t="n"/>
    </row>
    <row r="669">
      <c r="A669" s="2" t="n"/>
      <c r="B669" s="12" t="n"/>
      <c r="C669" s="2" t="n"/>
      <c r="D669" s="2" t="n"/>
      <c r="E669" s="2" t="n"/>
      <c r="F669" s="13" t="n"/>
      <c r="G669" s="2" t="n"/>
      <c r="H669" s="2" t="n"/>
      <c r="I669" s="2" t="n"/>
      <c r="J669" s="2" t="n"/>
      <c r="K669" s="2" t="n"/>
    </row>
    <row r="670">
      <c r="A670" s="6" t="n"/>
      <c r="B670" s="14" t="n"/>
      <c r="C670" s="6" t="n"/>
      <c r="D670" s="6" t="n"/>
      <c r="E670" s="6" t="n"/>
      <c r="F670" s="15" t="n"/>
      <c r="G670" s="6" t="n"/>
      <c r="H670" s="6" t="n"/>
      <c r="I670" s="6" t="n"/>
      <c r="J670" s="6" t="n"/>
      <c r="K670" s="6" t="n"/>
    </row>
    <row r="671">
      <c r="A671" s="2" t="n"/>
      <c r="B671" s="12" t="n"/>
      <c r="C671" s="2" t="n"/>
      <c r="D671" s="2" t="n"/>
      <c r="E671" s="2" t="n"/>
      <c r="F671" s="13" t="n"/>
      <c r="G671" s="2" t="n"/>
      <c r="H671" s="2" t="n"/>
      <c r="I671" s="2" t="n"/>
      <c r="J671" s="2" t="n"/>
      <c r="K671" s="2" t="n"/>
    </row>
    <row r="672">
      <c r="A672" s="6" t="n"/>
      <c r="B672" s="14" t="n"/>
      <c r="C672" s="6" t="n"/>
      <c r="D672" s="6" t="n"/>
      <c r="E672" s="6" t="n"/>
      <c r="F672" s="15" t="n"/>
      <c r="G672" s="6" t="n"/>
      <c r="H672" s="6" t="n"/>
      <c r="I672" s="6" t="n"/>
      <c r="J672" s="6" t="n"/>
      <c r="K672" s="6" t="n"/>
    </row>
    <row r="673">
      <c r="A673" s="2" t="n"/>
      <c r="B673" s="12" t="n"/>
      <c r="C673" s="2" t="n"/>
      <c r="D673" s="2" t="n"/>
      <c r="E673" s="2" t="n"/>
      <c r="F673" s="13" t="n"/>
      <c r="G673" s="2" t="n"/>
      <c r="H673" s="2" t="n"/>
      <c r="I673" s="2" t="n"/>
      <c r="J673" s="2" t="n"/>
      <c r="K673" s="2" t="n"/>
    </row>
    <row r="674">
      <c r="A674" s="6" t="n"/>
      <c r="B674" s="14" t="n"/>
      <c r="C674" s="6" t="n"/>
      <c r="D674" s="6" t="n"/>
      <c r="E674" s="6" t="n"/>
      <c r="F674" s="15" t="n"/>
      <c r="G674" s="6" t="n"/>
      <c r="H674" s="6" t="n"/>
      <c r="I674" s="6" t="n"/>
      <c r="J674" s="6" t="n"/>
      <c r="K674" s="6" t="n"/>
    </row>
    <row r="675">
      <c r="A675" s="2" t="n"/>
      <c r="B675" s="12" t="n"/>
      <c r="C675" s="2" t="n"/>
      <c r="D675" s="2" t="n"/>
      <c r="E675" s="2" t="n"/>
      <c r="F675" s="13" t="n"/>
      <c r="G675" s="2" t="n"/>
      <c r="H675" s="2" t="n"/>
      <c r="I675" s="2" t="n"/>
      <c r="J675" s="2" t="n"/>
      <c r="K675" s="2" t="n"/>
    </row>
    <row r="676">
      <c r="A676" s="6" t="n"/>
      <c r="B676" s="14" t="n"/>
      <c r="C676" s="6" t="n"/>
      <c r="D676" s="6" t="n"/>
      <c r="E676" s="6" t="n"/>
      <c r="F676" s="15" t="n"/>
      <c r="G676" s="6" t="n"/>
      <c r="H676" s="6" t="n"/>
      <c r="I676" s="6" t="n"/>
      <c r="J676" s="6" t="n"/>
      <c r="K676" s="6" t="n"/>
    </row>
    <row r="677">
      <c r="A677" s="2" t="n"/>
      <c r="B677" s="12" t="n"/>
      <c r="C677" s="2" t="n"/>
      <c r="D677" s="2" t="n"/>
      <c r="E677" s="2" t="n"/>
      <c r="F677" s="13" t="n"/>
      <c r="G677" s="2" t="n"/>
      <c r="H677" s="2" t="n"/>
      <c r="I677" s="2" t="n"/>
      <c r="J677" s="2" t="n"/>
      <c r="K677" s="2" t="n"/>
    </row>
    <row r="678">
      <c r="A678" s="6" t="n"/>
      <c r="B678" s="14" t="n"/>
      <c r="C678" s="6" t="n"/>
      <c r="D678" s="6" t="n"/>
      <c r="E678" s="6" t="n"/>
      <c r="F678" s="15" t="n"/>
      <c r="G678" s="6" t="n"/>
      <c r="H678" s="6" t="n"/>
      <c r="I678" s="6" t="n"/>
      <c r="J678" s="6" t="n"/>
      <c r="K678" s="6" t="n"/>
    </row>
    <row r="679">
      <c r="A679" s="2" t="n"/>
      <c r="B679" s="12" t="n"/>
      <c r="C679" s="2" t="n"/>
      <c r="D679" s="2" t="n"/>
      <c r="E679" s="2" t="n"/>
      <c r="F679" s="13" t="n"/>
      <c r="G679" s="2" t="n"/>
      <c r="H679" s="2" t="n"/>
      <c r="I679" s="2" t="n"/>
      <c r="J679" s="2" t="n"/>
      <c r="K679" s="2" t="n"/>
    </row>
    <row r="680">
      <c r="A680" s="6" t="n"/>
      <c r="B680" s="14" t="n"/>
      <c r="C680" s="6" t="n"/>
      <c r="D680" s="6" t="n"/>
      <c r="E680" s="6" t="n"/>
      <c r="F680" s="15" t="n"/>
      <c r="G680" s="6" t="n"/>
      <c r="H680" s="6" t="n"/>
      <c r="I680" s="6" t="n"/>
      <c r="J680" s="6" t="n"/>
      <c r="K680" s="6" t="n"/>
    </row>
    <row r="681">
      <c r="A681" s="2" t="n"/>
      <c r="B681" s="12" t="n"/>
      <c r="C681" s="2" t="n"/>
      <c r="D681" s="2" t="n"/>
      <c r="E681" s="2" t="n"/>
      <c r="F681" s="13" t="n"/>
      <c r="G681" s="2" t="n"/>
      <c r="H681" s="2" t="n"/>
      <c r="I681" s="2" t="n"/>
      <c r="J681" s="2" t="n"/>
      <c r="K681" s="2" t="n"/>
    </row>
    <row r="682">
      <c r="A682" s="6" t="n"/>
      <c r="B682" s="14" t="n"/>
      <c r="C682" s="6" t="n"/>
      <c r="D682" s="6" t="n"/>
      <c r="E682" s="6" t="n"/>
      <c r="F682" s="15" t="n"/>
      <c r="G682" s="6" t="n"/>
      <c r="H682" s="6" t="n"/>
      <c r="I682" s="6" t="n"/>
      <c r="J682" s="6" t="n"/>
      <c r="K682" s="6" t="n"/>
    </row>
    <row r="683">
      <c r="A683" s="2" t="n"/>
      <c r="B683" s="12" t="n"/>
      <c r="C683" s="2" t="n"/>
      <c r="D683" s="2" t="n"/>
      <c r="E683" s="2" t="n"/>
      <c r="F683" s="13" t="n"/>
      <c r="G683" s="2" t="n"/>
      <c r="H683" s="2" t="n"/>
      <c r="I683" s="2" t="n"/>
      <c r="J683" s="2" t="n"/>
      <c r="K683" s="2" t="n"/>
    </row>
    <row r="684">
      <c r="A684" s="6" t="n"/>
      <c r="B684" s="14" t="n"/>
      <c r="C684" s="6" t="n"/>
      <c r="D684" s="6" t="n"/>
      <c r="E684" s="6" t="n"/>
      <c r="F684" s="15" t="n"/>
      <c r="G684" s="6" t="n"/>
      <c r="H684" s="6" t="n"/>
      <c r="I684" s="6" t="n"/>
      <c r="J684" s="6" t="n"/>
      <c r="K684" s="6" t="n"/>
    </row>
    <row r="685">
      <c r="A685" s="2" t="n"/>
      <c r="B685" s="12" t="n"/>
      <c r="C685" s="2" t="n"/>
      <c r="D685" s="2" t="n"/>
      <c r="E685" s="2" t="n"/>
      <c r="F685" s="13" t="n"/>
      <c r="G685" s="2" t="n"/>
      <c r="H685" s="2" t="n"/>
      <c r="I685" s="2" t="n"/>
      <c r="J685" s="2" t="n"/>
      <c r="K685" s="2" t="n"/>
    </row>
    <row r="686">
      <c r="A686" s="6" t="n"/>
      <c r="B686" s="14" t="n"/>
      <c r="C686" s="6" t="n"/>
      <c r="D686" s="6" t="n"/>
      <c r="E686" s="6" t="n"/>
      <c r="F686" s="15" t="n"/>
      <c r="G686" s="6" t="n"/>
      <c r="H686" s="6" t="n"/>
      <c r="I686" s="6" t="n"/>
      <c r="J686" s="6" t="n"/>
      <c r="K686" s="6" t="n"/>
    </row>
    <row r="687">
      <c r="A687" s="2" t="n"/>
      <c r="B687" s="12" t="n"/>
      <c r="C687" s="2" t="n"/>
      <c r="D687" s="2" t="n"/>
      <c r="E687" s="2" t="n"/>
      <c r="F687" s="13" t="n"/>
      <c r="G687" s="2" t="n"/>
      <c r="H687" s="2" t="n"/>
      <c r="I687" s="2" t="n"/>
      <c r="J687" s="2" t="n"/>
      <c r="K687" s="2" t="n"/>
    </row>
    <row r="688">
      <c r="A688" s="6" t="n"/>
      <c r="B688" s="14" t="n"/>
      <c r="C688" s="6" t="n"/>
      <c r="D688" s="6" t="n"/>
      <c r="E688" s="6" t="n"/>
      <c r="F688" s="15" t="n"/>
      <c r="G688" s="6" t="n"/>
      <c r="H688" s="6" t="n"/>
      <c r="I688" s="6" t="n"/>
      <c r="J688" s="6" t="n"/>
      <c r="K688" s="6" t="n"/>
    </row>
    <row r="689">
      <c r="A689" s="2" t="n"/>
      <c r="B689" s="12" t="n"/>
      <c r="C689" s="2" t="n"/>
      <c r="D689" s="2" t="n"/>
      <c r="E689" s="2" t="n"/>
      <c r="F689" s="13" t="n"/>
      <c r="G689" s="2" t="n"/>
      <c r="H689" s="2" t="n"/>
      <c r="I689" s="2" t="n"/>
      <c r="J689" s="2" t="n"/>
      <c r="K689" s="2" t="n"/>
    </row>
    <row r="690">
      <c r="A690" s="6" t="n"/>
      <c r="B690" s="14" t="n"/>
      <c r="C690" s="6" t="n"/>
      <c r="D690" s="6" t="n"/>
      <c r="E690" s="6" t="n"/>
      <c r="F690" s="15" t="n"/>
      <c r="G690" s="6" t="n"/>
      <c r="H690" s="6" t="n"/>
      <c r="I690" s="6" t="n"/>
      <c r="J690" s="6" t="n"/>
      <c r="K690" s="6" t="n"/>
    </row>
    <row r="691">
      <c r="A691" s="2" t="n"/>
      <c r="B691" s="12" t="n"/>
      <c r="C691" s="2" t="n"/>
      <c r="D691" s="2" t="n"/>
      <c r="E691" s="2" t="n"/>
      <c r="F691" s="13" t="n"/>
      <c r="G691" s="2" t="n"/>
      <c r="H691" s="2" t="n"/>
      <c r="I691" s="2" t="n"/>
      <c r="J691" s="2" t="n"/>
      <c r="K691" s="2" t="n"/>
    </row>
    <row r="692">
      <c r="A692" s="6" t="n"/>
      <c r="B692" s="14" t="n"/>
      <c r="C692" s="6" t="n"/>
      <c r="D692" s="6" t="n"/>
      <c r="E692" s="6" t="n"/>
      <c r="F692" s="15" t="n"/>
      <c r="G692" s="6" t="n"/>
      <c r="H692" s="6" t="n"/>
      <c r="I692" s="6" t="n"/>
      <c r="J692" s="6" t="n"/>
      <c r="K692" s="6" t="n"/>
    </row>
    <row r="693">
      <c r="A693" s="2" t="n"/>
      <c r="B693" s="12" t="n"/>
      <c r="C693" s="2" t="n"/>
      <c r="D693" s="2" t="n"/>
      <c r="E693" s="2" t="n"/>
      <c r="F693" s="13" t="n"/>
      <c r="G693" s="2" t="n"/>
      <c r="H693" s="2" t="n"/>
      <c r="I693" s="2" t="n"/>
      <c r="J693" s="2" t="n"/>
      <c r="K693" s="2" t="n"/>
    </row>
    <row r="694">
      <c r="A694" s="6" t="n"/>
      <c r="B694" s="14" t="n"/>
      <c r="C694" s="6" t="n"/>
      <c r="D694" s="6" t="n"/>
      <c r="E694" s="6" t="n"/>
      <c r="F694" s="15" t="n"/>
      <c r="G694" s="6" t="n"/>
      <c r="H694" s="6" t="n"/>
      <c r="I694" s="6" t="n"/>
      <c r="J694" s="6" t="n"/>
      <c r="K694" s="6" t="n"/>
    </row>
    <row r="695">
      <c r="A695" s="2" t="n"/>
      <c r="B695" s="12" t="n"/>
      <c r="C695" s="2" t="n"/>
      <c r="D695" s="2" t="n"/>
      <c r="E695" s="2" t="n"/>
      <c r="F695" s="13" t="n"/>
      <c r="G695" s="2" t="n"/>
      <c r="H695" s="2" t="n"/>
      <c r="I695" s="2" t="n"/>
      <c r="J695" s="2" t="n"/>
      <c r="K695" s="2" t="n"/>
    </row>
    <row r="696">
      <c r="A696" s="6" t="n"/>
      <c r="B696" s="14" t="n"/>
      <c r="C696" s="6" t="n"/>
      <c r="D696" s="6" t="n"/>
      <c r="E696" s="6" t="n"/>
      <c r="F696" s="15" t="n"/>
      <c r="G696" s="6" t="n"/>
      <c r="H696" s="6" t="n"/>
      <c r="I696" s="6" t="n"/>
      <c r="J696" s="6" t="n"/>
      <c r="K696" s="6" t="n"/>
    </row>
    <row r="697">
      <c r="A697" s="2" t="n"/>
      <c r="B697" s="12" t="n"/>
      <c r="C697" s="2" t="n"/>
      <c r="D697" s="2" t="n"/>
      <c r="E697" s="2" t="n"/>
      <c r="F697" s="13" t="n"/>
      <c r="G697" s="2" t="n"/>
      <c r="H697" s="2" t="n"/>
      <c r="I697" s="2" t="n"/>
      <c r="J697" s="2" t="n"/>
      <c r="K697" s="2" t="n"/>
    </row>
    <row r="698">
      <c r="A698" s="6" t="n"/>
      <c r="B698" s="14" t="n"/>
      <c r="C698" s="6" t="n"/>
      <c r="D698" s="6" t="n"/>
      <c r="E698" s="6" t="n"/>
      <c r="F698" s="15" t="n"/>
      <c r="G698" s="6" t="n"/>
      <c r="H698" s="6" t="n"/>
      <c r="I698" s="6" t="n"/>
      <c r="J698" s="6" t="n"/>
      <c r="K698" s="6" t="n"/>
    </row>
    <row r="699">
      <c r="A699" s="2" t="n"/>
      <c r="B699" s="12" t="n"/>
      <c r="C699" s="2" t="n"/>
      <c r="D699" s="2" t="n"/>
      <c r="E699" s="2" t="n"/>
      <c r="F699" s="13" t="n"/>
      <c r="G699" s="2" t="n"/>
      <c r="H699" s="2" t="n"/>
      <c r="I699" s="2" t="n"/>
      <c r="J699" s="2" t="n"/>
      <c r="K699" s="2" t="n"/>
    </row>
    <row r="700">
      <c r="A700" s="6" t="n"/>
      <c r="B700" s="14" t="n"/>
      <c r="C700" s="6" t="n"/>
      <c r="D700" s="6" t="n"/>
      <c r="E700" s="6" t="n"/>
      <c r="F700" s="15" t="n"/>
      <c r="G700" s="6" t="n"/>
      <c r="H700" s="6" t="n"/>
      <c r="I700" s="6" t="n"/>
      <c r="J700" s="6" t="n"/>
      <c r="K700" s="6" t="n"/>
    </row>
    <row r="701">
      <c r="A701" s="2" t="n"/>
      <c r="B701" s="12" t="n"/>
      <c r="C701" s="2" t="n"/>
      <c r="D701" s="2" t="n"/>
      <c r="E701" s="2" t="n"/>
      <c r="F701" s="13" t="n"/>
      <c r="G701" s="2" t="n"/>
      <c r="H701" s="2" t="n"/>
      <c r="I701" s="2" t="n"/>
      <c r="J701" s="2" t="n"/>
      <c r="K701" s="2" t="n"/>
    </row>
    <row r="702">
      <c r="A702" s="6" t="n"/>
      <c r="B702" s="14" t="n"/>
      <c r="C702" s="6" t="n"/>
      <c r="D702" s="6" t="n"/>
      <c r="E702" s="6" t="n"/>
      <c r="F702" s="15" t="n"/>
      <c r="G702" s="6" t="n"/>
      <c r="H702" s="6" t="n"/>
      <c r="I702" s="6" t="n"/>
      <c r="J702" s="6" t="n"/>
      <c r="K702" s="6" t="n"/>
    </row>
    <row r="703">
      <c r="A703" s="2" t="n"/>
      <c r="B703" s="12" t="n"/>
      <c r="C703" s="2" t="n"/>
      <c r="D703" s="2" t="n"/>
      <c r="E703" s="2" t="n"/>
      <c r="F703" s="13" t="n"/>
      <c r="G703" s="2" t="n"/>
      <c r="H703" s="2" t="n"/>
      <c r="I703" s="2" t="n"/>
      <c r="J703" s="2" t="n"/>
      <c r="K703" s="2" t="n"/>
    </row>
    <row r="704">
      <c r="A704" s="6" t="n"/>
      <c r="B704" s="14" t="n"/>
      <c r="C704" s="6" t="n"/>
      <c r="D704" s="6" t="n"/>
      <c r="E704" s="6" t="n"/>
      <c r="F704" s="15" t="n"/>
      <c r="G704" s="6" t="n"/>
      <c r="H704" s="6" t="n"/>
      <c r="I704" s="6" t="n"/>
      <c r="J704" s="6" t="n"/>
      <c r="K704" s="6" t="n"/>
    </row>
    <row r="705">
      <c r="A705" s="2" t="n"/>
      <c r="B705" s="12" t="n"/>
      <c r="C705" s="2" t="n"/>
      <c r="D705" s="2" t="n"/>
      <c r="E705" s="2" t="n"/>
      <c r="F705" s="13" t="n"/>
      <c r="G705" s="2" t="n"/>
      <c r="H705" s="2" t="n"/>
      <c r="I705" s="2" t="n"/>
      <c r="J705" s="2" t="n"/>
      <c r="K705" s="2" t="n"/>
    </row>
    <row r="706">
      <c r="A706" s="6" t="n"/>
      <c r="B706" s="14" t="n"/>
      <c r="C706" s="6" t="n"/>
      <c r="D706" s="6" t="n"/>
      <c r="E706" s="6" t="n"/>
      <c r="F706" s="15" t="n"/>
      <c r="G706" s="6" t="n"/>
      <c r="H706" s="6" t="n"/>
      <c r="I706" s="6" t="n"/>
      <c r="J706" s="6" t="n"/>
      <c r="K706" s="6" t="n"/>
    </row>
    <row r="707">
      <c r="A707" s="2" t="n"/>
      <c r="B707" s="12" t="n"/>
      <c r="C707" s="2" t="n"/>
      <c r="D707" s="2" t="n"/>
      <c r="E707" s="2" t="n"/>
      <c r="F707" s="13" t="n"/>
      <c r="G707" s="2" t="n"/>
      <c r="H707" s="2" t="n"/>
      <c r="I707" s="2" t="n"/>
      <c r="J707" s="2" t="n"/>
      <c r="K707" s="2" t="n"/>
    </row>
    <row r="708">
      <c r="A708" s="6" t="n"/>
      <c r="B708" s="14" t="n"/>
      <c r="C708" s="6" t="n"/>
      <c r="D708" s="6" t="n"/>
      <c r="E708" s="6" t="n"/>
      <c r="F708" s="15" t="n"/>
      <c r="G708" s="6" t="n"/>
      <c r="H708" s="6" t="n"/>
      <c r="I708" s="6" t="n"/>
      <c r="J708" s="6" t="n"/>
      <c r="K708" s="6" t="n"/>
    </row>
    <row r="709">
      <c r="A709" s="2" t="n"/>
      <c r="B709" s="12" t="n"/>
      <c r="C709" s="2" t="n"/>
      <c r="D709" s="2" t="n"/>
      <c r="E709" s="2" t="n"/>
      <c r="F709" s="13" t="n"/>
      <c r="G709" s="2" t="n"/>
      <c r="H709" s="2" t="n"/>
      <c r="I709" s="2" t="n"/>
      <c r="J709" s="2" t="n"/>
      <c r="K709" s="2" t="n"/>
    </row>
    <row r="710">
      <c r="A710" s="6" t="n"/>
      <c r="B710" s="14" t="n"/>
      <c r="C710" s="6" t="n"/>
      <c r="D710" s="6" t="n"/>
      <c r="E710" s="6" t="n"/>
      <c r="F710" s="15" t="n"/>
      <c r="G710" s="6" t="n"/>
      <c r="H710" s="6" t="n"/>
      <c r="I710" s="6" t="n"/>
      <c r="J710" s="6" t="n"/>
      <c r="K710" s="6" t="n"/>
    </row>
    <row r="711">
      <c r="A711" s="2" t="n"/>
      <c r="B711" s="12" t="n"/>
      <c r="C711" s="2" t="n"/>
      <c r="D711" s="2" t="n"/>
      <c r="E711" s="2" t="n"/>
      <c r="F711" s="13" t="n"/>
      <c r="G711" s="2" t="n"/>
      <c r="H711" s="2" t="n"/>
      <c r="I711" s="2" t="n"/>
      <c r="J711" s="2" t="n"/>
      <c r="K711" s="2" t="n"/>
    </row>
    <row r="712">
      <c r="A712" s="6" t="n"/>
      <c r="B712" s="14" t="n"/>
      <c r="C712" s="6" t="n"/>
      <c r="D712" s="6" t="n"/>
      <c r="E712" s="6" t="n"/>
      <c r="F712" s="15" t="n"/>
      <c r="G712" s="6" t="n"/>
      <c r="H712" s="6" t="n"/>
      <c r="I712" s="6" t="n"/>
      <c r="J712" s="6" t="n"/>
      <c r="K712" s="6" t="n"/>
    </row>
    <row r="713">
      <c r="A713" s="2" t="n"/>
      <c r="B713" s="12" t="n"/>
      <c r="C713" s="2" t="n"/>
      <c r="D713" s="2" t="n"/>
      <c r="E713" s="2" t="n"/>
      <c r="F713" s="13" t="n"/>
      <c r="G713" s="2" t="n"/>
      <c r="H713" s="2" t="n"/>
      <c r="I713" s="2" t="n"/>
      <c r="J713" s="2" t="n"/>
      <c r="K713" s="2" t="n"/>
    </row>
    <row r="714">
      <c r="A714" s="6" t="n"/>
      <c r="B714" s="14" t="n"/>
      <c r="C714" s="6" t="n"/>
      <c r="D714" s="6" t="n"/>
      <c r="E714" s="6" t="n"/>
      <c r="F714" s="15" t="n"/>
      <c r="G714" s="6" t="n"/>
      <c r="H714" s="6" t="n"/>
      <c r="I714" s="6" t="n"/>
      <c r="J714" s="6" t="n"/>
      <c r="K714" s="6" t="n"/>
    </row>
    <row r="715">
      <c r="A715" s="2" t="n"/>
      <c r="B715" s="12" t="n"/>
      <c r="C715" s="2" t="n"/>
      <c r="D715" s="2" t="n"/>
      <c r="E715" s="2" t="n"/>
      <c r="F715" s="13" t="n"/>
      <c r="G715" s="2" t="n"/>
      <c r="H715" s="2" t="n"/>
      <c r="I715" s="2" t="n"/>
      <c r="J715" s="2" t="n"/>
      <c r="K715" s="2" t="n"/>
    </row>
    <row r="716">
      <c r="A716" s="6" t="n"/>
      <c r="B716" s="14" t="n"/>
      <c r="C716" s="6" t="n"/>
      <c r="D716" s="6" t="n"/>
      <c r="E716" s="6" t="n"/>
      <c r="F716" s="15" t="n"/>
      <c r="G716" s="6" t="n"/>
      <c r="H716" s="6" t="n"/>
      <c r="I716" s="6" t="n"/>
      <c r="J716" s="6" t="n"/>
      <c r="K716" s="6" t="n"/>
    </row>
    <row r="717">
      <c r="A717" s="2" t="n"/>
      <c r="B717" s="12" t="n"/>
      <c r="C717" s="2" t="n"/>
      <c r="D717" s="2" t="n"/>
      <c r="E717" s="2" t="n"/>
      <c r="F717" s="13" t="n"/>
      <c r="G717" s="2" t="n"/>
      <c r="H717" s="2" t="n"/>
      <c r="I717" s="2" t="n"/>
      <c r="J717" s="2" t="n"/>
      <c r="K717" s="2" t="n"/>
    </row>
    <row r="718">
      <c r="A718" s="6" t="n"/>
      <c r="B718" s="14" t="n"/>
      <c r="C718" s="6" t="n"/>
      <c r="D718" s="6" t="n"/>
      <c r="E718" s="6" t="n"/>
      <c r="F718" s="15" t="n"/>
      <c r="G718" s="6" t="n"/>
      <c r="H718" s="6" t="n"/>
      <c r="I718" s="6" t="n"/>
      <c r="J718" s="6" t="n"/>
      <c r="K718" s="6" t="n"/>
    </row>
    <row r="719">
      <c r="A719" s="2" t="n"/>
      <c r="B719" s="12" t="n"/>
      <c r="C719" s="2" t="n"/>
      <c r="D719" s="2" t="n"/>
      <c r="E719" s="2" t="n"/>
      <c r="F719" s="13" t="n"/>
      <c r="G719" s="2" t="n"/>
      <c r="H719" s="2" t="n"/>
      <c r="I719" s="2" t="n"/>
      <c r="J719" s="2" t="n"/>
      <c r="K719" s="2" t="n"/>
    </row>
    <row r="720">
      <c r="A720" s="6" t="n"/>
      <c r="B720" s="14" t="n"/>
      <c r="C720" s="6" t="n"/>
      <c r="D720" s="6" t="n"/>
      <c r="E720" s="6" t="n"/>
      <c r="F720" s="15" t="n"/>
      <c r="G720" s="6" t="n"/>
      <c r="H720" s="6" t="n"/>
      <c r="I720" s="6" t="n"/>
      <c r="J720" s="6" t="n"/>
      <c r="K720" s="6" t="n"/>
    </row>
    <row r="721">
      <c r="A721" s="2" t="n"/>
      <c r="B721" s="12" t="n"/>
      <c r="C721" s="2" t="n"/>
      <c r="D721" s="2" t="n"/>
      <c r="E721" s="2" t="n"/>
      <c r="F721" s="13" t="n"/>
      <c r="G721" s="2" t="n"/>
      <c r="H721" s="2" t="n"/>
      <c r="I721" s="2" t="n"/>
      <c r="J721" s="2" t="n"/>
      <c r="K721" s="2" t="n"/>
    </row>
    <row r="722">
      <c r="A722" s="6" t="n"/>
      <c r="B722" s="14" t="n"/>
      <c r="C722" s="6" t="n"/>
      <c r="D722" s="6" t="n"/>
      <c r="E722" s="6" t="n"/>
      <c r="F722" s="15" t="n"/>
      <c r="G722" s="6" t="n"/>
      <c r="H722" s="6" t="n"/>
      <c r="I722" s="6" t="n"/>
      <c r="J722" s="6" t="n"/>
      <c r="K722" s="6" t="n"/>
    </row>
    <row r="723">
      <c r="A723" s="2" t="n"/>
      <c r="B723" s="12" t="n"/>
      <c r="C723" s="2" t="n"/>
      <c r="D723" s="2" t="n"/>
      <c r="E723" s="2" t="n"/>
      <c r="F723" s="13" t="n"/>
      <c r="G723" s="2" t="n"/>
      <c r="H723" s="2" t="n"/>
      <c r="I723" s="2" t="n"/>
      <c r="J723" s="2" t="n"/>
      <c r="K723" s="2" t="n"/>
    </row>
    <row r="724">
      <c r="A724" s="6" t="n"/>
      <c r="B724" s="14" t="n"/>
      <c r="C724" s="6" t="n"/>
      <c r="D724" s="6" t="n"/>
      <c r="E724" s="6" t="n"/>
      <c r="F724" s="15" t="n"/>
      <c r="G724" s="6" t="n"/>
      <c r="H724" s="6" t="n"/>
      <c r="I724" s="6" t="n"/>
      <c r="J724" s="6" t="n"/>
      <c r="K724" s="6" t="n"/>
    </row>
    <row r="725">
      <c r="A725" s="2" t="n"/>
      <c r="B725" s="12" t="n"/>
      <c r="C725" s="2" t="n"/>
      <c r="D725" s="2" t="n"/>
      <c r="E725" s="2" t="n"/>
      <c r="F725" s="13" t="n"/>
      <c r="G725" s="2" t="n"/>
      <c r="H725" s="2" t="n"/>
      <c r="I725" s="2" t="n"/>
      <c r="J725" s="2" t="n"/>
      <c r="K725" s="2" t="n"/>
    </row>
    <row r="726">
      <c r="A726" s="6" t="n"/>
      <c r="B726" s="14" t="n"/>
      <c r="C726" s="6" t="n"/>
      <c r="D726" s="6" t="n"/>
      <c r="E726" s="6" t="n"/>
      <c r="F726" s="15" t="n"/>
      <c r="G726" s="6" t="n"/>
      <c r="H726" s="6" t="n"/>
      <c r="I726" s="6" t="n"/>
      <c r="J726" s="6" t="n"/>
      <c r="K726" s="6" t="n"/>
    </row>
    <row r="727">
      <c r="A727" s="2" t="n"/>
      <c r="B727" s="12" t="n"/>
      <c r="C727" s="2" t="n"/>
      <c r="D727" s="2" t="n"/>
      <c r="E727" s="2" t="n"/>
      <c r="F727" s="13" t="n"/>
      <c r="G727" s="2" t="n"/>
      <c r="H727" s="2" t="n"/>
      <c r="I727" s="2" t="n"/>
      <c r="J727" s="2" t="n"/>
      <c r="K727" s="2" t="n"/>
    </row>
    <row r="728">
      <c r="A728" s="6" t="n"/>
      <c r="B728" s="14" t="n"/>
      <c r="C728" s="6" t="n"/>
      <c r="D728" s="6" t="n"/>
      <c r="E728" s="6" t="n"/>
      <c r="F728" s="15" t="n"/>
      <c r="G728" s="6" t="n"/>
      <c r="H728" s="6" t="n"/>
      <c r="I728" s="6" t="n"/>
      <c r="J728" s="6" t="n"/>
      <c r="K728" s="6" t="n"/>
    </row>
    <row r="729">
      <c r="A729" s="2" t="n"/>
      <c r="B729" s="12" t="n"/>
      <c r="C729" s="2" t="n"/>
      <c r="D729" s="2" t="n"/>
      <c r="E729" s="2" t="n"/>
      <c r="F729" s="13" t="n"/>
      <c r="G729" s="2" t="n"/>
      <c r="H729" s="2" t="n"/>
      <c r="I729" s="2" t="n"/>
      <c r="J729" s="2" t="n"/>
      <c r="K729" s="2" t="n"/>
    </row>
    <row r="730">
      <c r="A730" s="6" t="n"/>
      <c r="B730" s="14" t="n"/>
      <c r="C730" s="6" t="n"/>
      <c r="D730" s="6" t="n"/>
      <c r="E730" s="6" t="n"/>
      <c r="F730" s="15" t="n"/>
      <c r="G730" s="6" t="n"/>
      <c r="H730" s="6" t="n"/>
      <c r="I730" s="6" t="n"/>
      <c r="J730" s="6" t="n"/>
      <c r="K730" s="6" t="n"/>
    </row>
    <row r="731">
      <c r="A731" s="2" t="n"/>
      <c r="B731" s="12" t="n"/>
      <c r="C731" s="2" t="n"/>
      <c r="D731" s="2" t="n"/>
      <c r="E731" s="2" t="n"/>
      <c r="F731" s="13" t="n"/>
      <c r="G731" s="2" t="n"/>
      <c r="H731" s="2" t="n"/>
      <c r="I731" s="2" t="n"/>
      <c r="J731" s="2" t="n"/>
      <c r="K731" s="2" t="n"/>
    </row>
    <row r="732">
      <c r="A732" s="6" t="n"/>
      <c r="B732" s="14" t="n"/>
      <c r="C732" s="6" t="n"/>
      <c r="D732" s="6" t="n"/>
      <c r="E732" s="6" t="n"/>
      <c r="F732" s="15" t="n"/>
      <c r="G732" s="6" t="n"/>
      <c r="H732" s="6" t="n"/>
      <c r="I732" s="6" t="n"/>
      <c r="J732" s="6" t="n"/>
      <c r="K732" s="6" t="n"/>
    </row>
    <row r="733">
      <c r="A733" s="2" t="n"/>
      <c r="B733" s="12" t="n"/>
      <c r="C733" s="2" t="n"/>
      <c r="D733" s="2" t="n"/>
      <c r="E733" s="2" t="n"/>
      <c r="F733" s="13" t="n"/>
      <c r="G733" s="2" t="n"/>
      <c r="H733" s="2" t="n"/>
      <c r="I733" s="2" t="n"/>
      <c r="J733" s="2" t="n"/>
      <c r="K733" s="2" t="n"/>
    </row>
    <row r="734">
      <c r="A734" s="6" t="n"/>
      <c r="B734" s="14" t="n"/>
      <c r="C734" s="6" t="n"/>
      <c r="D734" s="6" t="n"/>
      <c r="E734" s="6" t="n"/>
      <c r="F734" s="15" t="n"/>
      <c r="G734" s="6" t="n"/>
      <c r="H734" s="6" t="n"/>
      <c r="I734" s="6" t="n"/>
      <c r="J734" s="6" t="n"/>
      <c r="K734" s="6" t="n"/>
    </row>
    <row r="735">
      <c r="A735" s="2" t="n"/>
      <c r="B735" s="12" t="n"/>
      <c r="C735" s="2" t="n"/>
      <c r="D735" s="2" t="n"/>
      <c r="E735" s="2" t="n"/>
      <c r="F735" s="13" t="n"/>
      <c r="G735" s="2" t="n"/>
      <c r="H735" s="2" t="n"/>
      <c r="I735" s="2" t="n"/>
      <c r="J735" s="2" t="n"/>
      <c r="K735" s="2" t="n"/>
    </row>
    <row r="736">
      <c r="A736" s="6" t="n"/>
      <c r="B736" s="14" t="n"/>
      <c r="C736" s="6" t="n"/>
      <c r="D736" s="6" t="n"/>
      <c r="E736" s="6" t="n"/>
      <c r="F736" s="15" t="n"/>
      <c r="G736" s="6" t="n"/>
      <c r="H736" s="6" t="n"/>
      <c r="I736" s="6" t="n"/>
      <c r="J736" s="6" t="n"/>
      <c r="K736" s="6" t="n"/>
    </row>
    <row r="737">
      <c r="A737" s="2" t="n"/>
      <c r="B737" s="12" t="n"/>
      <c r="C737" s="2" t="n"/>
      <c r="D737" s="2" t="n"/>
      <c r="E737" s="2" t="n"/>
      <c r="F737" s="13" t="n"/>
      <c r="G737" s="2" t="n"/>
      <c r="H737" s="2" t="n"/>
      <c r="I737" s="2" t="n"/>
      <c r="J737" s="2" t="n"/>
      <c r="K737" s="2" t="n"/>
    </row>
    <row r="738">
      <c r="A738" s="6" t="n"/>
      <c r="B738" s="14" t="n"/>
      <c r="C738" s="6" t="n"/>
      <c r="D738" s="6" t="n"/>
      <c r="E738" s="6" t="n"/>
      <c r="F738" s="15" t="n"/>
      <c r="G738" s="6" t="n"/>
      <c r="H738" s="6" t="n"/>
      <c r="I738" s="6" t="n"/>
      <c r="J738" s="6" t="n"/>
      <c r="K738" s="6" t="n"/>
    </row>
    <row r="739">
      <c r="A739" s="2" t="n"/>
      <c r="B739" s="12" t="n"/>
      <c r="C739" s="2" t="n"/>
      <c r="D739" s="2" t="n"/>
      <c r="E739" s="2" t="n"/>
      <c r="F739" s="13" t="n"/>
      <c r="G739" s="2" t="n"/>
      <c r="H739" s="2" t="n"/>
      <c r="I739" s="2" t="n"/>
      <c r="J739" s="2" t="n"/>
      <c r="K739" s="2" t="n"/>
    </row>
    <row r="740">
      <c r="A740" s="6" t="n"/>
      <c r="B740" s="14" t="n"/>
      <c r="C740" s="6" t="n"/>
      <c r="D740" s="6" t="n"/>
      <c r="E740" s="6" t="n"/>
      <c r="F740" s="15" t="n"/>
      <c r="G740" s="6" t="n"/>
      <c r="H740" s="6" t="n"/>
      <c r="I740" s="6" t="n"/>
      <c r="J740" s="6" t="n"/>
      <c r="K740" s="6" t="n"/>
    </row>
    <row r="741">
      <c r="A741" s="2" t="n"/>
      <c r="B741" s="12" t="n"/>
      <c r="C741" s="2" t="n"/>
      <c r="D741" s="2" t="n"/>
      <c r="E741" s="2" t="n"/>
      <c r="F741" s="13" t="n"/>
      <c r="G741" s="2" t="n"/>
      <c r="H741" s="2" t="n"/>
      <c r="I741" s="2" t="n"/>
      <c r="J741" s="2" t="n"/>
      <c r="K741" s="2" t="n"/>
    </row>
    <row r="742">
      <c r="A742" s="6" t="n"/>
      <c r="B742" s="14" t="n"/>
      <c r="C742" s="6" t="n"/>
      <c r="D742" s="6" t="n"/>
      <c r="E742" s="6" t="n"/>
      <c r="F742" s="15" t="n"/>
      <c r="G742" s="6" t="n"/>
      <c r="H742" s="6" t="n"/>
      <c r="I742" s="6" t="n"/>
      <c r="J742" s="6" t="n"/>
      <c r="K742" s="6" t="n"/>
    </row>
    <row r="743">
      <c r="A743" s="2" t="n"/>
      <c r="B743" s="12" t="n"/>
      <c r="C743" s="2" t="n"/>
      <c r="D743" s="2" t="n"/>
      <c r="E743" s="2" t="n"/>
      <c r="F743" s="13" t="n"/>
      <c r="G743" s="2" t="n"/>
      <c r="H743" s="2" t="n"/>
      <c r="I743" s="2" t="n"/>
      <c r="J743" s="2" t="n"/>
      <c r="K743" s="2" t="n"/>
    </row>
    <row r="744">
      <c r="A744" s="6" t="n"/>
      <c r="B744" s="14" t="n"/>
      <c r="C744" s="6" t="n"/>
      <c r="D744" s="6" t="n"/>
      <c r="E744" s="6" t="n"/>
      <c r="F744" s="15" t="n"/>
      <c r="G744" s="6" t="n"/>
      <c r="H744" s="6" t="n"/>
      <c r="I744" s="6" t="n"/>
      <c r="J744" s="6" t="n"/>
      <c r="K744" s="6" t="n"/>
    </row>
    <row r="745">
      <c r="A745" s="2" t="n"/>
      <c r="B745" s="12" t="n"/>
      <c r="C745" s="2" t="n"/>
      <c r="D745" s="2" t="n"/>
      <c r="E745" s="2" t="n"/>
      <c r="F745" s="13" t="n"/>
      <c r="G745" s="2" t="n"/>
      <c r="H745" s="2" t="n"/>
      <c r="I745" s="2" t="n"/>
      <c r="J745" s="2" t="n"/>
      <c r="K745" s="2" t="n"/>
    </row>
    <row r="746">
      <c r="A746" s="6" t="n"/>
      <c r="B746" s="14" t="n"/>
      <c r="C746" s="6" t="n"/>
      <c r="D746" s="6" t="n"/>
      <c r="E746" s="6" t="n"/>
      <c r="F746" s="15" t="n"/>
      <c r="G746" s="6" t="n"/>
      <c r="H746" s="6" t="n"/>
      <c r="I746" s="6" t="n"/>
      <c r="J746" s="6" t="n"/>
      <c r="K746" s="6" t="n"/>
    </row>
    <row r="747">
      <c r="A747" s="2" t="n"/>
      <c r="B747" s="12" t="n"/>
      <c r="C747" s="2" t="n"/>
      <c r="D747" s="2" t="n"/>
      <c r="E747" s="2" t="n"/>
      <c r="F747" s="13" t="n"/>
      <c r="G747" s="2" t="n"/>
      <c r="H747" s="2" t="n"/>
      <c r="I747" s="2" t="n"/>
      <c r="J747" s="2" t="n"/>
      <c r="K747" s="2" t="n"/>
    </row>
    <row r="748">
      <c r="A748" s="6" t="n"/>
      <c r="B748" s="14" t="n"/>
      <c r="C748" s="6" t="n"/>
      <c r="D748" s="6" t="n"/>
      <c r="E748" s="6" t="n"/>
      <c r="F748" s="15" t="n"/>
      <c r="G748" s="6" t="n"/>
      <c r="H748" s="6" t="n"/>
      <c r="I748" s="6" t="n"/>
      <c r="J748" s="6" t="n"/>
      <c r="K748" s="6" t="n"/>
    </row>
    <row r="749">
      <c r="A749" s="2" t="n"/>
      <c r="B749" s="12" t="n"/>
      <c r="C749" s="2" t="n"/>
      <c r="D749" s="2" t="n"/>
      <c r="E749" s="2" t="n"/>
      <c r="F749" s="13" t="n"/>
      <c r="G749" s="2" t="n"/>
      <c r="H749" s="2" t="n"/>
      <c r="I749" s="2" t="n"/>
      <c r="J749" s="2" t="n"/>
      <c r="K749" s="2" t="n"/>
    </row>
    <row r="750">
      <c r="A750" s="6" t="n"/>
      <c r="B750" s="14" t="n"/>
      <c r="C750" s="6" t="n"/>
      <c r="D750" s="6" t="n"/>
      <c r="E750" s="6" t="n"/>
      <c r="F750" s="15" t="n"/>
      <c r="G750" s="6" t="n"/>
      <c r="H750" s="6" t="n"/>
      <c r="I750" s="6" t="n"/>
      <c r="J750" s="6" t="n"/>
      <c r="K750" s="6" t="n"/>
    </row>
    <row r="751">
      <c r="A751" s="2" t="n"/>
      <c r="B751" s="12" t="n"/>
      <c r="C751" s="2" t="n"/>
      <c r="D751" s="2" t="n"/>
      <c r="E751" s="2" t="n"/>
      <c r="F751" s="13" t="n"/>
      <c r="G751" s="2" t="n"/>
      <c r="H751" s="2" t="n"/>
      <c r="I751" s="2" t="n"/>
      <c r="J751" s="2" t="n"/>
      <c r="K751" s="2" t="n"/>
    </row>
    <row r="752">
      <c r="A752" s="6" t="n"/>
      <c r="B752" s="14" t="n"/>
      <c r="C752" s="6" t="n"/>
      <c r="D752" s="6" t="n"/>
      <c r="E752" s="6" t="n"/>
      <c r="F752" s="15" t="n"/>
      <c r="G752" s="6" t="n"/>
      <c r="H752" s="6" t="n"/>
      <c r="I752" s="6" t="n"/>
      <c r="J752" s="6" t="n"/>
      <c r="K752" s="6" t="n"/>
    </row>
    <row r="753">
      <c r="A753" s="2" t="n"/>
      <c r="B753" s="12" t="n"/>
      <c r="C753" s="2" t="n"/>
      <c r="D753" s="2" t="n"/>
      <c r="E753" s="2" t="n"/>
      <c r="F753" s="13" t="n"/>
      <c r="G753" s="2" t="n"/>
      <c r="H753" s="2" t="n"/>
      <c r="I753" s="2" t="n"/>
      <c r="J753" s="2" t="n"/>
      <c r="K753" s="2" t="n"/>
    </row>
    <row r="754">
      <c r="A754" s="6" t="n"/>
      <c r="B754" s="14" t="n"/>
      <c r="C754" s="6" t="n"/>
      <c r="D754" s="6" t="n"/>
      <c r="E754" s="6" t="n"/>
      <c r="F754" s="15" t="n"/>
      <c r="G754" s="6" t="n"/>
      <c r="H754" s="6" t="n"/>
      <c r="I754" s="6" t="n"/>
      <c r="J754" s="6" t="n"/>
      <c r="K754" s="6" t="n"/>
    </row>
    <row r="755">
      <c r="A755" s="2" t="n"/>
      <c r="B755" s="12" t="n"/>
      <c r="C755" s="2" t="n"/>
      <c r="D755" s="2" t="n"/>
      <c r="E755" s="2" t="n"/>
      <c r="F755" s="13" t="n"/>
      <c r="G755" s="2" t="n"/>
      <c r="H755" s="2" t="n"/>
      <c r="I755" s="2" t="n"/>
      <c r="J755" s="2" t="n"/>
      <c r="K755" s="2" t="n"/>
    </row>
    <row r="756">
      <c r="A756" s="6" t="n"/>
      <c r="B756" s="14" t="n"/>
      <c r="C756" s="6" t="n"/>
      <c r="D756" s="6" t="n"/>
      <c r="E756" s="6" t="n"/>
      <c r="F756" s="15" t="n"/>
      <c r="G756" s="6" t="n"/>
      <c r="H756" s="6" t="n"/>
      <c r="I756" s="6" t="n"/>
      <c r="J756" s="6" t="n"/>
      <c r="K756" s="6" t="n"/>
    </row>
    <row r="757">
      <c r="A757" s="2" t="n"/>
      <c r="B757" s="12" t="n"/>
      <c r="C757" s="2" t="n"/>
      <c r="D757" s="2" t="n"/>
      <c r="E757" s="2" t="n"/>
      <c r="F757" s="13" t="n"/>
      <c r="G757" s="2" t="n"/>
      <c r="H757" s="2" t="n"/>
      <c r="I757" s="2" t="n"/>
      <c r="J757" s="2" t="n"/>
      <c r="K757" s="2" t="n"/>
    </row>
    <row r="758">
      <c r="A758" s="6" t="n"/>
      <c r="B758" s="14" t="n"/>
      <c r="C758" s="6" t="n"/>
      <c r="D758" s="6" t="n"/>
      <c r="E758" s="6" t="n"/>
      <c r="F758" s="15" t="n"/>
      <c r="G758" s="6" t="n"/>
      <c r="H758" s="6" t="n"/>
      <c r="I758" s="6" t="n"/>
      <c r="J758" s="6" t="n"/>
      <c r="K758" s="6" t="n"/>
    </row>
    <row r="759">
      <c r="A759" s="2" t="n"/>
      <c r="B759" s="12" t="n"/>
      <c r="C759" s="2" t="n"/>
      <c r="D759" s="2" t="n"/>
      <c r="E759" s="2" t="n"/>
      <c r="F759" s="13" t="n"/>
      <c r="G759" s="2" t="n"/>
      <c r="H759" s="2" t="n"/>
      <c r="I759" s="2" t="n"/>
      <c r="J759" s="2" t="n"/>
      <c r="K759" s="2" t="n"/>
    </row>
    <row r="760">
      <c r="A760" s="6" t="n"/>
      <c r="B760" s="14" t="n"/>
      <c r="C760" s="6" t="n"/>
      <c r="D760" s="6" t="n"/>
      <c r="E760" s="6" t="n"/>
      <c r="F760" s="15" t="n"/>
      <c r="G760" s="6" t="n"/>
      <c r="H760" s="6" t="n"/>
      <c r="I760" s="6" t="n"/>
      <c r="J760" s="6" t="n"/>
      <c r="K760" s="6" t="n"/>
    </row>
    <row r="761">
      <c r="A761" s="2" t="n"/>
      <c r="B761" s="12" t="n"/>
      <c r="C761" s="2" t="n"/>
      <c r="D761" s="2" t="n"/>
      <c r="E761" s="2" t="n"/>
      <c r="F761" s="13" t="n"/>
      <c r="G761" s="2" t="n"/>
      <c r="H761" s="2" t="n"/>
      <c r="I761" s="2" t="n"/>
      <c r="J761" s="2" t="n"/>
      <c r="K761" s="2" t="n"/>
    </row>
    <row r="762">
      <c r="A762" s="6" t="n"/>
      <c r="B762" s="14" t="n"/>
      <c r="C762" s="6" t="n"/>
      <c r="D762" s="6" t="n"/>
      <c r="E762" s="6" t="n"/>
      <c r="F762" s="15" t="n"/>
      <c r="G762" s="6" t="n"/>
      <c r="H762" s="6" t="n"/>
      <c r="I762" s="6" t="n"/>
      <c r="J762" s="6" t="n"/>
      <c r="K762" s="6" t="n"/>
    </row>
    <row r="763">
      <c r="A763" s="2" t="n"/>
      <c r="B763" s="12" t="n"/>
      <c r="C763" s="2" t="n"/>
      <c r="D763" s="2" t="n"/>
      <c r="E763" s="2" t="n"/>
      <c r="F763" s="13" t="n"/>
      <c r="G763" s="2" t="n"/>
      <c r="H763" s="2" t="n"/>
      <c r="I763" s="2" t="n"/>
      <c r="J763" s="2" t="n"/>
      <c r="K763" s="2" t="n"/>
    </row>
    <row r="764">
      <c r="A764" s="6" t="n"/>
      <c r="B764" s="14" t="n"/>
      <c r="C764" s="6" t="n"/>
      <c r="D764" s="6" t="n"/>
      <c r="E764" s="6" t="n"/>
      <c r="F764" s="15" t="n"/>
      <c r="G764" s="6" t="n"/>
      <c r="H764" s="6" t="n"/>
      <c r="I764" s="6" t="n"/>
      <c r="J764" s="6" t="n"/>
      <c r="K764" s="6" t="n"/>
    </row>
    <row r="765">
      <c r="A765" s="2" t="n"/>
      <c r="B765" s="12" t="n"/>
      <c r="C765" s="2" t="n"/>
      <c r="D765" s="2" t="n"/>
      <c r="E765" s="2" t="n"/>
      <c r="F765" s="13" t="n"/>
      <c r="G765" s="2" t="n"/>
      <c r="H765" s="2" t="n"/>
      <c r="I765" s="2" t="n"/>
      <c r="J765" s="2" t="n"/>
      <c r="K765" s="2" t="n"/>
    </row>
    <row r="766">
      <c r="A766" s="6" t="n"/>
      <c r="B766" s="14" t="n"/>
      <c r="C766" s="6" t="n"/>
      <c r="D766" s="6" t="n"/>
      <c r="E766" s="6" t="n"/>
      <c r="F766" s="15" t="n"/>
      <c r="G766" s="6" t="n"/>
      <c r="H766" s="6" t="n"/>
      <c r="I766" s="6" t="n"/>
      <c r="J766" s="6" t="n"/>
      <c r="K766" s="6" t="n"/>
    </row>
    <row r="767">
      <c r="A767" s="2" t="n"/>
      <c r="B767" s="12" t="n"/>
      <c r="C767" s="2" t="n"/>
      <c r="D767" s="2" t="n"/>
      <c r="E767" s="2" t="n"/>
      <c r="F767" s="13" t="n"/>
      <c r="G767" s="2" t="n"/>
      <c r="H767" s="2" t="n"/>
      <c r="I767" s="2" t="n"/>
      <c r="J767" s="2" t="n"/>
      <c r="K767" s="2" t="n"/>
    </row>
    <row r="768">
      <c r="A768" s="6" t="n"/>
      <c r="B768" s="14" t="n"/>
      <c r="C768" s="6" t="n"/>
      <c r="D768" s="6" t="n"/>
      <c r="E768" s="6" t="n"/>
      <c r="F768" s="15" t="n"/>
      <c r="G768" s="6" t="n"/>
      <c r="H768" s="6" t="n"/>
      <c r="I768" s="6" t="n"/>
      <c r="J768" s="6" t="n"/>
      <c r="K768" s="6" t="n"/>
    </row>
    <row r="769">
      <c r="A769" s="2" t="n"/>
      <c r="B769" s="12" t="n"/>
      <c r="C769" s="2" t="n"/>
      <c r="D769" s="2" t="n"/>
      <c r="E769" s="2" t="n"/>
      <c r="F769" s="13" t="n"/>
      <c r="G769" s="2" t="n"/>
      <c r="H769" s="2" t="n"/>
      <c r="I769" s="2" t="n"/>
      <c r="J769" s="2" t="n"/>
      <c r="K769" s="2" t="n"/>
    </row>
    <row r="770">
      <c r="A770" s="6" t="n"/>
      <c r="B770" s="14" t="n"/>
      <c r="C770" s="6" t="n"/>
      <c r="D770" s="6" t="n"/>
      <c r="E770" s="6" t="n"/>
      <c r="F770" s="15" t="n"/>
      <c r="G770" s="6" t="n"/>
      <c r="H770" s="6" t="n"/>
      <c r="I770" s="6" t="n"/>
      <c r="J770" s="6" t="n"/>
      <c r="K770" s="6" t="n"/>
    </row>
    <row r="771">
      <c r="A771" s="2" t="n"/>
      <c r="B771" s="12" t="n"/>
      <c r="C771" s="2" t="n"/>
      <c r="D771" s="2" t="n"/>
      <c r="E771" s="2" t="n"/>
      <c r="F771" s="13" t="n"/>
      <c r="G771" s="2" t="n"/>
      <c r="H771" s="2" t="n"/>
      <c r="I771" s="2" t="n"/>
      <c r="J771" s="2" t="n"/>
      <c r="K771" s="2" t="n"/>
    </row>
    <row r="772">
      <c r="A772" s="6" t="n"/>
      <c r="B772" s="14" t="n"/>
      <c r="C772" s="6" t="n"/>
      <c r="D772" s="6" t="n"/>
      <c r="E772" s="6" t="n"/>
      <c r="F772" s="15" t="n"/>
      <c r="G772" s="6" t="n"/>
      <c r="H772" s="6" t="n"/>
      <c r="I772" s="6" t="n"/>
      <c r="J772" s="6" t="n"/>
      <c r="K772" s="6" t="n"/>
    </row>
    <row r="773">
      <c r="A773" s="2" t="n"/>
      <c r="B773" s="12" t="n"/>
      <c r="C773" s="2" t="n"/>
      <c r="D773" s="2" t="n"/>
      <c r="E773" s="2" t="n"/>
      <c r="F773" s="13" t="n"/>
      <c r="G773" s="2" t="n"/>
      <c r="H773" s="2" t="n"/>
      <c r="I773" s="2" t="n"/>
      <c r="J773" s="2" t="n"/>
      <c r="K773" s="2" t="n"/>
    </row>
    <row r="774">
      <c r="A774" s="6" t="n"/>
      <c r="B774" s="14" t="n"/>
      <c r="C774" s="6" t="n"/>
      <c r="D774" s="6" t="n"/>
      <c r="E774" s="6" t="n"/>
      <c r="F774" s="15" t="n"/>
      <c r="G774" s="6" t="n"/>
      <c r="H774" s="6" t="n"/>
      <c r="I774" s="6" t="n"/>
      <c r="J774" s="6" t="n"/>
      <c r="K774" s="6" t="n"/>
    </row>
    <row r="775">
      <c r="A775" s="2" t="n"/>
      <c r="B775" s="12" t="n"/>
      <c r="C775" s="2" t="n"/>
      <c r="D775" s="2" t="n"/>
      <c r="E775" s="2" t="n"/>
      <c r="F775" s="13" t="n"/>
      <c r="G775" s="2" t="n"/>
      <c r="H775" s="2" t="n"/>
      <c r="I775" s="2" t="n"/>
      <c r="J775" s="2" t="n"/>
      <c r="K775" s="2" t="n"/>
    </row>
    <row r="776">
      <c r="A776" s="6" t="n"/>
      <c r="B776" s="14" t="n"/>
      <c r="C776" s="6" t="n"/>
      <c r="D776" s="6" t="n"/>
      <c r="E776" s="6" t="n"/>
      <c r="F776" s="15" t="n"/>
      <c r="G776" s="6" t="n"/>
      <c r="H776" s="6" t="n"/>
      <c r="I776" s="6" t="n"/>
      <c r="J776" s="6" t="n"/>
      <c r="K776" s="6" t="n"/>
    </row>
    <row r="777">
      <c r="A777" s="2" t="n"/>
      <c r="B777" s="12" t="n"/>
      <c r="C777" s="2" t="n"/>
      <c r="D777" s="2" t="n"/>
      <c r="E777" s="2" t="n"/>
      <c r="F777" s="13" t="n"/>
      <c r="G777" s="2" t="n"/>
      <c r="H777" s="2" t="n"/>
      <c r="I777" s="2" t="n"/>
      <c r="J777" s="2" t="n"/>
      <c r="K777" s="2" t="n"/>
    </row>
    <row r="778">
      <c r="A778" s="6" t="n"/>
      <c r="B778" s="14" t="n"/>
      <c r="C778" s="6" t="n"/>
      <c r="D778" s="6" t="n"/>
      <c r="E778" s="6" t="n"/>
      <c r="F778" s="15" t="n"/>
      <c r="G778" s="6" t="n"/>
      <c r="H778" s="6" t="n"/>
      <c r="I778" s="6" t="n"/>
      <c r="J778" s="6" t="n"/>
      <c r="K778" s="6" t="n"/>
    </row>
    <row r="779">
      <c r="A779" s="2" t="n"/>
      <c r="B779" s="12" t="n"/>
      <c r="C779" s="2" t="n"/>
      <c r="D779" s="2" t="n"/>
      <c r="E779" s="2" t="n"/>
      <c r="F779" s="13" t="n"/>
      <c r="G779" s="2" t="n"/>
      <c r="H779" s="2" t="n"/>
      <c r="I779" s="2" t="n"/>
      <c r="J779" s="2" t="n"/>
      <c r="K779" s="2" t="n"/>
    </row>
    <row r="780">
      <c r="A780" s="6" t="n"/>
      <c r="B780" s="14" t="n"/>
      <c r="C780" s="6" t="n"/>
      <c r="D780" s="6" t="n"/>
      <c r="E780" s="6" t="n"/>
      <c r="F780" s="15" t="n"/>
      <c r="G780" s="6" t="n"/>
      <c r="H780" s="6" t="n"/>
      <c r="I780" s="6" t="n"/>
      <c r="J780" s="6" t="n"/>
      <c r="K780" s="6" t="n"/>
    </row>
    <row r="781">
      <c r="A781" s="2" t="n"/>
      <c r="B781" s="12" t="n"/>
      <c r="C781" s="2" t="n"/>
      <c r="D781" s="2" t="n"/>
      <c r="E781" s="2" t="n"/>
      <c r="F781" s="13" t="n"/>
      <c r="G781" s="2" t="n"/>
      <c r="H781" s="2" t="n"/>
      <c r="I781" s="2" t="n"/>
      <c r="J781" s="2" t="n"/>
      <c r="K781" s="2" t="n"/>
    </row>
    <row r="782">
      <c r="A782" s="6" t="n"/>
      <c r="B782" s="14" t="n"/>
      <c r="C782" s="6" t="n"/>
      <c r="D782" s="6" t="n"/>
      <c r="E782" s="6" t="n"/>
      <c r="F782" s="15" t="n"/>
      <c r="G782" s="6" t="n"/>
      <c r="H782" s="6" t="n"/>
      <c r="I782" s="6" t="n"/>
      <c r="J782" s="6" t="n"/>
      <c r="K782" s="6" t="n"/>
    </row>
    <row r="783">
      <c r="A783" s="2" t="n"/>
      <c r="B783" s="12" t="n"/>
      <c r="C783" s="2" t="n"/>
      <c r="D783" s="2" t="n"/>
      <c r="E783" s="2" t="n"/>
      <c r="F783" s="13" t="n"/>
      <c r="G783" s="2" t="n"/>
      <c r="H783" s="2" t="n"/>
      <c r="I783" s="2" t="n"/>
      <c r="J783" s="2" t="n"/>
      <c r="K783" s="2" t="n"/>
    </row>
    <row r="784">
      <c r="A784" s="6" t="n"/>
      <c r="B784" s="14" t="n"/>
      <c r="C784" s="6" t="n"/>
      <c r="D784" s="6" t="n"/>
      <c r="E784" s="6" t="n"/>
      <c r="F784" s="15" t="n"/>
      <c r="G784" s="6" t="n"/>
      <c r="H784" s="6" t="n"/>
      <c r="I784" s="6" t="n"/>
      <c r="J784" s="6" t="n"/>
      <c r="K784" s="6" t="n"/>
    </row>
    <row r="785">
      <c r="A785" s="2" t="n"/>
      <c r="B785" s="12" t="n"/>
      <c r="C785" s="2" t="n"/>
      <c r="D785" s="2" t="n"/>
      <c r="E785" s="2" t="n"/>
      <c r="F785" s="13" t="n"/>
      <c r="G785" s="2" t="n"/>
      <c r="H785" s="2" t="n"/>
      <c r="I785" s="2" t="n"/>
      <c r="J785" s="2" t="n"/>
      <c r="K785" s="2" t="n"/>
    </row>
    <row r="786">
      <c r="A786" s="6" t="n"/>
      <c r="B786" s="14" t="n"/>
      <c r="C786" s="6" t="n"/>
      <c r="D786" s="6" t="n"/>
      <c r="E786" s="6" t="n"/>
      <c r="F786" s="15" t="n"/>
      <c r="G786" s="6" t="n"/>
      <c r="H786" s="6" t="n"/>
      <c r="I786" s="6" t="n"/>
      <c r="J786" s="6" t="n"/>
      <c r="K786" s="6" t="n"/>
    </row>
    <row r="787">
      <c r="A787" s="2" t="n"/>
      <c r="B787" s="12" t="n"/>
      <c r="C787" s="2" t="n"/>
      <c r="D787" s="2" t="n"/>
      <c r="E787" s="2" t="n"/>
      <c r="F787" s="13" t="n"/>
      <c r="G787" s="2" t="n"/>
      <c r="H787" s="2" t="n"/>
      <c r="I787" s="2" t="n"/>
      <c r="J787" s="2" t="n"/>
      <c r="K787" s="2" t="n"/>
    </row>
    <row r="788">
      <c r="A788" s="6" t="n"/>
      <c r="B788" s="14" t="n"/>
      <c r="C788" s="6" t="n"/>
      <c r="D788" s="6" t="n"/>
      <c r="E788" s="6" t="n"/>
      <c r="F788" s="15" t="n"/>
      <c r="G788" s="6" t="n"/>
      <c r="H788" s="6" t="n"/>
      <c r="I788" s="6" t="n"/>
      <c r="J788" s="6" t="n"/>
      <c r="K788" s="6" t="n"/>
    </row>
    <row r="789">
      <c r="A789" s="2" t="n"/>
      <c r="B789" s="12" t="n"/>
      <c r="C789" s="2" t="n"/>
      <c r="D789" s="2" t="n"/>
      <c r="E789" s="2" t="n"/>
      <c r="F789" s="13" t="n"/>
      <c r="G789" s="2" t="n"/>
      <c r="H789" s="2" t="n"/>
      <c r="I789" s="2" t="n"/>
      <c r="J789" s="2" t="n"/>
      <c r="K789" s="2" t="n"/>
    </row>
    <row r="790">
      <c r="A790" s="6" t="n"/>
      <c r="B790" s="14" t="n"/>
      <c r="C790" s="6" t="n"/>
      <c r="D790" s="6" t="n"/>
      <c r="E790" s="6" t="n"/>
      <c r="F790" s="15" t="n"/>
      <c r="G790" s="6" t="n"/>
      <c r="H790" s="6" t="n"/>
      <c r="I790" s="6" t="n"/>
      <c r="J790" s="6" t="n"/>
      <c r="K790" s="6" t="n"/>
    </row>
    <row r="791">
      <c r="A791" s="2" t="n"/>
      <c r="B791" s="12" t="n"/>
      <c r="C791" s="2" t="n"/>
      <c r="D791" s="2" t="n"/>
      <c r="E791" s="2" t="n"/>
      <c r="F791" s="13" t="n"/>
      <c r="G791" s="2" t="n"/>
      <c r="H791" s="2" t="n"/>
      <c r="I791" s="2" t="n"/>
      <c r="J791" s="2" t="n"/>
      <c r="K791" s="2" t="n"/>
    </row>
    <row r="792">
      <c r="A792" s="6" t="n"/>
      <c r="B792" s="14" t="n"/>
      <c r="C792" s="6" t="n"/>
      <c r="D792" s="6" t="n"/>
      <c r="E792" s="6" t="n"/>
      <c r="F792" s="15" t="n"/>
      <c r="G792" s="6" t="n"/>
      <c r="H792" s="6" t="n"/>
      <c r="I792" s="6" t="n"/>
      <c r="J792" s="6" t="n"/>
      <c r="K792" s="6" t="n"/>
    </row>
    <row r="793">
      <c r="A793" s="2" t="n"/>
      <c r="B793" s="12" t="n"/>
      <c r="C793" s="2" t="n"/>
      <c r="D793" s="2" t="n"/>
      <c r="E793" s="2" t="n"/>
      <c r="F793" s="13" t="n"/>
      <c r="G793" s="2" t="n"/>
      <c r="H793" s="2" t="n"/>
      <c r="I793" s="2" t="n"/>
      <c r="J793" s="2" t="n"/>
      <c r="K793" s="2" t="n"/>
    </row>
    <row r="794">
      <c r="A794" s="6" t="n"/>
      <c r="B794" s="14" t="n"/>
      <c r="C794" s="6" t="n"/>
      <c r="D794" s="6" t="n"/>
      <c r="E794" s="6" t="n"/>
      <c r="F794" s="15" t="n"/>
      <c r="G794" s="6" t="n"/>
      <c r="H794" s="6" t="n"/>
      <c r="I794" s="6" t="n"/>
      <c r="J794" s="6" t="n"/>
      <c r="K794" s="6" t="n"/>
    </row>
    <row r="795">
      <c r="A795" s="2" t="n"/>
      <c r="B795" s="12" t="n"/>
      <c r="C795" s="2" t="n"/>
      <c r="D795" s="2" t="n"/>
      <c r="E795" s="2" t="n"/>
      <c r="F795" s="13" t="n"/>
      <c r="G795" s="2" t="n"/>
      <c r="H795" s="2" t="n"/>
      <c r="I795" s="2" t="n"/>
      <c r="J795" s="2" t="n"/>
      <c r="K795" s="2" t="n"/>
    </row>
    <row r="796">
      <c r="A796" s="6" t="n"/>
      <c r="B796" s="14" t="n"/>
      <c r="C796" s="6" t="n"/>
      <c r="D796" s="6" t="n"/>
      <c r="E796" s="6" t="n"/>
      <c r="F796" s="15" t="n"/>
      <c r="G796" s="6" t="n"/>
      <c r="H796" s="6" t="n"/>
      <c r="I796" s="6" t="n"/>
      <c r="J796" s="6" t="n"/>
      <c r="K796" s="6" t="n"/>
    </row>
    <row r="797">
      <c r="A797" s="2" t="n"/>
      <c r="B797" s="12" t="n"/>
      <c r="C797" s="2" t="n"/>
      <c r="D797" s="2" t="n"/>
      <c r="E797" s="2" t="n"/>
      <c r="F797" s="13" t="n"/>
      <c r="G797" s="2" t="n"/>
      <c r="H797" s="2" t="n"/>
      <c r="I797" s="2" t="n"/>
      <c r="J797" s="2" t="n"/>
      <c r="K797" s="2" t="n"/>
    </row>
    <row r="798">
      <c r="A798" s="6" t="n"/>
      <c r="B798" s="14" t="n"/>
      <c r="C798" s="6" t="n"/>
      <c r="D798" s="6" t="n"/>
      <c r="E798" s="6" t="n"/>
      <c r="F798" s="15" t="n"/>
      <c r="G798" s="6" t="n"/>
      <c r="H798" s="6" t="n"/>
      <c r="I798" s="6" t="n"/>
      <c r="J798" s="6" t="n"/>
      <c r="K798" s="6" t="n"/>
    </row>
    <row r="799">
      <c r="A799" s="2" t="n"/>
      <c r="B799" s="12" t="n"/>
      <c r="C799" s="2" t="n"/>
      <c r="D799" s="2" t="n"/>
      <c r="E799" s="2" t="n"/>
      <c r="F799" s="13" t="n"/>
      <c r="G799" s="2" t="n"/>
      <c r="H799" s="2" t="n"/>
      <c r="I799" s="2" t="n"/>
      <c r="J799" s="2" t="n"/>
      <c r="K799" s="2" t="n"/>
    </row>
    <row r="800">
      <c r="A800" s="6" t="n"/>
      <c r="B800" s="14" t="n"/>
      <c r="C800" s="6" t="n"/>
      <c r="D800" s="6" t="n"/>
      <c r="E800" s="6" t="n"/>
      <c r="F800" s="15" t="n"/>
      <c r="G800" s="6" t="n"/>
      <c r="H800" s="6" t="n"/>
      <c r="I800" s="6" t="n"/>
      <c r="J800" s="6" t="n"/>
      <c r="K800" s="6" t="n"/>
    </row>
    <row r="801">
      <c r="A801" s="2" t="n"/>
      <c r="B801" s="12" t="n"/>
      <c r="C801" s="2" t="n"/>
      <c r="D801" s="2" t="n"/>
      <c r="E801" s="2" t="n"/>
      <c r="F801" s="13" t="n"/>
      <c r="G801" s="2" t="n"/>
      <c r="H801" s="2" t="n"/>
      <c r="I801" s="2" t="n"/>
      <c r="J801" s="2" t="n"/>
      <c r="K801" s="2" t="n"/>
    </row>
    <row r="802">
      <c r="A802" s="6" t="n"/>
      <c r="B802" s="14" t="n"/>
      <c r="C802" s="6" t="n"/>
      <c r="D802" s="6" t="n"/>
      <c r="E802" s="6" t="n"/>
      <c r="F802" s="15" t="n"/>
      <c r="G802" s="6" t="n"/>
      <c r="H802" s="6" t="n"/>
      <c r="I802" s="6" t="n"/>
      <c r="J802" s="6" t="n"/>
      <c r="K802" s="6" t="n"/>
    </row>
    <row r="803">
      <c r="A803" s="2" t="n"/>
      <c r="B803" s="12" t="n"/>
      <c r="C803" s="2" t="n"/>
      <c r="D803" s="2" t="n"/>
      <c r="E803" s="2" t="n"/>
      <c r="F803" s="13" t="n"/>
      <c r="G803" s="2" t="n"/>
      <c r="H803" s="2" t="n"/>
      <c r="I803" s="2" t="n"/>
      <c r="J803" s="2" t="n"/>
      <c r="K803" s="2" t="n"/>
    </row>
    <row r="804">
      <c r="A804" s="6" t="n"/>
      <c r="B804" s="14" t="n"/>
      <c r="C804" s="6" t="n"/>
      <c r="D804" s="6" t="n"/>
      <c r="E804" s="6" t="n"/>
      <c r="F804" s="15" t="n"/>
      <c r="G804" s="6" t="n"/>
      <c r="H804" s="6" t="n"/>
      <c r="I804" s="6" t="n"/>
      <c r="J804" s="6" t="n"/>
      <c r="K804" s="6" t="n"/>
    </row>
    <row r="805">
      <c r="A805" s="2" t="n"/>
      <c r="B805" s="12" t="n"/>
      <c r="C805" s="2" t="n"/>
      <c r="D805" s="2" t="n"/>
      <c r="E805" s="2" t="n"/>
      <c r="F805" s="13" t="n"/>
      <c r="G805" s="2" t="n"/>
      <c r="H805" s="2" t="n"/>
      <c r="I805" s="2" t="n"/>
      <c r="J805" s="2" t="n"/>
      <c r="K805" s="2" t="n"/>
    </row>
    <row r="806">
      <c r="A806" s="6" t="n"/>
      <c r="B806" s="14" t="n"/>
      <c r="C806" s="6" t="n"/>
      <c r="D806" s="6" t="n"/>
      <c r="E806" s="6" t="n"/>
      <c r="F806" s="15" t="n"/>
      <c r="G806" s="6" t="n"/>
      <c r="H806" s="6" t="n"/>
      <c r="I806" s="6" t="n"/>
      <c r="J806" s="6" t="n"/>
      <c r="K806" s="6" t="n"/>
    </row>
    <row r="807">
      <c r="A807" s="2" t="n"/>
      <c r="B807" s="12" t="n"/>
      <c r="C807" s="2" t="n"/>
      <c r="D807" s="2" t="n"/>
      <c r="E807" s="2" t="n"/>
      <c r="F807" s="13" t="n"/>
      <c r="G807" s="2" t="n"/>
      <c r="H807" s="2" t="n"/>
      <c r="I807" s="2" t="n"/>
      <c r="J807" s="2" t="n"/>
      <c r="K807" s="2" t="n"/>
    </row>
    <row r="808">
      <c r="A808" s="6" t="n"/>
      <c r="B808" s="14" t="n"/>
      <c r="C808" s="6" t="n"/>
      <c r="D808" s="6" t="n"/>
      <c r="E808" s="6" t="n"/>
      <c r="F808" s="15" t="n"/>
      <c r="G808" s="6" t="n"/>
      <c r="H808" s="6" t="n"/>
      <c r="I808" s="6" t="n"/>
      <c r="J808" s="6" t="n"/>
      <c r="K808" s="6" t="n"/>
    </row>
    <row r="809">
      <c r="A809" s="2" t="n"/>
      <c r="B809" s="12" t="n"/>
      <c r="C809" s="2" t="n"/>
      <c r="D809" s="2" t="n"/>
      <c r="E809" s="2" t="n"/>
      <c r="F809" s="13" t="n"/>
      <c r="G809" s="2" t="n"/>
      <c r="H809" s="2" t="n"/>
      <c r="I809" s="2" t="n"/>
      <c r="J809" s="2" t="n"/>
      <c r="K809" s="2" t="n"/>
    </row>
    <row r="810">
      <c r="A810" s="6" t="n"/>
      <c r="B810" s="14" t="n"/>
      <c r="C810" s="6" t="n"/>
      <c r="D810" s="6" t="n"/>
      <c r="E810" s="6" t="n"/>
      <c r="F810" s="15" t="n"/>
      <c r="G810" s="6" t="n"/>
      <c r="H810" s="6" t="n"/>
      <c r="I810" s="6" t="n"/>
      <c r="J810" s="6" t="n"/>
      <c r="K810" s="6" t="n"/>
    </row>
    <row r="811">
      <c r="A811" s="2" t="n"/>
      <c r="B811" s="12" t="n"/>
      <c r="C811" s="2" t="n"/>
      <c r="D811" s="2" t="n"/>
      <c r="E811" s="2" t="n"/>
      <c r="F811" s="13" t="n"/>
      <c r="G811" s="2" t="n"/>
      <c r="H811" s="2" t="n"/>
      <c r="I811" s="2" t="n"/>
      <c r="J811" s="2" t="n"/>
      <c r="K811" s="2" t="n"/>
    </row>
    <row r="812">
      <c r="A812" s="6" t="n"/>
      <c r="B812" s="14" t="n"/>
      <c r="C812" s="6" t="n"/>
      <c r="D812" s="6" t="n"/>
      <c r="E812" s="6" t="n"/>
      <c r="F812" s="15" t="n"/>
      <c r="G812" s="6" t="n"/>
      <c r="H812" s="6" t="n"/>
      <c r="I812" s="6" t="n"/>
      <c r="J812" s="6" t="n"/>
      <c r="K812" s="6" t="n"/>
    </row>
    <row r="813">
      <c r="A813" s="2" t="n"/>
      <c r="B813" s="12" t="n"/>
      <c r="C813" s="2" t="n"/>
      <c r="D813" s="2" t="n"/>
      <c r="E813" s="2" t="n"/>
      <c r="F813" s="13" t="n"/>
      <c r="G813" s="2" t="n"/>
      <c r="H813" s="2" t="n"/>
      <c r="I813" s="2" t="n"/>
      <c r="J813" s="2" t="n"/>
      <c r="K813" s="2" t="n"/>
    </row>
    <row r="814">
      <c r="A814" s="6" t="n"/>
      <c r="B814" s="14" t="n"/>
      <c r="C814" s="6" t="n"/>
      <c r="D814" s="6" t="n"/>
      <c r="E814" s="6" t="n"/>
      <c r="F814" s="15" t="n"/>
      <c r="G814" s="6" t="n"/>
      <c r="H814" s="6" t="n"/>
      <c r="I814" s="6" t="n"/>
      <c r="J814" s="6" t="n"/>
      <c r="K814" s="6" t="n"/>
    </row>
    <row r="815">
      <c r="A815" s="2" t="n"/>
      <c r="B815" s="12" t="n"/>
      <c r="C815" s="2" t="n"/>
      <c r="D815" s="2" t="n"/>
      <c r="E815" s="2" t="n"/>
      <c r="F815" s="13" t="n"/>
      <c r="G815" s="2" t="n"/>
      <c r="H815" s="2" t="n"/>
      <c r="I815" s="2" t="n"/>
      <c r="J815" s="2" t="n"/>
      <c r="K815" s="2" t="n"/>
    </row>
    <row r="816">
      <c r="A816" s="6" t="n"/>
      <c r="B816" s="14" t="n"/>
      <c r="C816" s="6" t="n"/>
      <c r="D816" s="6" t="n"/>
      <c r="E816" s="6" t="n"/>
      <c r="F816" s="15" t="n"/>
      <c r="G816" s="6" t="n"/>
      <c r="H816" s="6" t="n"/>
      <c r="I816" s="6" t="n"/>
      <c r="J816" s="6" t="n"/>
      <c r="K816" s="6" t="n"/>
    </row>
    <row r="817">
      <c r="A817" s="2" t="n"/>
      <c r="B817" s="12" t="n"/>
      <c r="C817" s="2" t="n"/>
      <c r="D817" s="2" t="n"/>
      <c r="E817" s="2" t="n"/>
      <c r="F817" s="13" t="n"/>
      <c r="G817" s="2" t="n"/>
      <c r="H817" s="2" t="n"/>
      <c r="I817" s="2" t="n"/>
      <c r="J817" s="2" t="n"/>
      <c r="K817" s="2" t="n"/>
    </row>
    <row r="818">
      <c r="A818" s="6" t="n"/>
      <c r="B818" s="14" t="n"/>
      <c r="C818" s="6" t="n"/>
      <c r="D818" s="6" t="n"/>
      <c r="E818" s="6" t="n"/>
      <c r="F818" s="15" t="n"/>
      <c r="G818" s="6" t="n"/>
      <c r="H818" s="6" t="n"/>
      <c r="I818" s="6" t="n"/>
      <c r="J818" s="6" t="n"/>
      <c r="K818" s="6" t="n"/>
    </row>
    <row r="819">
      <c r="A819" s="2" t="n"/>
      <c r="B819" s="12" t="n"/>
      <c r="C819" s="2" t="n"/>
      <c r="D819" s="2" t="n"/>
      <c r="E819" s="2" t="n"/>
      <c r="F819" s="13" t="n"/>
      <c r="G819" s="2" t="n"/>
      <c r="H819" s="2" t="n"/>
      <c r="I819" s="2" t="n"/>
      <c r="J819" s="2" t="n"/>
      <c r="K819" s="2" t="n"/>
    </row>
    <row r="820">
      <c r="A820" s="6" t="n"/>
      <c r="B820" s="14" t="n"/>
      <c r="C820" s="6" t="n"/>
      <c r="D820" s="6" t="n"/>
      <c r="E820" s="6" t="n"/>
      <c r="F820" s="15" t="n"/>
      <c r="G820" s="6" t="n"/>
      <c r="H820" s="6" t="n"/>
      <c r="I820" s="6" t="n"/>
      <c r="J820" s="6" t="n"/>
      <c r="K820" s="6" t="n"/>
    </row>
    <row r="821">
      <c r="A821" s="2" t="n"/>
      <c r="B821" s="12" t="n"/>
      <c r="C821" s="2" t="n"/>
      <c r="D821" s="2" t="n"/>
      <c r="E821" s="2" t="n"/>
      <c r="F821" s="13" t="n"/>
      <c r="G821" s="2" t="n"/>
      <c r="H821" s="2" t="n"/>
      <c r="I821" s="2" t="n"/>
      <c r="J821" s="2" t="n"/>
      <c r="K821" s="2" t="n"/>
    </row>
    <row r="822">
      <c r="A822" s="6" t="n"/>
      <c r="B822" s="14" t="n"/>
      <c r="C822" s="6" t="n"/>
      <c r="D822" s="6" t="n"/>
      <c r="E822" s="6" t="n"/>
      <c r="F822" s="15" t="n"/>
      <c r="G822" s="6" t="n"/>
      <c r="H822" s="6" t="n"/>
      <c r="I822" s="6" t="n"/>
      <c r="J822" s="6" t="n"/>
      <c r="K822" s="6" t="n"/>
    </row>
    <row r="823">
      <c r="A823" s="2" t="n"/>
      <c r="B823" s="12" t="n"/>
      <c r="C823" s="2" t="n"/>
      <c r="D823" s="2" t="n"/>
      <c r="E823" s="2" t="n"/>
      <c r="F823" s="13" t="n"/>
      <c r="G823" s="2" t="n"/>
      <c r="H823" s="2" t="n"/>
      <c r="I823" s="2" t="n"/>
      <c r="J823" s="2" t="n"/>
      <c r="K823" s="2" t="n"/>
    </row>
    <row r="824">
      <c r="A824" s="6" t="n"/>
      <c r="B824" s="14" t="n"/>
      <c r="C824" s="6" t="n"/>
      <c r="D824" s="6" t="n"/>
      <c r="E824" s="6" t="n"/>
      <c r="F824" s="15" t="n"/>
      <c r="G824" s="6" t="n"/>
      <c r="H824" s="6" t="n"/>
      <c r="I824" s="6" t="n"/>
      <c r="J824" s="6" t="n"/>
      <c r="K824" s="6" t="n"/>
    </row>
    <row r="825">
      <c r="A825" s="2" t="n"/>
      <c r="B825" s="12" t="n"/>
      <c r="C825" s="2" t="n"/>
      <c r="D825" s="2" t="n"/>
      <c r="E825" s="2" t="n"/>
      <c r="F825" s="13" t="n"/>
      <c r="G825" s="2" t="n"/>
      <c r="H825" s="2" t="n"/>
      <c r="I825" s="2" t="n"/>
      <c r="J825" s="2" t="n"/>
      <c r="K825" s="2" t="n"/>
    </row>
    <row r="826">
      <c r="A826" s="6" t="n"/>
      <c r="B826" s="14" t="n"/>
      <c r="C826" s="6" t="n"/>
      <c r="D826" s="6" t="n"/>
      <c r="E826" s="6" t="n"/>
      <c r="F826" s="15" t="n"/>
      <c r="G826" s="6" t="n"/>
      <c r="H826" s="6" t="n"/>
      <c r="I826" s="6" t="n"/>
      <c r="J826" s="6" t="n"/>
      <c r="K826" s="6" t="n"/>
    </row>
    <row r="827">
      <c r="A827" s="2" t="n"/>
      <c r="B827" s="12" t="n"/>
      <c r="C827" s="2" t="n"/>
      <c r="D827" s="2" t="n"/>
      <c r="E827" s="2" t="n"/>
      <c r="F827" s="13" t="n"/>
      <c r="G827" s="2" t="n"/>
      <c r="H827" s="2" t="n"/>
      <c r="I827" s="2" t="n"/>
      <c r="J827" s="2" t="n"/>
      <c r="K827" s="2" t="n"/>
    </row>
    <row r="828">
      <c r="A828" s="6" t="n"/>
      <c r="B828" s="14" t="n"/>
      <c r="C828" s="6" t="n"/>
      <c r="D828" s="6" t="n"/>
      <c r="E828" s="6" t="n"/>
      <c r="F828" s="15" t="n"/>
      <c r="G828" s="6" t="n"/>
      <c r="H828" s="6" t="n"/>
      <c r="I828" s="6" t="n"/>
      <c r="J828" s="6" t="n"/>
      <c r="K828" s="6" t="n"/>
    </row>
    <row r="829">
      <c r="A829" s="2" t="n"/>
      <c r="B829" s="12" t="n"/>
      <c r="C829" s="2" t="n"/>
      <c r="D829" s="2" t="n"/>
      <c r="E829" s="2" t="n"/>
      <c r="F829" s="13" t="n"/>
      <c r="G829" s="2" t="n"/>
      <c r="H829" s="2" t="n"/>
      <c r="I829" s="2" t="n"/>
      <c r="J829" s="2" t="n"/>
      <c r="K829" s="2" t="n"/>
    </row>
    <row r="830">
      <c r="A830" s="6" t="n"/>
      <c r="B830" s="14" t="n"/>
      <c r="C830" s="6" t="n"/>
      <c r="D830" s="6" t="n"/>
      <c r="E830" s="6" t="n"/>
      <c r="F830" s="15" t="n"/>
      <c r="G830" s="6" t="n"/>
      <c r="H830" s="6" t="n"/>
      <c r="I830" s="6" t="n"/>
      <c r="J830" s="6" t="n"/>
      <c r="K830" s="6" t="n"/>
    </row>
    <row r="831">
      <c r="A831" s="2" t="n"/>
      <c r="B831" s="12" t="n"/>
      <c r="C831" s="2" t="n"/>
      <c r="D831" s="2" t="n"/>
      <c r="E831" s="2" t="n"/>
      <c r="F831" s="13" t="n"/>
      <c r="G831" s="2" t="n"/>
      <c r="H831" s="2" t="n"/>
      <c r="I831" s="2" t="n"/>
      <c r="J831" s="2" t="n"/>
      <c r="K831" s="2" t="n"/>
    </row>
    <row r="832">
      <c r="A832" s="6" t="n"/>
      <c r="B832" s="14" t="n"/>
      <c r="C832" s="6" t="n"/>
      <c r="D832" s="6" t="n"/>
      <c r="E832" s="6" t="n"/>
      <c r="F832" s="15" t="n"/>
      <c r="G832" s="6" t="n"/>
      <c r="H832" s="6" t="n"/>
      <c r="I832" s="6" t="n"/>
      <c r="J832" s="6" t="n"/>
      <c r="K832" s="6" t="n"/>
    </row>
    <row r="833">
      <c r="A833" s="2" t="n"/>
      <c r="B833" s="12" t="n"/>
      <c r="C833" s="2" t="n"/>
      <c r="D833" s="2" t="n"/>
      <c r="E833" s="2" t="n"/>
      <c r="F833" s="13" t="n"/>
      <c r="G833" s="2" t="n"/>
      <c r="H833" s="2" t="n"/>
      <c r="I833" s="2" t="n"/>
      <c r="J833" s="2" t="n"/>
      <c r="K833" s="2" t="n"/>
    </row>
    <row r="834">
      <c r="A834" s="6" t="n"/>
      <c r="B834" s="14" t="n"/>
      <c r="C834" s="6" t="n"/>
      <c r="D834" s="6" t="n"/>
      <c r="E834" s="6" t="n"/>
      <c r="F834" s="15" t="n"/>
      <c r="G834" s="6" t="n"/>
      <c r="H834" s="6" t="n"/>
      <c r="I834" s="6" t="n"/>
      <c r="J834" s="6" t="n"/>
      <c r="K834" s="6" t="n"/>
    </row>
    <row r="835">
      <c r="A835" s="2" t="n"/>
      <c r="B835" s="12" t="n"/>
      <c r="C835" s="2" t="n"/>
      <c r="D835" s="2" t="n"/>
      <c r="E835" s="2" t="n"/>
      <c r="F835" s="13" t="n"/>
      <c r="G835" s="2" t="n"/>
      <c r="H835" s="2" t="n"/>
      <c r="I835" s="2" t="n"/>
      <c r="J835" s="2" t="n"/>
      <c r="K835" s="2" t="n"/>
    </row>
    <row r="836">
      <c r="A836" s="6" t="n"/>
      <c r="B836" s="14" t="n"/>
      <c r="C836" s="6" t="n"/>
      <c r="D836" s="6" t="n"/>
      <c r="E836" s="6" t="n"/>
      <c r="F836" s="15" t="n"/>
      <c r="G836" s="6" t="n"/>
      <c r="H836" s="6" t="n"/>
      <c r="I836" s="6" t="n"/>
      <c r="J836" s="6" t="n"/>
      <c r="K836" s="6" t="n"/>
    </row>
    <row r="837">
      <c r="A837" s="2" t="n"/>
      <c r="B837" s="12" t="n"/>
      <c r="C837" s="2" t="n"/>
      <c r="D837" s="2" t="n"/>
      <c r="E837" s="2" t="n"/>
      <c r="F837" s="13" t="n"/>
      <c r="G837" s="2" t="n"/>
      <c r="H837" s="2" t="n"/>
      <c r="I837" s="2" t="n"/>
      <c r="J837" s="2" t="n"/>
      <c r="K837" s="2" t="n"/>
    </row>
    <row r="838">
      <c r="A838" s="6" t="n"/>
      <c r="B838" s="14" t="n"/>
      <c r="C838" s="6" t="n"/>
      <c r="D838" s="6" t="n"/>
      <c r="E838" s="6" t="n"/>
      <c r="F838" s="15" t="n"/>
      <c r="G838" s="6" t="n"/>
      <c r="H838" s="6" t="n"/>
      <c r="I838" s="6" t="n"/>
      <c r="J838" s="6" t="n"/>
      <c r="K838" s="6" t="n"/>
    </row>
    <row r="839">
      <c r="A839" s="2" t="n"/>
      <c r="B839" s="12" t="n"/>
      <c r="C839" s="2" t="n"/>
      <c r="D839" s="2" t="n"/>
      <c r="E839" s="2" t="n"/>
      <c r="F839" s="13" t="n"/>
      <c r="G839" s="2" t="n"/>
      <c r="H839" s="2" t="n"/>
      <c r="I839" s="2" t="n"/>
      <c r="J839" s="2" t="n"/>
      <c r="K839" s="2" t="n"/>
    </row>
    <row r="840">
      <c r="A840" s="6" t="n"/>
      <c r="B840" s="14" t="n"/>
      <c r="C840" s="6" t="n"/>
      <c r="D840" s="6" t="n"/>
      <c r="E840" s="6" t="n"/>
      <c r="F840" s="15" t="n"/>
      <c r="G840" s="6" t="n"/>
      <c r="H840" s="6" t="n"/>
      <c r="I840" s="6" t="n"/>
      <c r="J840" s="6" t="n"/>
      <c r="K840" s="6" t="n"/>
    </row>
    <row r="841">
      <c r="A841" s="2" t="n"/>
      <c r="B841" s="12" t="n"/>
      <c r="C841" s="2" t="n"/>
      <c r="D841" s="2" t="n"/>
      <c r="E841" s="2" t="n"/>
      <c r="F841" s="13" t="n"/>
      <c r="G841" s="2" t="n"/>
      <c r="H841" s="2" t="n"/>
      <c r="I841" s="2" t="n"/>
      <c r="J841" s="2" t="n"/>
      <c r="K841" s="2" t="n"/>
    </row>
    <row r="842">
      <c r="A842" s="6" t="n"/>
      <c r="B842" s="14" t="n"/>
      <c r="C842" s="6" t="n"/>
      <c r="D842" s="6" t="n"/>
      <c r="E842" s="6" t="n"/>
      <c r="F842" s="15" t="n"/>
      <c r="G842" s="6" t="n"/>
      <c r="H842" s="6" t="n"/>
      <c r="I842" s="6" t="n"/>
      <c r="J842" s="6" t="n"/>
      <c r="K842" s="6" t="n"/>
    </row>
    <row r="843">
      <c r="A843" s="2" t="n"/>
      <c r="B843" s="12" t="n"/>
      <c r="C843" s="2" t="n"/>
      <c r="D843" s="2" t="n"/>
      <c r="E843" s="2" t="n"/>
      <c r="F843" s="13" t="n"/>
      <c r="G843" s="2" t="n"/>
      <c r="H843" s="2" t="n"/>
      <c r="I843" s="2" t="n"/>
      <c r="J843" s="2" t="n"/>
      <c r="K843" s="2" t="n"/>
    </row>
    <row r="844">
      <c r="A844" s="6" t="n"/>
      <c r="B844" s="14" t="n"/>
      <c r="C844" s="6" t="n"/>
      <c r="D844" s="6" t="n"/>
      <c r="E844" s="6" t="n"/>
      <c r="F844" s="15" t="n"/>
      <c r="G844" s="6" t="n"/>
      <c r="H844" s="6" t="n"/>
      <c r="I844" s="6" t="n"/>
      <c r="J844" s="6" t="n"/>
      <c r="K844" s="6" t="n"/>
    </row>
    <row r="845">
      <c r="A845" s="2" t="n"/>
      <c r="B845" s="12" t="n"/>
      <c r="C845" s="2" t="n"/>
      <c r="D845" s="2" t="n"/>
      <c r="E845" s="2" t="n"/>
      <c r="F845" s="13" t="n"/>
      <c r="G845" s="2" t="n"/>
      <c r="H845" s="2" t="n"/>
      <c r="I845" s="2" t="n"/>
      <c r="J845" s="2" t="n"/>
      <c r="K845" s="2" t="n"/>
    </row>
    <row r="846">
      <c r="A846" s="6" t="n"/>
      <c r="B846" s="14" t="n"/>
      <c r="C846" s="6" t="n"/>
      <c r="D846" s="6" t="n"/>
      <c r="E846" s="6" t="n"/>
      <c r="F846" s="15" t="n"/>
      <c r="G846" s="6" t="n"/>
      <c r="H846" s="6" t="n"/>
      <c r="I846" s="6" t="n"/>
      <c r="J846" s="6" t="n"/>
      <c r="K846" s="6" t="n"/>
    </row>
    <row r="847">
      <c r="A847" s="2" t="n"/>
      <c r="B847" s="12" t="n"/>
      <c r="C847" s="2" t="n"/>
      <c r="D847" s="2" t="n"/>
      <c r="E847" s="2" t="n"/>
      <c r="F847" s="13" t="n"/>
      <c r="G847" s="2" t="n"/>
      <c r="H847" s="2" t="n"/>
      <c r="I847" s="2" t="n"/>
      <c r="J847" s="2" t="n"/>
      <c r="K847" s="2" t="n"/>
    </row>
    <row r="848">
      <c r="A848" s="6" t="n"/>
      <c r="B848" s="14" t="n"/>
      <c r="C848" s="6" t="n"/>
      <c r="D848" s="6" t="n"/>
      <c r="E848" s="6" t="n"/>
      <c r="F848" s="15" t="n"/>
      <c r="G848" s="6" t="n"/>
      <c r="H848" s="6" t="n"/>
      <c r="I848" s="6" t="n"/>
      <c r="J848" s="6" t="n"/>
      <c r="K848" s="6" t="n"/>
    </row>
    <row r="849">
      <c r="A849" s="2" t="n"/>
      <c r="B849" s="12" t="n"/>
      <c r="C849" s="2" t="n"/>
      <c r="D849" s="2" t="n"/>
      <c r="E849" s="2" t="n"/>
      <c r="F849" s="13" t="n"/>
      <c r="G849" s="2" t="n"/>
      <c r="H849" s="2" t="n"/>
      <c r="I849" s="2" t="n"/>
      <c r="J849" s="2" t="n"/>
      <c r="K849" s="2" t="n"/>
    </row>
    <row r="850">
      <c r="A850" s="6" t="n"/>
      <c r="B850" s="14" t="n"/>
      <c r="C850" s="6" t="n"/>
      <c r="D850" s="6" t="n"/>
      <c r="E850" s="6" t="n"/>
      <c r="F850" s="15" t="n"/>
      <c r="G850" s="6" t="n"/>
      <c r="H850" s="6" t="n"/>
      <c r="I850" s="6" t="n"/>
      <c r="J850" s="6" t="n"/>
      <c r="K850" s="6" t="n"/>
    </row>
    <row r="851">
      <c r="A851" s="2" t="n"/>
      <c r="B851" s="12" t="n"/>
      <c r="C851" s="2" t="n"/>
      <c r="D851" s="2" t="n"/>
      <c r="E851" s="2" t="n"/>
      <c r="F851" s="13" t="n"/>
      <c r="G851" s="2" t="n"/>
      <c r="H851" s="2" t="n"/>
      <c r="I851" s="2" t="n"/>
      <c r="J851" s="2" t="n"/>
      <c r="K851" s="2" t="n"/>
    </row>
    <row r="852">
      <c r="A852" s="6" t="n"/>
      <c r="B852" s="14" t="n"/>
      <c r="C852" s="6" t="n"/>
      <c r="D852" s="6" t="n"/>
      <c r="E852" s="6" t="n"/>
      <c r="F852" s="15" t="n"/>
      <c r="G852" s="6" t="n"/>
      <c r="H852" s="6" t="n"/>
      <c r="I852" s="6" t="n"/>
      <c r="J852" s="6" t="n"/>
      <c r="K852" s="6" t="n"/>
    </row>
    <row r="853">
      <c r="A853" s="2" t="n"/>
      <c r="B853" s="12" t="n"/>
      <c r="C853" s="2" t="n"/>
      <c r="D853" s="2" t="n"/>
      <c r="E853" s="2" t="n"/>
      <c r="F853" s="13" t="n"/>
      <c r="G853" s="2" t="n"/>
      <c r="H853" s="2" t="n"/>
      <c r="I853" s="2" t="n"/>
      <c r="J853" s="2" t="n"/>
      <c r="K853" s="2" t="n"/>
    </row>
    <row r="854">
      <c r="A854" s="6" t="n"/>
      <c r="B854" s="14" t="n"/>
      <c r="C854" s="6" t="n"/>
      <c r="D854" s="6" t="n"/>
      <c r="E854" s="6" t="n"/>
      <c r="F854" s="15" t="n"/>
      <c r="G854" s="6" t="n"/>
      <c r="H854" s="6" t="n"/>
      <c r="I854" s="6" t="n"/>
      <c r="J854" s="6" t="n"/>
      <c r="K854" s="6" t="n"/>
    </row>
    <row r="855">
      <c r="A855" s="2" t="n"/>
      <c r="B855" s="12" t="n"/>
      <c r="C855" s="2" t="n"/>
      <c r="D855" s="2" t="n"/>
      <c r="E855" s="2" t="n"/>
      <c r="F855" s="13" t="n"/>
      <c r="G855" s="2" t="n"/>
      <c r="H855" s="2" t="n"/>
      <c r="I855" s="2" t="n"/>
      <c r="J855" s="2" t="n"/>
      <c r="K855" s="2" t="n"/>
    </row>
    <row r="856">
      <c r="A856" s="6" t="n"/>
      <c r="B856" s="14" t="n"/>
      <c r="C856" s="6" t="n"/>
      <c r="D856" s="6" t="n"/>
      <c r="E856" s="6" t="n"/>
      <c r="F856" s="15" t="n"/>
      <c r="G856" s="6" t="n"/>
      <c r="H856" s="6" t="n"/>
      <c r="I856" s="6" t="n"/>
      <c r="J856" s="6" t="n"/>
      <c r="K856" s="6" t="n"/>
    </row>
    <row r="857">
      <c r="A857" s="2" t="n"/>
      <c r="B857" s="12" t="n"/>
      <c r="C857" s="2" t="n"/>
      <c r="D857" s="2" t="n"/>
      <c r="E857" s="2" t="n"/>
      <c r="F857" s="13" t="n"/>
      <c r="G857" s="2" t="n"/>
      <c r="H857" s="2" t="n"/>
      <c r="I857" s="2" t="n"/>
      <c r="J857" s="2" t="n"/>
      <c r="K857" s="2" t="n"/>
    </row>
    <row r="858">
      <c r="A858" s="6" t="n"/>
      <c r="B858" s="14" t="n"/>
      <c r="C858" s="6" t="n"/>
      <c r="D858" s="6" t="n"/>
      <c r="E858" s="6" t="n"/>
      <c r="F858" s="15" t="n"/>
      <c r="G858" s="6" t="n"/>
      <c r="H858" s="6" t="n"/>
      <c r="I858" s="6" t="n"/>
      <c r="J858" s="6" t="n"/>
      <c r="K858" s="6" t="n"/>
    </row>
    <row r="859">
      <c r="A859" s="2" t="n"/>
      <c r="B859" s="12" t="n"/>
      <c r="C859" s="2" t="n"/>
      <c r="D859" s="2" t="n"/>
      <c r="E859" s="2" t="n"/>
      <c r="F859" s="13" t="n"/>
      <c r="G859" s="2" t="n"/>
      <c r="H859" s="2" t="n"/>
      <c r="I859" s="2" t="n"/>
      <c r="J859" s="2" t="n"/>
      <c r="K859" s="2" t="n"/>
    </row>
    <row r="860">
      <c r="A860" s="6" t="n"/>
      <c r="B860" s="14" t="n"/>
      <c r="C860" s="6" t="n"/>
      <c r="D860" s="6" t="n"/>
      <c r="E860" s="6" t="n"/>
      <c r="F860" s="15" t="n"/>
      <c r="G860" s="6" t="n"/>
      <c r="H860" s="6" t="n"/>
      <c r="I860" s="6" t="n"/>
      <c r="J860" s="6" t="n"/>
      <c r="K860" s="6" t="n"/>
    </row>
    <row r="861">
      <c r="A861" s="2" t="n"/>
      <c r="B861" s="12" t="n"/>
      <c r="C861" s="2" t="n"/>
      <c r="D861" s="2" t="n"/>
      <c r="E861" s="2" t="n"/>
      <c r="F861" s="13" t="n"/>
      <c r="G861" s="2" t="n"/>
      <c r="H861" s="2" t="n"/>
      <c r="I861" s="2" t="n"/>
      <c r="J861" s="2" t="n"/>
      <c r="K861" s="2" t="n"/>
    </row>
    <row r="862">
      <c r="A862" s="6" t="n"/>
      <c r="B862" s="14" t="n"/>
      <c r="C862" s="6" t="n"/>
      <c r="D862" s="6" t="n"/>
      <c r="E862" s="6" t="n"/>
      <c r="F862" s="15" t="n"/>
      <c r="G862" s="6" t="n"/>
      <c r="H862" s="6" t="n"/>
      <c r="I862" s="6" t="n"/>
      <c r="J862" s="6" t="n"/>
      <c r="K862" s="6" t="n"/>
    </row>
    <row r="863">
      <c r="A863" s="2" t="n"/>
      <c r="B863" s="12" t="n"/>
      <c r="C863" s="2" t="n"/>
      <c r="D863" s="2" t="n"/>
      <c r="E863" s="2" t="n"/>
      <c r="F863" s="13" t="n"/>
      <c r="G863" s="2" t="n"/>
      <c r="H863" s="2" t="n"/>
      <c r="I863" s="2" t="n"/>
      <c r="J863" s="2" t="n"/>
      <c r="K863" s="2" t="n"/>
    </row>
    <row r="864">
      <c r="A864" s="6" t="n"/>
      <c r="B864" s="14" t="n"/>
      <c r="C864" s="6" t="n"/>
      <c r="D864" s="6" t="n"/>
      <c r="E864" s="6" t="n"/>
      <c r="F864" s="15" t="n"/>
      <c r="G864" s="6" t="n"/>
      <c r="H864" s="6" t="n"/>
      <c r="I864" s="6" t="n"/>
      <c r="J864" s="6" t="n"/>
      <c r="K864" s="6" t="n"/>
    </row>
    <row r="865">
      <c r="A865" s="2" t="n"/>
      <c r="B865" s="12" t="n"/>
      <c r="C865" s="2" t="n"/>
      <c r="D865" s="2" t="n"/>
      <c r="E865" s="2" t="n"/>
      <c r="F865" s="13" t="n"/>
      <c r="G865" s="2" t="n"/>
      <c r="H865" s="2" t="n"/>
      <c r="I865" s="2" t="n"/>
      <c r="J865" s="2" t="n"/>
      <c r="K865" s="2" t="n"/>
    </row>
    <row r="866">
      <c r="A866" s="6" t="n"/>
      <c r="B866" s="14" t="n"/>
      <c r="C866" s="6" t="n"/>
      <c r="D866" s="6" t="n"/>
      <c r="E866" s="6" t="n"/>
      <c r="F866" s="15" t="n"/>
      <c r="G866" s="6" t="n"/>
      <c r="H866" s="6" t="n"/>
      <c r="I866" s="6" t="n"/>
      <c r="J866" s="6" t="n"/>
      <c r="K866" s="6" t="n"/>
    </row>
    <row r="867">
      <c r="A867" s="2" t="n"/>
      <c r="B867" s="12" t="n"/>
      <c r="C867" s="2" t="n"/>
      <c r="D867" s="2" t="n"/>
      <c r="E867" s="2" t="n"/>
      <c r="F867" s="13" t="n"/>
      <c r="G867" s="2" t="n"/>
      <c r="H867" s="2" t="n"/>
      <c r="I867" s="2" t="n"/>
      <c r="J867" s="2" t="n"/>
      <c r="K867" s="2" t="n"/>
    </row>
    <row r="868">
      <c r="A868" s="6" t="n"/>
      <c r="B868" s="14" t="n"/>
      <c r="C868" s="6" t="n"/>
      <c r="D868" s="6" t="n"/>
      <c r="E868" s="6" t="n"/>
      <c r="F868" s="15" t="n"/>
      <c r="G868" s="6" t="n"/>
      <c r="H868" s="6" t="n"/>
      <c r="I868" s="6" t="n"/>
      <c r="J868" s="6" t="n"/>
      <c r="K868" s="6" t="n"/>
    </row>
    <row r="869">
      <c r="A869" s="2" t="n"/>
      <c r="B869" s="12" t="n"/>
      <c r="C869" s="2" t="n"/>
      <c r="D869" s="2" t="n"/>
      <c r="E869" s="2" t="n"/>
      <c r="F869" s="13" t="n"/>
      <c r="G869" s="2" t="n"/>
      <c r="H869" s="2" t="n"/>
      <c r="I869" s="2" t="n"/>
      <c r="J869" s="2" t="n"/>
      <c r="K869" s="2" t="n"/>
    </row>
    <row r="870">
      <c r="A870" s="6" t="n"/>
      <c r="B870" s="14" t="n"/>
      <c r="C870" s="6" t="n"/>
      <c r="D870" s="6" t="n"/>
      <c r="E870" s="6" t="n"/>
      <c r="F870" s="15" t="n"/>
      <c r="G870" s="6" t="n"/>
      <c r="H870" s="6" t="n"/>
      <c r="I870" s="6" t="n"/>
      <c r="J870" s="6" t="n"/>
      <c r="K870" s="6" t="n"/>
    </row>
    <row r="871">
      <c r="A871" s="2" t="n"/>
      <c r="B871" s="12" t="n"/>
      <c r="C871" s="2" t="n"/>
      <c r="D871" s="2" t="n"/>
      <c r="E871" s="2" t="n"/>
      <c r="F871" s="13" t="n"/>
      <c r="G871" s="2" t="n"/>
      <c r="H871" s="2" t="n"/>
      <c r="I871" s="2" t="n"/>
      <c r="J871" s="2" t="n"/>
      <c r="K871" s="2" t="n"/>
    </row>
    <row r="872">
      <c r="A872" s="6" t="n"/>
      <c r="B872" s="14" t="n"/>
      <c r="C872" s="6" t="n"/>
      <c r="D872" s="6" t="n"/>
      <c r="E872" s="6" t="n"/>
      <c r="F872" s="15" t="n"/>
      <c r="G872" s="6" t="n"/>
      <c r="H872" s="6" t="n"/>
      <c r="I872" s="6" t="n"/>
      <c r="J872" s="6" t="n"/>
      <c r="K872" s="6" t="n"/>
    </row>
    <row r="873">
      <c r="A873" s="2" t="n"/>
      <c r="B873" s="12" t="n"/>
      <c r="C873" s="2" t="n"/>
      <c r="D873" s="2" t="n"/>
      <c r="E873" s="2" t="n"/>
      <c r="F873" s="13" t="n"/>
      <c r="G873" s="2" t="n"/>
      <c r="H873" s="2" t="n"/>
      <c r="I873" s="2" t="n"/>
      <c r="J873" s="2" t="n"/>
      <c r="K873" s="2" t="n"/>
    </row>
    <row r="874">
      <c r="A874" s="6" t="n"/>
      <c r="B874" s="14" t="n"/>
      <c r="C874" s="6" t="n"/>
      <c r="D874" s="6" t="n"/>
      <c r="E874" s="6" t="n"/>
      <c r="F874" s="15" t="n"/>
      <c r="G874" s="6" t="n"/>
      <c r="H874" s="6" t="n"/>
      <c r="I874" s="6" t="n"/>
      <c r="J874" s="6" t="n"/>
      <c r="K874" s="6" t="n"/>
    </row>
    <row r="875">
      <c r="A875" s="2" t="n"/>
      <c r="B875" s="12" t="n"/>
      <c r="C875" s="2" t="n"/>
      <c r="D875" s="2" t="n"/>
      <c r="E875" s="2" t="n"/>
      <c r="F875" s="13" t="n"/>
      <c r="G875" s="2" t="n"/>
      <c r="H875" s="2" t="n"/>
      <c r="I875" s="2" t="n"/>
      <c r="J875" s="2" t="n"/>
      <c r="K875" s="2" t="n"/>
    </row>
    <row r="876">
      <c r="A876" s="6" t="n"/>
      <c r="B876" s="14" t="n"/>
      <c r="C876" s="6" t="n"/>
      <c r="D876" s="6" t="n"/>
      <c r="E876" s="6" t="n"/>
      <c r="F876" s="15" t="n"/>
      <c r="G876" s="6" t="n"/>
      <c r="H876" s="6" t="n"/>
      <c r="I876" s="6" t="n"/>
      <c r="J876" s="6" t="n"/>
      <c r="K876" s="6" t="n"/>
    </row>
    <row r="877">
      <c r="A877" s="2" t="n"/>
      <c r="B877" s="12" t="n"/>
      <c r="C877" s="2" t="n"/>
      <c r="D877" s="2" t="n"/>
      <c r="E877" s="2" t="n"/>
      <c r="F877" s="13" t="n"/>
      <c r="G877" s="2" t="n"/>
      <c r="H877" s="2" t="n"/>
      <c r="I877" s="2" t="n"/>
      <c r="J877" s="2" t="n"/>
      <c r="K877" s="2" t="n"/>
    </row>
    <row r="878">
      <c r="A878" s="6" t="n"/>
      <c r="B878" s="14" t="n"/>
      <c r="C878" s="6" t="n"/>
      <c r="D878" s="6" t="n"/>
      <c r="E878" s="6" t="n"/>
      <c r="F878" s="15" t="n"/>
      <c r="G878" s="6" t="n"/>
      <c r="H878" s="6" t="n"/>
      <c r="I878" s="6" t="n"/>
      <c r="J878" s="6" t="n"/>
      <c r="K878" s="6" t="n"/>
    </row>
    <row r="879">
      <c r="A879" s="2" t="n"/>
      <c r="B879" s="12" t="n"/>
      <c r="C879" s="2" t="n"/>
      <c r="D879" s="2" t="n"/>
      <c r="E879" s="2" t="n"/>
      <c r="F879" s="13" t="n"/>
      <c r="G879" s="2" t="n"/>
      <c r="H879" s="2" t="n"/>
      <c r="I879" s="2" t="n"/>
      <c r="J879" s="2" t="n"/>
      <c r="K879" s="2" t="n"/>
    </row>
    <row r="880">
      <c r="A880" s="6" t="n"/>
      <c r="B880" s="14" t="n"/>
      <c r="C880" s="6" t="n"/>
      <c r="D880" s="6" t="n"/>
      <c r="E880" s="6" t="n"/>
      <c r="F880" s="15" t="n"/>
      <c r="G880" s="6" t="n"/>
      <c r="H880" s="6" t="n"/>
      <c r="I880" s="6" t="n"/>
      <c r="J880" s="6" t="n"/>
      <c r="K880" s="6" t="n"/>
    </row>
    <row r="881">
      <c r="A881" s="2" t="n"/>
      <c r="B881" s="12" t="n"/>
      <c r="C881" s="2" t="n"/>
      <c r="D881" s="2" t="n"/>
      <c r="E881" s="2" t="n"/>
      <c r="F881" s="13" t="n"/>
      <c r="G881" s="2" t="n"/>
      <c r="H881" s="2" t="n"/>
      <c r="I881" s="2" t="n"/>
      <c r="J881" s="2" t="n"/>
      <c r="K881" s="2" t="n"/>
    </row>
    <row r="882">
      <c r="A882" s="6" t="n"/>
      <c r="B882" s="14" t="n"/>
      <c r="C882" s="6" t="n"/>
      <c r="D882" s="6" t="n"/>
      <c r="E882" s="6" t="n"/>
      <c r="F882" s="15" t="n"/>
      <c r="G882" s="6" t="n"/>
      <c r="H882" s="6" t="n"/>
      <c r="I882" s="6" t="n"/>
      <c r="J882" s="6" t="n"/>
      <c r="K882" s="6" t="n"/>
    </row>
    <row r="883">
      <c r="A883" s="2" t="n"/>
      <c r="B883" s="12" t="n"/>
      <c r="C883" s="2" t="n"/>
      <c r="D883" s="2" t="n"/>
      <c r="E883" s="2" t="n"/>
      <c r="F883" s="13" t="n"/>
      <c r="G883" s="2" t="n"/>
      <c r="H883" s="2" t="n"/>
      <c r="I883" s="2" t="n"/>
      <c r="J883" s="2" t="n"/>
      <c r="K883" s="2" t="n"/>
    </row>
    <row r="884">
      <c r="A884" s="6" t="n"/>
      <c r="B884" s="14" t="n"/>
      <c r="C884" s="6" t="n"/>
      <c r="D884" s="6" t="n"/>
      <c r="E884" s="6" t="n"/>
      <c r="F884" s="15" t="n"/>
      <c r="G884" s="6" t="n"/>
      <c r="H884" s="6" t="n"/>
      <c r="I884" s="6" t="n"/>
      <c r="J884" s="6" t="n"/>
      <c r="K884" s="6" t="n"/>
    </row>
    <row r="885">
      <c r="A885" s="2" t="n"/>
      <c r="B885" s="12" t="n"/>
      <c r="C885" s="2" t="n"/>
      <c r="D885" s="2" t="n"/>
      <c r="E885" s="2" t="n"/>
      <c r="F885" s="13" t="n"/>
      <c r="G885" s="2" t="n"/>
      <c r="H885" s="2" t="n"/>
      <c r="I885" s="2" t="n"/>
      <c r="J885" s="2" t="n"/>
      <c r="K885" s="2" t="n"/>
    </row>
    <row r="886">
      <c r="A886" s="6" t="n"/>
      <c r="B886" s="14" t="n"/>
      <c r="C886" s="6" t="n"/>
      <c r="D886" s="6" t="n"/>
      <c r="E886" s="6" t="n"/>
      <c r="F886" s="15" t="n"/>
      <c r="G886" s="6" t="n"/>
      <c r="H886" s="6" t="n"/>
      <c r="I886" s="6" t="n"/>
      <c r="J886" s="6" t="n"/>
      <c r="K886" s="6" t="n"/>
    </row>
    <row r="887">
      <c r="A887" s="2" t="n"/>
      <c r="B887" s="12" t="n"/>
      <c r="C887" s="2" t="n"/>
      <c r="D887" s="2" t="n"/>
      <c r="E887" s="2" t="n"/>
      <c r="F887" s="13" t="n"/>
      <c r="G887" s="2" t="n"/>
      <c r="H887" s="2" t="n"/>
      <c r="I887" s="2" t="n"/>
      <c r="J887" s="2" t="n"/>
      <c r="K887" s="2" t="n"/>
    </row>
    <row r="888">
      <c r="A888" s="6" t="n"/>
      <c r="B888" s="14" t="n"/>
      <c r="C888" s="6" t="n"/>
      <c r="D888" s="6" t="n"/>
      <c r="E888" s="6" t="n"/>
      <c r="F888" s="15" t="n"/>
      <c r="G888" s="6" t="n"/>
      <c r="H888" s="6" t="n"/>
      <c r="I888" s="6" t="n"/>
      <c r="J888" s="6" t="n"/>
      <c r="K888" s="6" t="n"/>
    </row>
    <row r="889">
      <c r="A889" s="2" t="n"/>
      <c r="B889" s="12" t="n"/>
      <c r="C889" s="2" t="n"/>
      <c r="D889" s="2" t="n"/>
      <c r="E889" s="2" t="n"/>
      <c r="F889" s="13" t="n"/>
      <c r="G889" s="2" t="n"/>
      <c r="H889" s="2" t="n"/>
      <c r="I889" s="2" t="n"/>
      <c r="J889" s="2" t="n"/>
      <c r="K889" s="2" t="n"/>
    </row>
    <row r="890">
      <c r="A890" s="6" t="n"/>
      <c r="B890" s="14" t="n"/>
      <c r="C890" s="6" t="n"/>
      <c r="D890" s="6" t="n"/>
      <c r="E890" s="6" t="n"/>
      <c r="F890" s="15" t="n"/>
      <c r="G890" s="6" t="n"/>
      <c r="H890" s="6" t="n"/>
      <c r="I890" s="6" t="n"/>
      <c r="J890" s="6" t="n"/>
      <c r="K890" s="6" t="n"/>
    </row>
    <row r="891">
      <c r="A891" s="2" t="n"/>
      <c r="B891" s="12" t="n"/>
      <c r="C891" s="2" t="n"/>
      <c r="D891" s="2" t="n"/>
      <c r="E891" s="2" t="n"/>
      <c r="F891" s="13" t="n"/>
      <c r="G891" s="2" t="n"/>
      <c r="H891" s="2" t="n"/>
      <c r="I891" s="2" t="n"/>
      <c r="J891" s="2" t="n"/>
      <c r="K891" s="2" t="n"/>
    </row>
    <row r="892">
      <c r="A892" s="6" t="n"/>
      <c r="B892" s="14" t="n"/>
      <c r="C892" s="6" t="n"/>
      <c r="D892" s="6" t="n"/>
      <c r="E892" s="6" t="n"/>
      <c r="F892" s="15" t="n"/>
      <c r="G892" s="6" t="n"/>
      <c r="H892" s="6" t="n"/>
      <c r="I892" s="6" t="n"/>
      <c r="J892" s="6" t="n"/>
      <c r="K892" s="6" t="n"/>
    </row>
    <row r="893">
      <c r="A893" s="2" t="n"/>
      <c r="B893" s="12" t="n"/>
      <c r="C893" s="2" t="n"/>
      <c r="D893" s="2" t="n"/>
      <c r="E893" s="2" t="n"/>
      <c r="F893" s="13" t="n"/>
      <c r="G893" s="2" t="n"/>
      <c r="H893" s="2" t="n"/>
      <c r="I893" s="2" t="n"/>
      <c r="J893" s="2" t="n"/>
      <c r="K893" s="2" t="n"/>
    </row>
    <row r="894">
      <c r="A894" s="6" t="n"/>
      <c r="B894" s="14" t="n"/>
      <c r="C894" s="6" t="n"/>
      <c r="D894" s="6" t="n"/>
      <c r="E894" s="6" t="n"/>
      <c r="F894" s="15" t="n"/>
      <c r="G894" s="6" t="n"/>
      <c r="H894" s="6" t="n"/>
      <c r="I894" s="6" t="n"/>
      <c r="J894" s="6" t="n"/>
      <c r="K894" s="6" t="n"/>
    </row>
    <row r="895">
      <c r="A895" s="2" t="n"/>
      <c r="B895" s="12" t="n"/>
      <c r="C895" s="2" t="n"/>
      <c r="D895" s="2" t="n"/>
      <c r="E895" s="2" t="n"/>
      <c r="F895" s="13" t="n"/>
      <c r="G895" s="2" t="n"/>
      <c r="H895" s="2" t="n"/>
      <c r="I895" s="2" t="n"/>
      <c r="J895" s="2" t="n"/>
      <c r="K895" s="2" t="n"/>
    </row>
    <row r="896">
      <c r="A896" s="6" t="n"/>
      <c r="B896" s="14" t="n"/>
      <c r="C896" s="6" t="n"/>
      <c r="D896" s="6" t="n"/>
      <c r="E896" s="6" t="n"/>
      <c r="F896" s="15" t="n"/>
      <c r="G896" s="6" t="n"/>
      <c r="H896" s="6" t="n"/>
      <c r="I896" s="6" t="n"/>
      <c r="J896" s="6" t="n"/>
      <c r="K896" s="6" t="n"/>
    </row>
    <row r="897">
      <c r="A897" s="2" t="n"/>
      <c r="B897" s="12" t="n"/>
      <c r="C897" s="2" t="n"/>
      <c r="D897" s="2" t="n"/>
      <c r="E897" s="2" t="n"/>
      <c r="F897" s="13" t="n"/>
      <c r="G897" s="2" t="n"/>
      <c r="H897" s="2" t="n"/>
      <c r="I897" s="2" t="n"/>
      <c r="J897" s="2" t="n"/>
      <c r="K897" s="2" t="n"/>
    </row>
    <row r="898">
      <c r="A898" s="6" t="n"/>
      <c r="B898" s="14" t="n"/>
      <c r="C898" s="6" t="n"/>
      <c r="D898" s="6" t="n"/>
      <c r="E898" s="6" t="n"/>
      <c r="F898" s="15" t="n"/>
      <c r="G898" s="6" t="n"/>
      <c r="H898" s="6" t="n"/>
      <c r="I898" s="6" t="n"/>
      <c r="J898" s="6" t="n"/>
      <c r="K898" s="6" t="n"/>
    </row>
    <row r="899">
      <c r="A899" s="2" t="n"/>
      <c r="B899" s="12" t="n"/>
      <c r="C899" s="2" t="n"/>
      <c r="D899" s="2" t="n"/>
      <c r="E899" s="2" t="n"/>
      <c r="F899" s="13" t="n"/>
      <c r="G899" s="2" t="n"/>
      <c r="H899" s="2" t="n"/>
      <c r="I899" s="2" t="n"/>
      <c r="J899" s="2" t="n"/>
      <c r="K899" s="2" t="n"/>
    </row>
    <row r="900">
      <c r="A900" s="6" t="n"/>
      <c r="B900" s="14" t="n"/>
      <c r="C900" s="6" t="n"/>
      <c r="D900" s="6" t="n"/>
      <c r="E900" s="6" t="n"/>
      <c r="F900" s="15" t="n"/>
      <c r="G900" s="6" t="n"/>
      <c r="H900" s="6" t="n"/>
      <c r="I900" s="6" t="n"/>
      <c r="J900" s="6" t="n"/>
      <c r="K900" s="6" t="n"/>
    </row>
    <row r="901">
      <c r="A901" s="2" t="n"/>
      <c r="B901" s="12" t="n"/>
      <c r="C901" s="2" t="n"/>
      <c r="D901" s="2" t="n"/>
      <c r="E901" s="2" t="n"/>
      <c r="F901" s="13" t="n"/>
      <c r="G901" s="2" t="n"/>
      <c r="H901" s="2" t="n"/>
      <c r="I901" s="2" t="n"/>
      <c r="J901" s="2" t="n"/>
      <c r="K901" s="2" t="n"/>
    </row>
    <row r="902">
      <c r="A902" s="6" t="n"/>
      <c r="B902" s="14" t="n"/>
      <c r="C902" s="6" t="n"/>
      <c r="D902" s="6" t="n"/>
      <c r="E902" s="6" t="n"/>
      <c r="F902" s="15" t="n"/>
      <c r="G902" s="6" t="n"/>
      <c r="H902" s="6" t="n"/>
      <c r="I902" s="6" t="n"/>
      <c r="J902" s="6" t="n"/>
      <c r="K902" s="6" t="n"/>
    </row>
    <row r="903">
      <c r="A903" s="2" t="n"/>
      <c r="B903" s="12" t="n"/>
      <c r="C903" s="2" t="n"/>
      <c r="D903" s="2" t="n"/>
      <c r="E903" s="2" t="n"/>
      <c r="F903" s="13" t="n"/>
      <c r="G903" s="2" t="n"/>
      <c r="H903" s="2" t="n"/>
      <c r="I903" s="2" t="n"/>
      <c r="J903" s="2" t="n"/>
      <c r="K903" s="2" t="n"/>
    </row>
    <row r="904">
      <c r="A904" s="6" t="n"/>
      <c r="B904" s="14" t="n"/>
      <c r="C904" s="6" t="n"/>
      <c r="D904" s="6" t="n"/>
      <c r="E904" s="6" t="n"/>
      <c r="F904" s="15" t="n"/>
      <c r="G904" s="6" t="n"/>
      <c r="H904" s="6" t="n"/>
      <c r="I904" s="6" t="n"/>
      <c r="J904" s="6" t="n"/>
      <c r="K904" s="6" t="n"/>
    </row>
    <row r="905">
      <c r="A905" s="2" t="n"/>
      <c r="B905" s="12" t="n"/>
      <c r="C905" s="2" t="n"/>
      <c r="D905" s="2" t="n"/>
      <c r="E905" s="2" t="n"/>
      <c r="F905" s="13" t="n"/>
      <c r="G905" s="2" t="n"/>
      <c r="H905" s="2" t="n"/>
      <c r="I905" s="2" t="n"/>
      <c r="J905" s="2" t="n"/>
      <c r="K905" s="2" t="n"/>
    </row>
    <row r="906">
      <c r="A906" s="6" t="n"/>
      <c r="B906" s="14" t="n"/>
      <c r="C906" s="6" t="n"/>
      <c r="D906" s="6" t="n"/>
      <c r="E906" s="6" t="n"/>
      <c r="F906" s="15" t="n"/>
      <c r="G906" s="6" t="n"/>
      <c r="H906" s="6" t="n"/>
      <c r="I906" s="6" t="n"/>
      <c r="J906" s="6" t="n"/>
      <c r="K906" s="6" t="n"/>
    </row>
    <row r="907">
      <c r="A907" s="2" t="n"/>
      <c r="B907" s="12" t="n"/>
      <c r="C907" s="2" t="n"/>
      <c r="D907" s="2" t="n"/>
      <c r="E907" s="2" t="n"/>
      <c r="F907" s="13" t="n"/>
      <c r="G907" s="2" t="n"/>
      <c r="H907" s="2" t="n"/>
      <c r="I907" s="2" t="n"/>
      <c r="J907" s="2" t="n"/>
      <c r="K907" s="2" t="n"/>
    </row>
    <row r="908">
      <c r="A908" s="6" t="n"/>
      <c r="B908" s="14" t="n"/>
      <c r="C908" s="6" t="n"/>
      <c r="D908" s="6" t="n"/>
      <c r="E908" s="6" t="n"/>
      <c r="F908" s="15" t="n"/>
      <c r="G908" s="6" t="n"/>
      <c r="H908" s="6" t="n"/>
      <c r="I908" s="6" t="n"/>
      <c r="J908" s="6" t="n"/>
      <c r="K908" s="6" t="n"/>
    </row>
    <row r="909">
      <c r="A909" s="2" t="n"/>
      <c r="B909" s="12" t="n"/>
      <c r="C909" s="2" t="n"/>
      <c r="D909" s="2" t="n"/>
      <c r="E909" s="2" t="n"/>
      <c r="F909" s="13" t="n"/>
      <c r="G909" s="2" t="n"/>
      <c r="H909" s="2" t="n"/>
      <c r="I909" s="2" t="n"/>
      <c r="J909" s="2" t="n"/>
      <c r="K909" s="2" t="n"/>
    </row>
    <row r="910">
      <c r="A910" s="6" t="n"/>
      <c r="B910" s="14" t="n"/>
      <c r="C910" s="6" t="n"/>
      <c r="D910" s="6" t="n"/>
      <c r="E910" s="6" t="n"/>
      <c r="F910" s="15" t="n"/>
      <c r="G910" s="6" t="n"/>
      <c r="H910" s="6" t="n"/>
      <c r="I910" s="6" t="n"/>
      <c r="J910" s="6" t="n"/>
      <c r="K910" s="6" t="n"/>
    </row>
    <row r="911">
      <c r="A911" s="2" t="n"/>
      <c r="B911" s="12" t="n"/>
      <c r="C911" s="2" t="n"/>
      <c r="D911" s="2" t="n"/>
      <c r="E911" s="2" t="n"/>
      <c r="F911" s="13" t="n"/>
      <c r="G911" s="2" t="n"/>
      <c r="H911" s="2" t="n"/>
      <c r="I911" s="2" t="n"/>
      <c r="J911" s="2" t="n"/>
      <c r="K911" s="2" t="n"/>
    </row>
    <row r="912">
      <c r="A912" s="6" t="n"/>
      <c r="B912" s="14" t="n"/>
      <c r="C912" s="6" t="n"/>
      <c r="D912" s="6" t="n"/>
      <c r="E912" s="6" t="n"/>
      <c r="F912" s="15" t="n"/>
      <c r="G912" s="6" t="n"/>
      <c r="H912" s="6" t="n"/>
      <c r="I912" s="6" t="n"/>
      <c r="J912" s="6" t="n"/>
      <c r="K912" s="6" t="n"/>
    </row>
    <row r="913">
      <c r="A913" s="2" t="n"/>
      <c r="B913" s="12" t="n"/>
      <c r="C913" s="2" t="n"/>
      <c r="D913" s="2" t="n"/>
      <c r="E913" s="2" t="n"/>
      <c r="F913" s="13" t="n"/>
      <c r="G913" s="2" t="n"/>
      <c r="H913" s="2" t="n"/>
      <c r="I913" s="2" t="n"/>
      <c r="J913" s="2" t="n"/>
      <c r="K913" s="2" t="n"/>
    </row>
    <row r="914">
      <c r="A914" s="6" t="n"/>
      <c r="B914" s="14" t="n"/>
      <c r="C914" s="6" t="n"/>
      <c r="D914" s="6" t="n"/>
      <c r="E914" s="6" t="n"/>
      <c r="F914" s="15" t="n"/>
      <c r="G914" s="6" t="n"/>
      <c r="H914" s="6" t="n"/>
      <c r="I914" s="6" t="n"/>
      <c r="J914" s="6" t="n"/>
      <c r="K914" s="6" t="n"/>
    </row>
    <row r="915">
      <c r="A915" s="2" t="n"/>
      <c r="B915" s="12" t="n"/>
      <c r="C915" s="2" t="n"/>
      <c r="D915" s="2" t="n"/>
      <c r="E915" s="2" t="n"/>
      <c r="F915" s="13" t="n"/>
      <c r="G915" s="2" t="n"/>
      <c r="H915" s="2" t="n"/>
      <c r="I915" s="2" t="n"/>
      <c r="J915" s="2" t="n"/>
      <c r="K915" s="2" t="n"/>
    </row>
    <row r="916">
      <c r="A916" s="6" t="n"/>
      <c r="B916" s="14" t="n"/>
      <c r="C916" s="6" t="n"/>
      <c r="D916" s="6" t="n"/>
      <c r="E916" s="6" t="n"/>
      <c r="F916" s="15" t="n"/>
      <c r="G916" s="6" t="n"/>
      <c r="H916" s="6" t="n"/>
      <c r="I916" s="6" t="n"/>
      <c r="J916" s="6" t="n"/>
      <c r="K916" s="6" t="n"/>
    </row>
    <row r="917">
      <c r="A917" s="2" t="n"/>
      <c r="B917" s="12" t="n"/>
      <c r="C917" s="2" t="n"/>
      <c r="D917" s="2" t="n"/>
      <c r="E917" s="2" t="n"/>
      <c r="F917" s="13" t="n"/>
      <c r="G917" s="2" t="n"/>
      <c r="H917" s="2" t="n"/>
      <c r="I917" s="2" t="n"/>
      <c r="J917" s="2" t="n"/>
      <c r="K917" s="2" t="n"/>
    </row>
    <row r="918">
      <c r="A918" s="6" t="n"/>
      <c r="B918" s="14" t="n"/>
      <c r="C918" s="6" t="n"/>
      <c r="D918" s="6" t="n"/>
      <c r="E918" s="6" t="n"/>
      <c r="F918" s="15" t="n"/>
      <c r="G918" s="6" t="n"/>
      <c r="H918" s="6" t="n"/>
      <c r="I918" s="6" t="n"/>
      <c r="J918" s="6" t="n"/>
      <c r="K918" s="6" t="n"/>
    </row>
    <row r="919">
      <c r="A919" s="2" t="n"/>
      <c r="B919" s="12" t="n"/>
      <c r="C919" s="2" t="n"/>
      <c r="D919" s="2" t="n"/>
      <c r="E919" s="2" t="n"/>
      <c r="F919" s="13" t="n"/>
      <c r="G919" s="2" t="n"/>
      <c r="H919" s="2" t="n"/>
      <c r="I919" s="2" t="n"/>
      <c r="J919" s="2" t="n"/>
      <c r="K919" s="2" t="n"/>
    </row>
    <row r="920">
      <c r="A920" s="6" t="n"/>
      <c r="B920" s="14" t="n"/>
      <c r="C920" s="6" t="n"/>
      <c r="D920" s="6" t="n"/>
      <c r="E920" s="6" t="n"/>
      <c r="F920" s="15" t="n"/>
      <c r="G920" s="6" t="n"/>
      <c r="H920" s="6" t="n"/>
      <c r="I920" s="6" t="n"/>
      <c r="J920" s="6" t="n"/>
      <c r="K920" s="6" t="n"/>
    </row>
    <row r="921">
      <c r="A921" s="2" t="n"/>
      <c r="B921" s="12" t="n"/>
      <c r="C921" s="2" t="n"/>
      <c r="D921" s="2" t="n"/>
      <c r="E921" s="2" t="n"/>
      <c r="F921" s="13" t="n"/>
      <c r="G921" s="2" t="n"/>
      <c r="H921" s="2" t="n"/>
      <c r="I921" s="2" t="n"/>
      <c r="J921" s="2" t="n"/>
      <c r="K921" s="2" t="n"/>
    </row>
    <row r="922">
      <c r="A922" s="6" t="n"/>
      <c r="B922" s="14" t="n"/>
      <c r="C922" s="6" t="n"/>
      <c r="D922" s="6" t="n"/>
      <c r="E922" s="6" t="n"/>
      <c r="F922" s="15" t="n"/>
      <c r="G922" s="6" t="n"/>
      <c r="H922" s="6" t="n"/>
      <c r="I922" s="6" t="n"/>
      <c r="J922" s="6" t="n"/>
      <c r="K922" s="6" t="n"/>
    </row>
    <row r="923">
      <c r="A923" s="2" t="n"/>
      <c r="B923" s="12" t="n"/>
      <c r="C923" s="2" t="n"/>
      <c r="D923" s="2" t="n"/>
      <c r="E923" s="2" t="n"/>
      <c r="F923" s="13" t="n"/>
      <c r="G923" s="2" t="n"/>
      <c r="H923" s="2" t="n"/>
      <c r="I923" s="2" t="n"/>
      <c r="J923" s="2" t="n"/>
      <c r="K923" s="2" t="n"/>
    </row>
    <row r="924">
      <c r="A924" s="6" t="n"/>
      <c r="B924" s="14" t="n"/>
      <c r="C924" s="6" t="n"/>
      <c r="D924" s="6" t="n"/>
      <c r="E924" s="6" t="n"/>
      <c r="F924" s="15" t="n"/>
      <c r="G924" s="6" t="n"/>
      <c r="H924" s="6" t="n"/>
      <c r="I924" s="6" t="n"/>
      <c r="J924" s="6" t="n"/>
      <c r="K924" s="6" t="n"/>
    </row>
    <row r="925">
      <c r="A925" s="2" t="n"/>
      <c r="B925" s="12" t="n"/>
      <c r="C925" s="2" t="n"/>
      <c r="D925" s="2" t="n"/>
      <c r="E925" s="2" t="n"/>
      <c r="F925" s="13" t="n"/>
      <c r="G925" s="2" t="n"/>
      <c r="H925" s="2" t="n"/>
      <c r="I925" s="2" t="n"/>
      <c r="J925" s="2" t="n"/>
      <c r="K925" s="2" t="n"/>
    </row>
    <row r="926">
      <c r="A926" s="6" t="n"/>
      <c r="B926" s="14" t="n"/>
      <c r="C926" s="6" t="n"/>
      <c r="D926" s="6" t="n"/>
      <c r="E926" s="6" t="n"/>
      <c r="F926" s="15" t="n"/>
      <c r="G926" s="6" t="n"/>
      <c r="H926" s="6" t="n"/>
      <c r="I926" s="6" t="n"/>
      <c r="J926" s="6" t="n"/>
      <c r="K926" s="6" t="n"/>
    </row>
    <row r="927">
      <c r="A927" s="2" t="n"/>
      <c r="B927" s="12" t="n"/>
      <c r="C927" s="2" t="n"/>
      <c r="D927" s="2" t="n"/>
      <c r="E927" s="2" t="n"/>
      <c r="F927" s="13" t="n"/>
      <c r="G927" s="2" t="n"/>
      <c r="H927" s="2" t="n"/>
      <c r="I927" s="2" t="n"/>
      <c r="J927" s="2" t="n"/>
      <c r="K927" s="2" t="n"/>
    </row>
    <row r="928">
      <c r="A928" s="6" t="n"/>
      <c r="B928" s="14" t="n"/>
      <c r="C928" s="6" t="n"/>
      <c r="D928" s="6" t="n"/>
      <c r="E928" s="6" t="n"/>
      <c r="F928" s="15" t="n"/>
      <c r="G928" s="6" t="n"/>
      <c r="H928" s="6" t="n"/>
      <c r="I928" s="6" t="n"/>
      <c r="J928" s="6" t="n"/>
      <c r="K928" s="6" t="n"/>
    </row>
    <row r="929">
      <c r="A929" s="2" t="n"/>
      <c r="B929" s="12" t="n"/>
      <c r="C929" s="2" t="n"/>
      <c r="D929" s="2" t="n"/>
      <c r="E929" s="2" t="n"/>
      <c r="F929" s="13" t="n"/>
      <c r="G929" s="2" t="n"/>
      <c r="H929" s="2" t="n"/>
      <c r="I929" s="2" t="n"/>
      <c r="J929" s="2" t="n"/>
      <c r="K929" s="2" t="n"/>
    </row>
    <row r="930">
      <c r="A930" s="6" t="n"/>
      <c r="B930" s="14" t="n"/>
      <c r="C930" s="6" t="n"/>
      <c r="D930" s="6" t="n"/>
      <c r="E930" s="6" t="n"/>
      <c r="F930" s="15" t="n"/>
      <c r="G930" s="6" t="n"/>
      <c r="H930" s="6" t="n"/>
      <c r="I930" s="6" t="n"/>
      <c r="J930" s="6" t="n"/>
      <c r="K930" s="6" t="n"/>
    </row>
    <row r="931">
      <c r="A931" s="2" t="n"/>
      <c r="B931" s="12" t="n"/>
      <c r="C931" s="2" t="n"/>
      <c r="D931" s="2" t="n"/>
      <c r="E931" s="2" t="n"/>
      <c r="F931" s="13" t="n"/>
      <c r="G931" s="2" t="n"/>
      <c r="H931" s="2" t="n"/>
      <c r="I931" s="2" t="n"/>
      <c r="J931" s="2" t="n"/>
      <c r="K931" s="2" t="n"/>
    </row>
    <row r="932">
      <c r="A932" s="6" t="n"/>
      <c r="B932" s="14" t="n"/>
      <c r="C932" s="6" t="n"/>
      <c r="D932" s="6" t="n"/>
      <c r="E932" s="6" t="n"/>
      <c r="F932" s="15" t="n"/>
      <c r="G932" s="6" t="n"/>
      <c r="H932" s="6" t="n"/>
      <c r="I932" s="6" t="n"/>
      <c r="J932" s="6" t="n"/>
      <c r="K932" s="6" t="n"/>
    </row>
    <row r="933">
      <c r="A933" s="2" t="n"/>
      <c r="B933" s="12" t="n"/>
      <c r="C933" s="2" t="n"/>
      <c r="D933" s="2" t="n"/>
      <c r="E933" s="2" t="n"/>
      <c r="F933" s="13" t="n"/>
      <c r="G933" s="2" t="n"/>
      <c r="H933" s="2" t="n"/>
      <c r="I933" s="2" t="n"/>
      <c r="J933" s="2" t="n"/>
      <c r="K933" s="2" t="n"/>
    </row>
    <row r="934">
      <c r="A934" s="6" t="n"/>
      <c r="B934" s="14" t="n"/>
      <c r="C934" s="6" t="n"/>
      <c r="D934" s="6" t="n"/>
      <c r="E934" s="6" t="n"/>
      <c r="F934" s="15" t="n"/>
      <c r="G934" s="6" t="n"/>
      <c r="H934" s="6" t="n"/>
      <c r="I934" s="6" t="n"/>
      <c r="J934" s="6" t="n"/>
      <c r="K934" s="6" t="n"/>
    </row>
    <row r="935">
      <c r="A935" s="2" t="n"/>
      <c r="B935" s="12" t="n"/>
      <c r="C935" s="2" t="n"/>
      <c r="D935" s="2" t="n"/>
      <c r="E935" s="2" t="n"/>
      <c r="F935" s="13" t="n"/>
      <c r="G935" s="2" t="n"/>
      <c r="H935" s="2" t="n"/>
      <c r="I935" s="2" t="n"/>
      <c r="J935" s="2" t="n"/>
      <c r="K935" s="2" t="n"/>
    </row>
    <row r="936">
      <c r="A936" s="6" t="n"/>
      <c r="B936" s="14" t="n"/>
      <c r="C936" s="6" t="n"/>
      <c r="D936" s="6" t="n"/>
      <c r="E936" s="6" t="n"/>
      <c r="F936" s="15" t="n"/>
      <c r="G936" s="6" t="n"/>
      <c r="H936" s="6" t="n"/>
      <c r="I936" s="6" t="n"/>
      <c r="J936" s="6" t="n"/>
      <c r="K936" s="6" t="n"/>
    </row>
    <row r="937">
      <c r="A937" s="2" t="n"/>
      <c r="B937" s="12" t="n"/>
      <c r="C937" s="2" t="n"/>
      <c r="D937" s="2" t="n"/>
      <c r="E937" s="2" t="n"/>
      <c r="F937" s="13" t="n"/>
      <c r="G937" s="2" t="n"/>
      <c r="H937" s="2" t="n"/>
      <c r="I937" s="2" t="n"/>
      <c r="J937" s="2" t="n"/>
      <c r="K937" s="2" t="n"/>
    </row>
    <row r="938">
      <c r="A938" s="6" t="n"/>
      <c r="B938" s="14" t="n"/>
      <c r="C938" s="6" t="n"/>
      <c r="D938" s="6" t="n"/>
      <c r="E938" s="6" t="n"/>
      <c r="F938" s="15" t="n"/>
      <c r="G938" s="6" t="n"/>
      <c r="H938" s="6" t="n"/>
      <c r="I938" s="6" t="n"/>
      <c r="J938" s="6" t="n"/>
      <c r="K938" s="6" t="n"/>
    </row>
    <row r="939">
      <c r="A939" s="2" t="n"/>
      <c r="B939" s="12" t="n"/>
      <c r="C939" s="2" t="n"/>
      <c r="D939" s="2" t="n"/>
      <c r="E939" s="2" t="n"/>
      <c r="F939" s="13" t="n"/>
      <c r="G939" s="2" t="n"/>
      <c r="H939" s="2" t="n"/>
      <c r="I939" s="2" t="n"/>
      <c r="J939" s="2" t="n"/>
      <c r="K939" s="2" t="n"/>
    </row>
    <row r="940">
      <c r="A940" s="6" t="n"/>
      <c r="B940" s="14" t="n"/>
      <c r="C940" s="6" t="n"/>
      <c r="D940" s="6" t="n"/>
      <c r="E940" s="6" t="n"/>
      <c r="F940" s="15" t="n"/>
      <c r="G940" s="6" t="n"/>
      <c r="H940" s="6" t="n"/>
      <c r="I940" s="6" t="n"/>
      <c r="J940" s="6" t="n"/>
      <c r="K940" s="6" t="n"/>
    </row>
    <row r="941">
      <c r="A941" s="2" t="n"/>
      <c r="B941" s="12" t="n"/>
      <c r="C941" s="2" t="n"/>
      <c r="D941" s="2" t="n"/>
      <c r="E941" s="2" t="n"/>
      <c r="F941" s="13" t="n"/>
      <c r="G941" s="2" t="n"/>
      <c r="H941" s="2" t="n"/>
      <c r="I941" s="2" t="n"/>
      <c r="J941" s="2" t="n"/>
      <c r="K941" s="2" t="n"/>
    </row>
    <row r="942">
      <c r="A942" s="6" t="n"/>
      <c r="B942" s="14" t="n"/>
      <c r="C942" s="6" t="n"/>
      <c r="D942" s="6" t="n"/>
      <c r="E942" s="6" t="n"/>
      <c r="F942" s="15" t="n"/>
      <c r="G942" s="6" t="n"/>
      <c r="H942" s="6" t="n"/>
      <c r="I942" s="6" t="n"/>
      <c r="J942" s="6" t="n"/>
      <c r="K942" s="6" t="n"/>
    </row>
    <row r="943">
      <c r="A943" s="2" t="n"/>
      <c r="B943" s="12" t="n"/>
      <c r="C943" s="2" t="n"/>
      <c r="D943" s="2" t="n"/>
      <c r="E943" s="2" t="n"/>
      <c r="F943" s="13" t="n"/>
      <c r="G943" s="2" t="n"/>
      <c r="H943" s="2" t="n"/>
      <c r="I943" s="2" t="n"/>
      <c r="J943" s="2" t="n"/>
      <c r="K943" s="2" t="n"/>
    </row>
    <row r="944">
      <c r="A944" s="6" t="n"/>
      <c r="B944" s="14" t="n"/>
      <c r="C944" s="6" t="n"/>
      <c r="D944" s="6" t="n"/>
      <c r="E944" s="6" t="n"/>
      <c r="F944" s="15" t="n"/>
      <c r="G944" s="6" t="n"/>
      <c r="H944" s="6" t="n"/>
      <c r="I944" s="6" t="n"/>
      <c r="J944" s="6" t="n"/>
      <c r="K944" s="6" t="n"/>
    </row>
    <row r="945">
      <c r="A945" s="2" t="n"/>
      <c r="B945" s="12" t="n"/>
      <c r="C945" s="2" t="n"/>
      <c r="D945" s="2" t="n"/>
      <c r="E945" s="2" t="n"/>
      <c r="F945" s="13" t="n"/>
      <c r="G945" s="2" t="n"/>
      <c r="H945" s="2" t="n"/>
      <c r="I945" s="2" t="n"/>
      <c r="J945" s="2" t="n"/>
      <c r="K945" s="2" t="n"/>
    </row>
    <row r="946">
      <c r="A946" s="6" t="n"/>
      <c r="B946" s="14" t="n"/>
      <c r="C946" s="6" t="n"/>
      <c r="D946" s="6" t="n"/>
      <c r="E946" s="6" t="n"/>
      <c r="F946" s="15" t="n"/>
      <c r="G946" s="6" t="n"/>
      <c r="H946" s="6" t="n"/>
      <c r="I946" s="6" t="n"/>
      <c r="J946" s="6" t="n"/>
      <c r="K946" s="6" t="n"/>
    </row>
    <row r="947">
      <c r="A947" s="2" t="n"/>
      <c r="B947" s="12" t="n"/>
      <c r="C947" s="2" t="n"/>
      <c r="D947" s="2" t="n"/>
      <c r="E947" s="2" t="n"/>
      <c r="F947" s="13" t="n"/>
      <c r="G947" s="2" t="n"/>
      <c r="H947" s="2" t="n"/>
      <c r="I947" s="2" t="n"/>
      <c r="J947" s="2" t="n"/>
      <c r="K947" s="2" t="n"/>
    </row>
    <row r="948">
      <c r="A948" s="6" t="n"/>
      <c r="B948" s="14" t="n"/>
      <c r="C948" s="6" t="n"/>
      <c r="D948" s="6" t="n"/>
      <c r="E948" s="6" t="n"/>
      <c r="F948" s="15" t="n"/>
      <c r="G948" s="6" t="n"/>
      <c r="H948" s="6" t="n"/>
      <c r="I948" s="6" t="n"/>
      <c r="J948" s="6" t="n"/>
      <c r="K948" s="6" t="n"/>
    </row>
    <row r="949">
      <c r="A949" s="2" t="n"/>
      <c r="B949" s="12" t="n"/>
      <c r="C949" s="2" t="n"/>
      <c r="D949" s="2" t="n"/>
      <c r="E949" s="2" t="n"/>
      <c r="F949" s="13" t="n"/>
      <c r="G949" s="2" t="n"/>
      <c r="H949" s="2" t="n"/>
      <c r="I949" s="2" t="n"/>
      <c r="J949" s="2" t="n"/>
      <c r="K949" s="2" t="n"/>
    </row>
    <row r="950">
      <c r="A950" s="6" t="n"/>
      <c r="B950" s="14" t="n"/>
      <c r="C950" s="6" t="n"/>
      <c r="D950" s="6" t="n"/>
      <c r="E950" s="6" t="n"/>
      <c r="F950" s="15" t="n"/>
      <c r="G950" s="6" t="n"/>
      <c r="H950" s="6" t="n"/>
      <c r="I950" s="6" t="n"/>
      <c r="J950" s="6" t="n"/>
      <c r="K950" s="6" t="n"/>
    </row>
    <row r="951">
      <c r="A951" s="2" t="n"/>
      <c r="B951" s="12" t="n"/>
      <c r="C951" s="2" t="n"/>
      <c r="D951" s="2" t="n"/>
      <c r="E951" s="2" t="n"/>
      <c r="F951" s="13" t="n"/>
      <c r="G951" s="2" t="n"/>
      <c r="H951" s="2" t="n"/>
      <c r="I951" s="2" t="n"/>
      <c r="J951" s="2" t="n"/>
      <c r="K951" s="2" t="n"/>
    </row>
    <row r="952">
      <c r="A952" s="6" t="n"/>
      <c r="B952" s="14" t="n"/>
      <c r="C952" s="6" t="n"/>
      <c r="D952" s="6" t="n"/>
      <c r="E952" s="6" t="n"/>
      <c r="F952" s="15" t="n"/>
      <c r="G952" s="6" t="n"/>
      <c r="H952" s="6" t="n"/>
      <c r="I952" s="6" t="n"/>
      <c r="J952" s="6" t="n"/>
      <c r="K952" s="6" t="n"/>
    </row>
    <row r="953">
      <c r="A953" s="2" t="n"/>
      <c r="B953" s="12" t="n"/>
      <c r="C953" s="2" t="n"/>
      <c r="D953" s="2" t="n"/>
      <c r="E953" s="2" t="n"/>
      <c r="F953" s="13" t="n"/>
      <c r="G953" s="2" t="n"/>
      <c r="H953" s="2" t="n"/>
      <c r="I953" s="2" t="n"/>
      <c r="J953" s="2" t="n"/>
      <c r="K953" s="2" t="n"/>
    </row>
    <row r="954">
      <c r="A954" s="6" t="n"/>
      <c r="B954" s="14" t="n"/>
      <c r="C954" s="6" t="n"/>
      <c r="D954" s="6" t="n"/>
      <c r="E954" s="6" t="n"/>
      <c r="F954" s="15" t="n"/>
      <c r="G954" s="6" t="n"/>
      <c r="H954" s="6" t="n"/>
      <c r="I954" s="6" t="n"/>
      <c r="J954" s="6" t="n"/>
      <c r="K954" s="6" t="n"/>
    </row>
    <row r="955">
      <c r="A955" s="2" t="n"/>
      <c r="B955" s="12" t="n"/>
      <c r="C955" s="2" t="n"/>
      <c r="D955" s="2" t="n"/>
      <c r="E955" s="2" t="n"/>
      <c r="F955" s="13" t="n"/>
      <c r="G955" s="2" t="n"/>
      <c r="H955" s="2" t="n"/>
      <c r="I955" s="2" t="n"/>
      <c r="J955" s="2" t="n"/>
      <c r="K955" s="2" t="n"/>
    </row>
    <row r="956">
      <c r="A956" s="6" t="n"/>
      <c r="B956" s="14" t="n"/>
      <c r="C956" s="6" t="n"/>
      <c r="D956" s="6" t="n"/>
      <c r="E956" s="6" t="n"/>
      <c r="F956" s="15" t="n"/>
      <c r="G956" s="6" t="n"/>
      <c r="H956" s="6" t="n"/>
      <c r="I956" s="6" t="n"/>
      <c r="J956" s="6" t="n"/>
      <c r="K956" s="6" t="n"/>
    </row>
    <row r="957">
      <c r="A957" s="2" t="n"/>
      <c r="B957" s="12" t="n"/>
      <c r="C957" s="2" t="n"/>
      <c r="D957" s="2" t="n"/>
      <c r="E957" s="2" t="n"/>
      <c r="F957" s="13" t="n"/>
      <c r="G957" s="2" t="n"/>
      <c r="H957" s="2" t="n"/>
      <c r="I957" s="2" t="n"/>
      <c r="J957" s="2" t="n"/>
      <c r="K957" s="2" t="n"/>
    </row>
    <row r="958">
      <c r="A958" s="6" t="n"/>
      <c r="B958" s="14" t="n"/>
      <c r="C958" s="6" t="n"/>
      <c r="D958" s="6" t="n"/>
      <c r="E958" s="6" t="n"/>
      <c r="F958" s="15" t="n"/>
      <c r="G958" s="6" t="n"/>
      <c r="H958" s="6" t="n"/>
      <c r="I958" s="6" t="n"/>
      <c r="J958" s="6" t="n"/>
      <c r="K958" s="6" t="n"/>
    </row>
    <row r="959">
      <c r="A959" s="2" t="n"/>
      <c r="B959" s="12" t="n"/>
      <c r="C959" s="2" t="n"/>
      <c r="D959" s="2" t="n"/>
      <c r="E959" s="2" t="n"/>
      <c r="F959" s="13" t="n"/>
      <c r="G959" s="2" t="n"/>
      <c r="H959" s="2" t="n"/>
      <c r="I959" s="2" t="n"/>
      <c r="J959" s="2" t="n"/>
      <c r="K959" s="2" t="n"/>
    </row>
    <row r="960">
      <c r="A960" s="6" t="n"/>
      <c r="B960" s="14" t="n"/>
      <c r="C960" s="6" t="n"/>
      <c r="D960" s="6" t="n"/>
      <c r="E960" s="6" t="n"/>
      <c r="F960" s="15" t="n"/>
      <c r="G960" s="6" t="n"/>
      <c r="H960" s="6" t="n"/>
      <c r="I960" s="6" t="n"/>
      <c r="J960" s="6" t="n"/>
      <c r="K960" s="6" t="n"/>
    </row>
    <row r="961">
      <c r="A961" s="2" t="n"/>
      <c r="B961" s="12" t="n"/>
      <c r="C961" s="2" t="n"/>
      <c r="D961" s="2" t="n"/>
      <c r="E961" s="2" t="n"/>
      <c r="F961" s="13" t="n"/>
      <c r="G961" s="2" t="n"/>
      <c r="H961" s="2" t="n"/>
      <c r="I961" s="2" t="n"/>
      <c r="J961" s="2" t="n"/>
      <c r="K961" s="2" t="n"/>
    </row>
    <row r="962">
      <c r="A962" s="6" t="n"/>
      <c r="B962" s="14" t="n"/>
      <c r="C962" s="6" t="n"/>
      <c r="D962" s="6" t="n"/>
      <c r="E962" s="6" t="n"/>
      <c r="F962" s="15" t="n"/>
      <c r="G962" s="6" t="n"/>
      <c r="H962" s="6" t="n"/>
      <c r="I962" s="6" t="n"/>
      <c r="J962" s="6" t="n"/>
      <c r="K962" s="6" t="n"/>
    </row>
    <row r="963">
      <c r="A963" s="2" t="n"/>
      <c r="B963" s="12" t="n"/>
      <c r="C963" s="2" t="n"/>
      <c r="D963" s="2" t="n"/>
      <c r="E963" s="2" t="n"/>
      <c r="F963" s="13" t="n"/>
      <c r="G963" s="2" t="n"/>
      <c r="H963" s="2" t="n"/>
      <c r="I963" s="2" t="n"/>
      <c r="J963" s="2" t="n"/>
      <c r="K963" s="2" t="n"/>
    </row>
    <row r="964">
      <c r="A964" s="6" t="n"/>
      <c r="B964" s="14" t="n"/>
      <c r="C964" s="6" t="n"/>
      <c r="D964" s="6" t="n"/>
      <c r="E964" s="6" t="n"/>
      <c r="F964" s="15" t="n"/>
      <c r="G964" s="6" t="n"/>
      <c r="H964" s="6" t="n"/>
      <c r="I964" s="6" t="n"/>
      <c r="J964" s="6" t="n"/>
      <c r="K964" s="6" t="n"/>
    </row>
    <row r="965">
      <c r="A965" s="2" t="n"/>
      <c r="B965" s="12" t="n"/>
      <c r="C965" s="2" t="n"/>
      <c r="D965" s="2" t="n"/>
      <c r="E965" s="2" t="n"/>
      <c r="F965" s="13" t="n"/>
      <c r="G965" s="2" t="n"/>
      <c r="H965" s="2" t="n"/>
      <c r="I965" s="2" t="n"/>
      <c r="J965" s="2" t="n"/>
      <c r="K965" s="2" t="n"/>
    </row>
    <row r="966">
      <c r="A966" s="6" t="n"/>
      <c r="B966" s="14" t="n"/>
      <c r="C966" s="6" t="n"/>
      <c r="D966" s="6" t="n"/>
      <c r="E966" s="6" t="n"/>
      <c r="F966" s="15" t="n"/>
      <c r="G966" s="6" t="n"/>
      <c r="H966" s="6" t="n"/>
      <c r="I966" s="6" t="n"/>
      <c r="J966" s="6" t="n"/>
      <c r="K966" s="6" t="n"/>
    </row>
    <row r="967">
      <c r="A967" s="2" t="n"/>
      <c r="B967" s="12" t="n"/>
      <c r="C967" s="2" t="n"/>
      <c r="D967" s="2" t="n"/>
      <c r="E967" s="2" t="n"/>
      <c r="F967" s="13" t="n"/>
      <c r="G967" s="2" t="n"/>
      <c r="H967" s="2" t="n"/>
      <c r="I967" s="2" t="n"/>
      <c r="J967" s="2" t="n"/>
      <c r="K967" s="2" t="n"/>
    </row>
    <row r="968">
      <c r="A968" s="6" t="n"/>
      <c r="B968" s="14" t="n"/>
      <c r="C968" s="6" t="n"/>
      <c r="D968" s="6" t="n"/>
      <c r="E968" s="6" t="n"/>
      <c r="F968" s="15" t="n"/>
      <c r="G968" s="6" t="n"/>
      <c r="H968" s="6" t="n"/>
      <c r="I968" s="6" t="n"/>
      <c r="J968" s="6" t="n"/>
      <c r="K968" s="6" t="n"/>
    </row>
    <row r="969">
      <c r="A969" s="2" t="n"/>
      <c r="B969" s="12" t="n"/>
      <c r="C969" s="2" t="n"/>
      <c r="D969" s="2" t="n"/>
      <c r="E969" s="2" t="n"/>
      <c r="F969" s="13" t="n"/>
      <c r="G969" s="2" t="n"/>
      <c r="H969" s="2" t="n"/>
      <c r="I969" s="2" t="n"/>
      <c r="J969" s="2" t="n"/>
      <c r="K969" s="2" t="n"/>
    </row>
    <row r="970">
      <c r="A970" s="6" t="n"/>
      <c r="B970" s="14" t="n"/>
      <c r="C970" s="6" t="n"/>
      <c r="D970" s="6" t="n"/>
      <c r="E970" s="6" t="n"/>
      <c r="F970" s="15" t="n"/>
      <c r="G970" s="6" t="n"/>
      <c r="H970" s="6" t="n"/>
      <c r="I970" s="6" t="n"/>
      <c r="J970" s="6" t="n"/>
      <c r="K970" s="6" t="n"/>
    </row>
    <row r="971">
      <c r="A971" s="2" t="n"/>
      <c r="B971" s="12" t="n"/>
      <c r="C971" s="2" t="n"/>
      <c r="D971" s="2" t="n"/>
      <c r="E971" s="2" t="n"/>
      <c r="F971" s="13" t="n"/>
      <c r="G971" s="2" t="n"/>
      <c r="H971" s="2" t="n"/>
      <c r="I971" s="2" t="n"/>
      <c r="J971" s="2" t="n"/>
      <c r="K971" s="2" t="n"/>
    </row>
    <row r="972">
      <c r="A972" s="6" t="n"/>
      <c r="B972" s="14" t="n"/>
      <c r="C972" s="6" t="n"/>
      <c r="D972" s="6" t="n"/>
      <c r="E972" s="6" t="n"/>
      <c r="F972" s="15" t="n"/>
      <c r="G972" s="6" t="n"/>
      <c r="H972" s="6" t="n"/>
      <c r="I972" s="6" t="n"/>
      <c r="J972" s="6" t="n"/>
      <c r="K972" s="6" t="n"/>
    </row>
    <row r="973">
      <c r="A973" s="2" t="n"/>
      <c r="B973" s="12" t="n"/>
      <c r="C973" s="2" t="n"/>
      <c r="D973" s="2" t="n"/>
      <c r="E973" s="2" t="n"/>
      <c r="F973" s="13" t="n"/>
      <c r="G973" s="2" t="n"/>
      <c r="H973" s="2" t="n"/>
      <c r="I973" s="2" t="n"/>
      <c r="J973" s="2" t="n"/>
      <c r="K973" s="2" t="n"/>
    </row>
    <row r="974">
      <c r="A974" s="6" t="n"/>
      <c r="B974" s="14" t="n"/>
      <c r="C974" s="6" t="n"/>
      <c r="D974" s="6" t="n"/>
      <c r="E974" s="6" t="n"/>
      <c r="F974" s="15" t="n"/>
      <c r="G974" s="6" t="n"/>
      <c r="H974" s="6" t="n"/>
      <c r="I974" s="6" t="n"/>
      <c r="J974" s="6" t="n"/>
      <c r="K974" s="6" t="n"/>
    </row>
    <row r="975">
      <c r="A975" s="2" t="n"/>
      <c r="B975" s="12" t="n"/>
      <c r="C975" s="2" t="n"/>
      <c r="D975" s="2" t="n"/>
      <c r="E975" s="2" t="n"/>
      <c r="F975" s="13" t="n"/>
      <c r="G975" s="2" t="n"/>
      <c r="H975" s="2" t="n"/>
      <c r="I975" s="2" t="n"/>
      <c r="J975" s="2" t="n"/>
      <c r="K975" s="2" t="n"/>
    </row>
    <row r="976">
      <c r="A976" s="6" t="n"/>
      <c r="B976" s="14" t="n"/>
      <c r="C976" s="6" t="n"/>
      <c r="D976" s="6" t="n"/>
      <c r="E976" s="6" t="n"/>
      <c r="F976" s="15" t="n"/>
      <c r="G976" s="6" t="n"/>
      <c r="H976" s="6" t="n"/>
      <c r="I976" s="6" t="n"/>
      <c r="J976" s="6" t="n"/>
      <c r="K976" s="6" t="n"/>
    </row>
    <row r="977">
      <c r="A977" s="2" t="n"/>
      <c r="B977" s="12" t="n"/>
      <c r="C977" s="2" t="n"/>
      <c r="D977" s="2" t="n"/>
      <c r="E977" s="2" t="n"/>
      <c r="F977" s="13" t="n"/>
      <c r="G977" s="2" t="n"/>
      <c r="H977" s="2" t="n"/>
      <c r="I977" s="2" t="n"/>
      <c r="J977" s="2" t="n"/>
      <c r="K977" s="2" t="n"/>
    </row>
    <row r="978">
      <c r="A978" s="6" t="n"/>
      <c r="B978" s="14" t="n"/>
      <c r="C978" s="6" t="n"/>
      <c r="D978" s="6" t="n"/>
      <c r="E978" s="6" t="n"/>
      <c r="F978" s="15" t="n"/>
      <c r="G978" s="6" t="n"/>
      <c r="H978" s="6" t="n"/>
      <c r="I978" s="6" t="n"/>
      <c r="J978" s="6" t="n"/>
      <c r="K978" s="6" t="n"/>
    </row>
    <row r="979">
      <c r="A979" s="2" t="n"/>
      <c r="B979" s="12" t="n"/>
      <c r="C979" s="2" t="n"/>
      <c r="D979" s="2" t="n"/>
      <c r="E979" s="2" t="n"/>
      <c r="F979" s="13" t="n"/>
      <c r="G979" s="2" t="n"/>
      <c r="H979" s="2" t="n"/>
      <c r="I979" s="2" t="n"/>
      <c r="J979" s="2" t="n"/>
      <c r="K979" s="2" t="n"/>
    </row>
    <row r="980">
      <c r="A980" s="6" t="n"/>
      <c r="B980" s="14" t="n"/>
      <c r="C980" s="6" t="n"/>
      <c r="D980" s="6" t="n"/>
      <c r="E980" s="6" t="n"/>
      <c r="F980" s="15" t="n"/>
      <c r="G980" s="6" t="n"/>
      <c r="H980" s="6" t="n"/>
      <c r="I980" s="6" t="n"/>
      <c r="J980" s="6" t="n"/>
      <c r="K980" s="6" t="n"/>
    </row>
    <row r="981">
      <c r="A981" s="2" t="n"/>
      <c r="B981" s="12" t="n"/>
      <c r="C981" s="2" t="n"/>
      <c r="D981" s="2" t="n"/>
      <c r="E981" s="2" t="n"/>
      <c r="F981" s="13" t="n"/>
      <c r="G981" s="2" t="n"/>
      <c r="H981" s="2" t="n"/>
      <c r="I981" s="2" t="n"/>
      <c r="J981" s="2" t="n"/>
      <c r="K981" s="2" t="n"/>
    </row>
    <row r="982">
      <c r="A982" s="6" t="n"/>
      <c r="B982" s="14" t="n"/>
      <c r="C982" s="6" t="n"/>
      <c r="D982" s="6" t="n"/>
      <c r="E982" s="6" t="n"/>
      <c r="F982" s="15" t="n"/>
      <c r="G982" s="6" t="n"/>
      <c r="H982" s="6" t="n"/>
      <c r="I982" s="6" t="n"/>
      <c r="J982" s="6" t="n"/>
      <c r="K982" s="6" t="n"/>
    </row>
    <row r="983">
      <c r="A983" s="2" t="n"/>
      <c r="B983" s="12" t="n"/>
      <c r="C983" s="2" t="n"/>
      <c r="D983" s="2" t="n"/>
      <c r="E983" s="2" t="n"/>
      <c r="F983" s="13" t="n"/>
      <c r="G983" s="2" t="n"/>
      <c r="H983" s="2" t="n"/>
      <c r="I983" s="2" t="n"/>
      <c r="J983" s="2" t="n"/>
      <c r="K983" s="2" t="n"/>
    </row>
    <row r="984">
      <c r="A984" s="6" t="n"/>
      <c r="B984" s="14" t="n"/>
      <c r="C984" s="6" t="n"/>
      <c r="D984" s="6" t="n"/>
      <c r="E984" s="6" t="n"/>
      <c r="F984" s="15" t="n"/>
      <c r="G984" s="6" t="n"/>
      <c r="H984" s="6" t="n"/>
      <c r="I984" s="6" t="n"/>
      <c r="J984" s="6" t="n"/>
      <c r="K984" s="6" t="n"/>
    </row>
    <row r="985">
      <c r="A985" s="2" t="n"/>
      <c r="B985" s="12" t="n"/>
      <c r="C985" s="2" t="n"/>
      <c r="D985" s="2" t="n"/>
      <c r="E985" s="2" t="n"/>
      <c r="F985" s="13" t="n"/>
      <c r="G985" s="2" t="n"/>
      <c r="H985" s="2" t="n"/>
      <c r="I985" s="2" t="n"/>
      <c r="J985" s="2" t="n"/>
      <c r="K985" s="2" t="n"/>
    </row>
    <row r="986">
      <c r="A986" s="6" t="n"/>
      <c r="B986" s="14" t="n"/>
      <c r="C986" s="6" t="n"/>
      <c r="D986" s="6" t="n"/>
      <c r="E986" s="6" t="n"/>
      <c r="F986" s="15" t="n"/>
      <c r="G986" s="6" t="n"/>
      <c r="H986" s="6" t="n"/>
      <c r="I986" s="6" t="n"/>
      <c r="J986" s="6" t="n"/>
      <c r="K986" s="6" t="n"/>
    </row>
    <row r="987">
      <c r="A987" s="2" t="n"/>
      <c r="B987" s="12" t="n"/>
      <c r="C987" s="2" t="n"/>
      <c r="D987" s="2" t="n"/>
      <c r="E987" s="2" t="n"/>
      <c r="F987" s="13" t="n"/>
      <c r="G987" s="2" t="n"/>
      <c r="H987" s="2" t="n"/>
      <c r="I987" s="2" t="n"/>
      <c r="J987" s="2" t="n"/>
      <c r="K987" s="2" t="n"/>
    </row>
    <row r="988">
      <c r="A988" s="6" t="n"/>
      <c r="B988" s="14" t="n"/>
      <c r="C988" s="6" t="n"/>
      <c r="D988" s="6" t="n"/>
      <c r="E988" s="6" t="n"/>
      <c r="F988" s="15" t="n"/>
      <c r="G988" s="6" t="n"/>
      <c r="H988" s="6" t="n"/>
      <c r="I988" s="6" t="n"/>
      <c r="J988" s="6" t="n"/>
      <c r="K988" s="6" t="n"/>
    </row>
    <row r="989">
      <c r="A989" s="2" t="n"/>
      <c r="B989" s="12" t="n"/>
      <c r="C989" s="2" t="n"/>
      <c r="D989" s="2" t="n"/>
      <c r="E989" s="2" t="n"/>
      <c r="F989" s="13" t="n"/>
      <c r="G989" s="2" t="n"/>
      <c r="H989" s="2" t="n"/>
      <c r="I989" s="2" t="n"/>
      <c r="J989" s="2" t="n"/>
      <c r="K989" s="2" t="n"/>
    </row>
    <row r="990">
      <c r="A990" s="6" t="n"/>
      <c r="B990" s="14" t="n"/>
      <c r="C990" s="6" t="n"/>
      <c r="D990" s="6" t="n"/>
      <c r="E990" s="6" t="n"/>
      <c r="F990" s="15" t="n"/>
      <c r="G990" s="6" t="n"/>
      <c r="H990" s="6" t="n"/>
      <c r="I990" s="6" t="n"/>
      <c r="J990" s="6" t="n"/>
      <c r="K990" s="6" t="n"/>
    </row>
    <row r="991">
      <c r="A991" s="2" t="n"/>
      <c r="B991" s="12" t="n"/>
      <c r="C991" s="2" t="n"/>
      <c r="D991" s="2" t="n"/>
      <c r="E991" s="2" t="n"/>
      <c r="F991" s="13" t="n"/>
      <c r="G991" s="2" t="n"/>
      <c r="H991" s="2" t="n"/>
      <c r="I991" s="2" t="n"/>
      <c r="J991" s="2" t="n"/>
      <c r="K991" s="2" t="n"/>
    </row>
    <row r="992">
      <c r="A992" s="6" t="n"/>
      <c r="B992" s="14" t="n"/>
      <c r="C992" s="6" t="n"/>
      <c r="D992" s="6" t="n"/>
      <c r="E992" s="6" t="n"/>
      <c r="F992" s="15" t="n"/>
      <c r="G992" s="6" t="n"/>
      <c r="H992" s="6" t="n"/>
      <c r="I992" s="6" t="n"/>
      <c r="J992" s="6" t="n"/>
      <c r="K992" s="6" t="n"/>
    </row>
    <row r="993">
      <c r="A993" s="2" t="n"/>
      <c r="B993" s="12" t="n"/>
      <c r="C993" s="2" t="n"/>
      <c r="D993" s="2" t="n"/>
      <c r="E993" s="2" t="n"/>
      <c r="F993" s="13" t="n"/>
      <c r="G993" s="2" t="n"/>
      <c r="H993" s="2" t="n"/>
      <c r="I993" s="2" t="n"/>
      <c r="J993" s="2" t="n"/>
      <c r="K993" s="2" t="n"/>
    </row>
    <row r="994">
      <c r="A994" s="6" t="n"/>
      <c r="B994" s="14" t="n"/>
      <c r="C994" s="6" t="n"/>
      <c r="D994" s="6" t="n"/>
      <c r="E994" s="6" t="n"/>
      <c r="F994" s="15" t="n"/>
      <c r="G994" s="6" t="n"/>
      <c r="H994" s="6" t="n"/>
      <c r="I994" s="6" t="n"/>
      <c r="J994" s="6" t="n"/>
      <c r="K994" s="6" t="n"/>
    </row>
    <row r="995">
      <c r="A995" s="2" t="n"/>
      <c r="B995" s="12" t="n"/>
      <c r="C995" s="2" t="n"/>
      <c r="D995" s="2" t="n"/>
      <c r="E995" s="2" t="n"/>
      <c r="F995" s="13" t="n"/>
      <c r="G995" s="2" t="n"/>
      <c r="H995" s="2" t="n"/>
      <c r="I995" s="2" t="n"/>
      <c r="J995" s="2" t="n"/>
      <c r="K995" s="2" t="n"/>
    </row>
    <row r="996">
      <c r="A996" s="6" t="n"/>
      <c r="B996" s="14" t="n"/>
      <c r="C996" s="6" t="n"/>
      <c r="D996" s="6" t="n"/>
      <c r="E996" s="6" t="n"/>
      <c r="F996" s="15" t="n"/>
      <c r="G996" s="6" t="n"/>
      <c r="H996" s="6" t="n"/>
      <c r="I996" s="6" t="n"/>
      <c r="J996" s="6" t="n"/>
      <c r="K996" s="6" t="n"/>
    </row>
    <row r="997">
      <c r="A997" s="2" t="n"/>
      <c r="B997" s="12" t="n"/>
      <c r="C997" s="2" t="n"/>
      <c r="D997" s="2" t="n"/>
      <c r="E997" s="2" t="n"/>
      <c r="F997" s="13" t="n"/>
      <c r="G997" s="2" t="n"/>
      <c r="H997" s="2" t="n"/>
      <c r="I997" s="2" t="n"/>
      <c r="J997" s="2" t="n"/>
      <c r="K997" s="2" t="n"/>
    </row>
    <row r="998">
      <c r="A998" s="6" t="n"/>
      <c r="B998" s="14" t="n"/>
      <c r="C998" s="6" t="n"/>
      <c r="D998" s="6" t="n"/>
      <c r="E998" s="6" t="n"/>
      <c r="F998" s="15" t="n"/>
      <c r="G998" s="6" t="n"/>
      <c r="H998" s="6" t="n"/>
      <c r="I998" s="6" t="n"/>
      <c r="J998" s="6" t="n"/>
      <c r="K998" s="6" t="n"/>
    </row>
    <row r="999">
      <c r="A999" s="2" t="n"/>
      <c r="B999" s="12" t="n"/>
      <c r="C999" s="2" t="n"/>
      <c r="D999" s="2" t="n"/>
      <c r="E999" s="2" t="n"/>
      <c r="F999" s="13" t="n"/>
      <c r="G999" s="2" t="n"/>
      <c r="H999" s="2" t="n"/>
      <c r="I999" s="2" t="n"/>
      <c r="J999" s="2" t="n"/>
      <c r="K999" s="2" t="n"/>
    </row>
    <row r="1000">
      <c r="A1000" s="6" t="n"/>
      <c r="B1000" s="14" t="n"/>
      <c r="C1000" s="6" t="n"/>
      <c r="D1000" s="6" t="n"/>
      <c r="E1000" s="6" t="n"/>
      <c r="F1000" s="15" t="n"/>
      <c r="G1000" s="6" t="n"/>
      <c r="H1000" s="6" t="n"/>
      <c r="I1000" s="6" t="n"/>
      <c r="J1000" s="6" t="n"/>
      <c r="K1000" s="6" t="n"/>
    </row>
    <row r="1001">
      <c r="A1001" s="2" t="n"/>
      <c r="B1001" s="12" t="n"/>
      <c r="C1001" s="2" t="n"/>
      <c r="D1001" s="2" t="n"/>
      <c r="E1001" s="2" t="n"/>
      <c r="F1001" s="13" t="n"/>
      <c r="G1001" s="2" t="n"/>
      <c r="H1001" s="2" t="n"/>
      <c r="I1001" s="2" t="n"/>
      <c r="J1001" s="2" t="n"/>
      <c r="K1001" s="2" t="n"/>
    </row>
    <row r="1002">
      <c r="A1002" s="6" t="n"/>
      <c r="B1002" s="14" t="n"/>
      <c r="C1002" s="6" t="n"/>
      <c r="D1002" s="6" t="n"/>
      <c r="E1002" s="6" t="n"/>
      <c r="F1002" s="15" t="n"/>
      <c r="G1002" s="6" t="n"/>
      <c r="H1002" s="6" t="n"/>
      <c r="I1002" s="6" t="n"/>
      <c r="J1002" s="6" t="n"/>
      <c r="K1002" s="6" t="n"/>
    </row>
    <row r="1003">
      <c r="A1003" s="2" t="n"/>
      <c r="B1003" s="12" t="n"/>
      <c r="C1003" s="2" t="n"/>
      <c r="D1003" s="2" t="n"/>
      <c r="E1003" s="2" t="n"/>
      <c r="F1003" s="13" t="n"/>
      <c r="G1003" s="2" t="n"/>
      <c r="H1003" s="2" t="n"/>
      <c r="I1003" s="2" t="n"/>
      <c r="J1003" s="2" t="n"/>
      <c r="K1003" s="2" t="n"/>
    </row>
    <row r="1004">
      <c r="A1004" s="6" t="n"/>
      <c r="B1004" s="14" t="n"/>
      <c r="C1004" s="6" t="n"/>
      <c r="D1004" s="6" t="n"/>
      <c r="E1004" s="6" t="n"/>
      <c r="F1004" s="15" t="n"/>
      <c r="G1004" s="6" t="n"/>
      <c r="H1004" s="6" t="n"/>
      <c r="I1004" s="6" t="n"/>
      <c r="J1004" s="6" t="n"/>
      <c r="K1004" s="6" t="n"/>
    </row>
  </sheetData>
  <autoFilter ref="A4:K504"/>
  <dataValidations count="2">
    <dataValidation sqref="G5:G504" showDropDown="0" showInputMessage="0" showErrorMessage="0" allowBlank="1" type="list">
      <formula1>"ACH,Check,Credit Card,Debit Card,Cash,Money Order,Wire,Other"</formula1>
    </dataValidation>
    <dataValidation sqref="J5:J504" showDropDown="0" showInputMessage="0" showErrorMessage="0" allowBlank="1" type="list">
      <formula1>"Yes,No,N/A"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4" customWidth="1" min="9" max="9"/>
    <col width="44" customWidth="1" min="10" max="10"/>
  </cols>
  <sheetData>
    <row r="1">
      <c r="A1" s="1" t="inlineStr">
        <is>
          <t>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1" t="inlineStr">
        <is>
          <t>Ledger ID</t>
        </is>
      </c>
      <c r="B4" s="11" t="inlineStr">
        <is>
          <t>Unit ID</t>
        </is>
      </c>
      <c r="C4" s="11" t="inlineStr">
        <is>
          <t>Invoice No.</t>
        </is>
      </c>
      <c r="D4" s="11" t="inlineStr">
        <is>
          <t>Transaction Date</t>
        </is>
      </c>
      <c r="E4" s="11" t="inlineStr">
        <is>
          <t>Type</t>
        </is>
      </c>
      <c r="F4" s="11" t="inlineStr">
        <is>
          <t>Debit</t>
        </is>
      </c>
      <c r="G4" s="11" t="inlineStr">
        <is>
          <t>Credit</t>
        </is>
      </c>
      <c r="H4" s="11" t="inlineStr">
        <is>
          <t>Balance</t>
        </is>
      </c>
      <c r="I4" s="11" t="inlineStr">
        <is>
          <t>Reference</t>
        </is>
      </c>
      <c r="J4" s="11" t="inlineStr">
        <is>
          <t>Notes</t>
        </is>
      </c>
    </row>
    <row r="5">
      <c r="A5" s="2" t="n"/>
      <c r="B5" s="2" t="n"/>
      <c r="C5" s="2" t="n"/>
      <c r="D5" s="12" t="n"/>
      <c r="E5" s="2" t="n"/>
      <c r="F5" s="13" t="n"/>
      <c r="G5" s="13" t="n"/>
      <c r="H5" s="13">
        <f>IF($B5="","",SUMIFS($F:$F,$B:$B,$B5,$D:$D,"&lt;="&amp;$D5)-SUMIFS($G:$G,$B:$B,$B5,$D:$D,"&lt;="&amp;$D5))</f>
        <v/>
      </c>
      <c r="I5" s="2" t="n"/>
      <c r="J5" s="2" t="n"/>
    </row>
    <row r="6">
      <c r="A6" s="6" t="n"/>
      <c r="B6" s="6" t="n"/>
      <c r="C6" s="6" t="n"/>
      <c r="D6" s="14" t="n"/>
      <c r="E6" s="6" t="n"/>
      <c r="F6" s="15" t="n"/>
      <c r="G6" s="15" t="n"/>
      <c r="H6" s="13">
        <f>IF($B6="","",SUMIFS($F:$F,$B:$B,$B6,$D:$D,"&lt;="&amp;$D6)-SUMIFS($G:$G,$B:$B,$B6,$D:$D,"&lt;="&amp;$D6))</f>
        <v/>
      </c>
      <c r="I6" s="6" t="n"/>
      <c r="J6" s="6" t="n"/>
    </row>
    <row r="7">
      <c r="A7" s="2" t="n"/>
      <c r="B7" s="2" t="n"/>
      <c r="C7" s="2" t="n"/>
      <c r="D7" s="12" t="n"/>
      <c r="E7" s="2" t="n"/>
      <c r="F7" s="13" t="n"/>
      <c r="G7" s="13" t="n"/>
      <c r="H7" s="13">
        <f>IF($B7="","",SUMIFS($F:$F,$B:$B,$B7,$D:$D,"&lt;="&amp;$D7)-SUMIFS($G:$G,$B:$B,$B7,$D:$D,"&lt;="&amp;$D7))</f>
        <v/>
      </c>
      <c r="I7" s="2" t="n"/>
      <c r="J7" s="2" t="n"/>
    </row>
    <row r="8">
      <c r="A8" s="6" t="n"/>
      <c r="B8" s="6" t="n"/>
      <c r="C8" s="6" t="n"/>
      <c r="D8" s="14" t="n"/>
      <c r="E8" s="6" t="n"/>
      <c r="F8" s="15" t="n"/>
      <c r="G8" s="15" t="n"/>
      <c r="H8" s="13">
        <f>IF($B8="","",SUMIFS($F:$F,$B:$B,$B8,$D:$D,"&lt;="&amp;$D8)-SUMIFS($G:$G,$B:$B,$B8,$D:$D,"&lt;="&amp;$D8))</f>
        <v/>
      </c>
      <c r="I8" s="6" t="n"/>
      <c r="J8" s="6" t="n"/>
    </row>
    <row r="9">
      <c r="A9" s="2" t="n"/>
      <c r="B9" s="2" t="n"/>
      <c r="C9" s="2" t="n"/>
      <c r="D9" s="12" t="n"/>
      <c r="E9" s="2" t="n"/>
      <c r="F9" s="13" t="n"/>
      <c r="G9" s="13" t="n"/>
      <c r="H9" s="13">
        <f>IF($B9="","",SUMIFS($F:$F,$B:$B,$B9,$D:$D,"&lt;="&amp;$D9)-SUMIFS($G:$G,$B:$B,$B9,$D:$D,"&lt;="&amp;$D9))</f>
        <v/>
      </c>
      <c r="I9" s="2" t="n"/>
      <c r="J9" s="2" t="n"/>
    </row>
    <row r="10">
      <c r="A10" s="6" t="n"/>
      <c r="B10" s="6" t="n"/>
      <c r="C10" s="6" t="n"/>
      <c r="D10" s="14" t="n"/>
      <c r="E10" s="6" t="n"/>
      <c r="F10" s="15" t="n"/>
      <c r="G10" s="15" t="n"/>
      <c r="H10" s="13">
        <f>IF($B10="","",SUMIFS($F:$F,$B:$B,$B10,$D:$D,"&lt;="&amp;$D10)-SUMIFS($G:$G,$B:$B,$B10,$D:$D,"&lt;="&amp;$D10))</f>
        <v/>
      </c>
      <c r="I10" s="6" t="n"/>
      <c r="J10" s="6" t="n"/>
    </row>
    <row r="11">
      <c r="A11" s="2" t="n"/>
      <c r="B11" s="2" t="n"/>
      <c r="C11" s="2" t="n"/>
      <c r="D11" s="12" t="n"/>
      <c r="E11" s="2" t="n"/>
      <c r="F11" s="13" t="n"/>
      <c r="G11" s="13" t="n"/>
      <c r="H11" s="13">
        <f>IF($B11="","",SUMIFS($F:$F,$B:$B,$B11,$D:$D,"&lt;="&amp;$D11)-SUMIFS($G:$G,$B:$B,$B11,$D:$D,"&lt;="&amp;$D11))</f>
        <v/>
      </c>
      <c r="I11" s="2" t="n"/>
      <c r="J11" s="2" t="n"/>
    </row>
    <row r="12">
      <c r="A12" s="6" t="n"/>
      <c r="B12" s="6" t="n"/>
      <c r="C12" s="6" t="n"/>
      <c r="D12" s="14" t="n"/>
      <c r="E12" s="6" t="n"/>
      <c r="F12" s="15" t="n"/>
      <c r="G12" s="15" t="n"/>
      <c r="H12" s="13">
        <f>IF($B12="","",SUMIFS($F:$F,$B:$B,$B12,$D:$D,"&lt;="&amp;$D12)-SUMIFS($G:$G,$B:$B,$B12,$D:$D,"&lt;="&amp;$D12))</f>
        <v/>
      </c>
      <c r="I12" s="6" t="n"/>
      <c r="J12" s="6" t="n"/>
    </row>
    <row r="13">
      <c r="A13" s="2" t="n"/>
      <c r="B13" s="2" t="n"/>
      <c r="C13" s="2" t="n"/>
      <c r="D13" s="12" t="n"/>
      <c r="E13" s="2" t="n"/>
      <c r="F13" s="13" t="n"/>
      <c r="G13" s="13" t="n"/>
      <c r="H13" s="13">
        <f>IF($B13="","",SUMIFS($F:$F,$B:$B,$B13,$D:$D,"&lt;="&amp;$D13)-SUMIFS($G:$G,$B:$B,$B13,$D:$D,"&lt;="&amp;$D13))</f>
        <v/>
      </c>
      <c r="I13" s="2" t="n"/>
      <c r="J13" s="2" t="n"/>
    </row>
    <row r="14">
      <c r="A14" s="6" t="n"/>
      <c r="B14" s="6" t="n"/>
      <c r="C14" s="6" t="n"/>
      <c r="D14" s="14" t="n"/>
      <c r="E14" s="6" t="n"/>
      <c r="F14" s="15" t="n"/>
      <c r="G14" s="15" t="n"/>
      <c r="H14" s="13">
        <f>IF($B14="","",SUMIFS($F:$F,$B:$B,$B14,$D:$D,"&lt;="&amp;$D14)-SUMIFS($G:$G,$B:$B,$B14,$D:$D,"&lt;="&amp;$D14))</f>
        <v/>
      </c>
      <c r="I14" s="6" t="n"/>
      <c r="J14" s="6" t="n"/>
    </row>
    <row r="15">
      <c r="A15" s="2" t="n"/>
      <c r="B15" s="2" t="n"/>
      <c r="C15" s="2" t="n"/>
      <c r="D15" s="12" t="n"/>
      <c r="E15" s="2" t="n"/>
      <c r="F15" s="13" t="n"/>
      <c r="G15" s="13" t="n"/>
      <c r="H15" s="13">
        <f>IF($B15="","",SUMIFS($F:$F,$B:$B,$B15,$D:$D,"&lt;="&amp;$D15)-SUMIFS($G:$G,$B:$B,$B15,$D:$D,"&lt;="&amp;$D15))</f>
        <v/>
      </c>
      <c r="I15" s="2" t="n"/>
      <c r="J15" s="2" t="n"/>
    </row>
    <row r="16">
      <c r="A16" s="6" t="n"/>
      <c r="B16" s="6" t="n"/>
      <c r="C16" s="6" t="n"/>
      <c r="D16" s="14" t="n"/>
      <c r="E16" s="6" t="n"/>
      <c r="F16" s="15" t="n"/>
      <c r="G16" s="15" t="n"/>
      <c r="H16" s="13">
        <f>IF($B16="","",SUMIFS($F:$F,$B:$B,$B16,$D:$D,"&lt;="&amp;$D16)-SUMIFS($G:$G,$B:$B,$B16,$D:$D,"&lt;="&amp;$D16))</f>
        <v/>
      </c>
      <c r="I16" s="6" t="n"/>
      <c r="J16" s="6" t="n"/>
    </row>
    <row r="17">
      <c r="A17" s="2" t="n"/>
      <c r="B17" s="2" t="n"/>
      <c r="C17" s="2" t="n"/>
      <c r="D17" s="12" t="n"/>
      <c r="E17" s="2" t="n"/>
      <c r="F17" s="13" t="n"/>
      <c r="G17" s="13" t="n"/>
      <c r="H17" s="13">
        <f>IF($B17="","",SUMIFS($F:$F,$B:$B,$B17,$D:$D,"&lt;="&amp;$D17)-SUMIFS($G:$G,$B:$B,$B17,$D:$D,"&lt;="&amp;$D17))</f>
        <v/>
      </c>
      <c r="I17" s="2" t="n"/>
      <c r="J17" s="2" t="n"/>
    </row>
    <row r="18">
      <c r="A18" s="6" t="n"/>
      <c r="B18" s="6" t="n"/>
      <c r="C18" s="6" t="n"/>
      <c r="D18" s="14" t="n"/>
      <c r="E18" s="6" t="n"/>
      <c r="F18" s="15" t="n"/>
      <c r="G18" s="15" t="n"/>
      <c r="H18" s="13">
        <f>IF($B18="","",SUMIFS($F:$F,$B:$B,$B18,$D:$D,"&lt;="&amp;$D18)-SUMIFS($G:$G,$B:$B,$B18,$D:$D,"&lt;="&amp;$D18))</f>
        <v/>
      </c>
      <c r="I18" s="6" t="n"/>
      <c r="J18" s="6" t="n"/>
    </row>
    <row r="19">
      <c r="A19" s="2" t="n"/>
      <c r="B19" s="2" t="n"/>
      <c r="C19" s="2" t="n"/>
      <c r="D19" s="12" t="n"/>
      <c r="E19" s="2" t="n"/>
      <c r="F19" s="13" t="n"/>
      <c r="G19" s="13" t="n"/>
      <c r="H19" s="13">
        <f>IF($B19="","",SUMIFS($F:$F,$B:$B,$B19,$D:$D,"&lt;="&amp;$D19)-SUMIFS($G:$G,$B:$B,$B19,$D:$D,"&lt;="&amp;$D19))</f>
        <v/>
      </c>
      <c r="I19" s="2" t="n"/>
      <c r="J19" s="2" t="n"/>
    </row>
    <row r="20">
      <c r="A20" s="6" t="n"/>
      <c r="B20" s="6" t="n"/>
      <c r="C20" s="6" t="n"/>
      <c r="D20" s="14" t="n"/>
      <c r="E20" s="6" t="n"/>
      <c r="F20" s="15" t="n"/>
      <c r="G20" s="15" t="n"/>
      <c r="H20" s="13">
        <f>IF($B20="","",SUMIFS($F:$F,$B:$B,$B20,$D:$D,"&lt;="&amp;$D20)-SUMIFS($G:$G,$B:$B,$B20,$D:$D,"&lt;="&amp;$D20))</f>
        <v/>
      </c>
      <c r="I20" s="6" t="n"/>
      <c r="J20" s="6" t="n"/>
    </row>
    <row r="21">
      <c r="A21" s="2" t="n"/>
      <c r="B21" s="2" t="n"/>
      <c r="C21" s="2" t="n"/>
      <c r="D21" s="12" t="n"/>
      <c r="E21" s="2" t="n"/>
      <c r="F21" s="13" t="n"/>
      <c r="G21" s="13" t="n"/>
      <c r="H21" s="13">
        <f>IF($B21="","",SUMIFS($F:$F,$B:$B,$B21,$D:$D,"&lt;="&amp;$D21)-SUMIFS($G:$G,$B:$B,$B21,$D:$D,"&lt;="&amp;$D21))</f>
        <v/>
      </c>
      <c r="I21" s="2" t="n"/>
      <c r="J21" s="2" t="n"/>
    </row>
    <row r="22">
      <c r="A22" s="6" t="n"/>
      <c r="B22" s="6" t="n"/>
      <c r="C22" s="6" t="n"/>
      <c r="D22" s="14" t="n"/>
      <c r="E22" s="6" t="n"/>
      <c r="F22" s="15" t="n"/>
      <c r="G22" s="15" t="n"/>
      <c r="H22" s="13">
        <f>IF($B22="","",SUMIFS($F:$F,$B:$B,$B22,$D:$D,"&lt;="&amp;$D22)-SUMIFS($G:$G,$B:$B,$B22,$D:$D,"&lt;="&amp;$D22))</f>
        <v/>
      </c>
      <c r="I22" s="6" t="n"/>
      <c r="J22" s="6" t="n"/>
    </row>
    <row r="23">
      <c r="A23" s="2" t="n"/>
      <c r="B23" s="2" t="n"/>
      <c r="C23" s="2" t="n"/>
      <c r="D23" s="12" t="n"/>
      <c r="E23" s="2" t="n"/>
      <c r="F23" s="13" t="n"/>
      <c r="G23" s="13" t="n"/>
      <c r="H23" s="13">
        <f>IF($B23="","",SUMIFS($F:$F,$B:$B,$B23,$D:$D,"&lt;="&amp;$D23)-SUMIFS($G:$G,$B:$B,$B23,$D:$D,"&lt;="&amp;$D23))</f>
        <v/>
      </c>
      <c r="I23" s="2" t="n"/>
      <c r="J23" s="2" t="n"/>
    </row>
    <row r="24">
      <c r="A24" s="6" t="n"/>
      <c r="B24" s="6" t="n"/>
      <c r="C24" s="6" t="n"/>
      <c r="D24" s="14" t="n"/>
      <c r="E24" s="6" t="n"/>
      <c r="F24" s="15" t="n"/>
      <c r="G24" s="15" t="n"/>
      <c r="H24" s="13">
        <f>IF($B24="","",SUMIFS($F:$F,$B:$B,$B24,$D:$D,"&lt;="&amp;$D24)-SUMIFS($G:$G,$B:$B,$B24,$D:$D,"&lt;="&amp;$D24))</f>
        <v/>
      </c>
      <c r="I24" s="6" t="n"/>
      <c r="J24" s="6" t="n"/>
    </row>
    <row r="25">
      <c r="A25" s="2" t="n"/>
      <c r="B25" s="2" t="n"/>
      <c r="C25" s="2" t="n"/>
      <c r="D25" s="12" t="n"/>
      <c r="E25" s="2" t="n"/>
      <c r="F25" s="13" t="n"/>
      <c r="G25" s="13" t="n"/>
      <c r="H25" s="13">
        <f>IF($B25="","",SUMIFS($F:$F,$B:$B,$B25,$D:$D,"&lt;="&amp;$D25)-SUMIFS($G:$G,$B:$B,$B25,$D:$D,"&lt;="&amp;$D25))</f>
        <v/>
      </c>
      <c r="I25" s="2" t="n"/>
      <c r="J25" s="2" t="n"/>
    </row>
    <row r="26">
      <c r="A26" s="6" t="n"/>
      <c r="B26" s="6" t="n"/>
      <c r="C26" s="6" t="n"/>
      <c r="D26" s="14" t="n"/>
      <c r="E26" s="6" t="n"/>
      <c r="F26" s="15" t="n"/>
      <c r="G26" s="15" t="n"/>
      <c r="H26" s="13">
        <f>IF($B26="","",SUMIFS($F:$F,$B:$B,$B26,$D:$D,"&lt;="&amp;$D26)-SUMIFS($G:$G,$B:$B,$B26,$D:$D,"&lt;="&amp;$D26))</f>
        <v/>
      </c>
      <c r="I26" s="6" t="n"/>
      <c r="J26" s="6" t="n"/>
    </row>
    <row r="27">
      <c r="A27" s="2" t="n"/>
      <c r="B27" s="2" t="n"/>
      <c r="C27" s="2" t="n"/>
      <c r="D27" s="12" t="n"/>
      <c r="E27" s="2" t="n"/>
      <c r="F27" s="13" t="n"/>
      <c r="G27" s="13" t="n"/>
      <c r="H27" s="13">
        <f>IF($B27="","",SUMIFS($F:$F,$B:$B,$B27,$D:$D,"&lt;="&amp;$D27)-SUMIFS($G:$G,$B:$B,$B27,$D:$D,"&lt;="&amp;$D27))</f>
        <v/>
      </c>
      <c r="I27" s="2" t="n"/>
      <c r="J27" s="2" t="n"/>
    </row>
    <row r="28">
      <c r="A28" s="6" t="n"/>
      <c r="B28" s="6" t="n"/>
      <c r="C28" s="6" t="n"/>
      <c r="D28" s="14" t="n"/>
      <c r="E28" s="6" t="n"/>
      <c r="F28" s="15" t="n"/>
      <c r="G28" s="15" t="n"/>
      <c r="H28" s="13">
        <f>IF($B28="","",SUMIFS($F:$F,$B:$B,$B28,$D:$D,"&lt;="&amp;$D28)-SUMIFS($G:$G,$B:$B,$B28,$D:$D,"&lt;="&amp;$D28))</f>
        <v/>
      </c>
      <c r="I28" s="6" t="n"/>
      <c r="J28" s="6" t="n"/>
    </row>
    <row r="29">
      <c r="A29" s="2" t="n"/>
      <c r="B29" s="2" t="n"/>
      <c r="C29" s="2" t="n"/>
      <c r="D29" s="12" t="n"/>
      <c r="E29" s="2" t="n"/>
      <c r="F29" s="13" t="n"/>
      <c r="G29" s="13" t="n"/>
      <c r="H29" s="13">
        <f>IF($B29="","",SUMIFS($F:$F,$B:$B,$B29,$D:$D,"&lt;="&amp;$D29)-SUMIFS($G:$G,$B:$B,$B29,$D:$D,"&lt;="&amp;$D29))</f>
        <v/>
      </c>
      <c r="I29" s="2" t="n"/>
      <c r="J29" s="2" t="n"/>
    </row>
    <row r="30">
      <c r="A30" s="6" t="n"/>
      <c r="B30" s="6" t="n"/>
      <c r="C30" s="6" t="n"/>
      <c r="D30" s="14" t="n"/>
      <c r="E30" s="6" t="n"/>
      <c r="F30" s="15" t="n"/>
      <c r="G30" s="15" t="n"/>
      <c r="H30" s="13">
        <f>IF($B30="","",SUMIFS($F:$F,$B:$B,$B30,$D:$D,"&lt;="&amp;$D30)-SUMIFS($G:$G,$B:$B,$B30,$D:$D,"&lt;="&amp;$D30))</f>
        <v/>
      </c>
      <c r="I30" s="6" t="n"/>
      <c r="J30" s="6" t="n"/>
    </row>
    <row r="31">
      <c r="A31" s="2" t="n"/>
      <c r="B31" s="2" t="n"/>
      <c r="C31" s="2" t="n"/>
      <c r="D31" s="12" t="n"/>
      <c r="E31" s="2" t="n"/>
      <c r="F31" s="13" t="n"/>
      <c r="G31" s="13" t="n"/>
      <c r="H31" s="13">
        <f>IF($B31="","",SUMIFS($F:$F,$B:$B,$B31,$D:$D,"&lt;="&amp;$D31)-SUMIFS($G:$G,$B:$B,$B31,$D:$D,"&lt;="&amp;$D31))</f>
        <v/>
      </c>
      <c r="I31" s="2" t="n"/>
      <c r="J31" s="2" t="n"/>
    </row>
    <row r="32">
      <c r="A32" s="6" t="n"/>
      <c r="B32" s="6" t="n"/>
      <c r="C32" s="6" t="n"/>
      <c r="D32" s="14" t="n"/>
      <c r="E32" s="6" t="n"/>
      <c r="F32" s="15" t="n"/>
      <c r="G32" s="15" t="n"/>
      <c r="H32" s="13">
        <f>IF($B32="","",SUMIFS($F:$F,$B:$B,$B32,$D:$D,"&lt;="&amp;$D32)-SUMIFS($G:$G,$B:$B,$B32,$D:$D,"&lt;="&amp;$D32))</f>
        <v/>
      </c>
      <c r="I32" s="6" t="n"/>
      <c r="J32" s="6" t="n"/>
    </row>
    <row r="33">
      <c r="A33" s="2" t="n"/>
      <c r="B33" s="2" t="n"/>
      <c r="C33" s="2" t="n"/>
      <c r="D33" s="12" t="n"/>
      <c r="E33" s="2" t="n"/>
      <c r="F33" s="13" t="n"/>
      <c r="G33" s="13" t="n"/>
      <c r="H33" s="13">
        <f>IF($B33="","",SUMIFS($F:$F,$B:$B,$B33,$D:$D,"&lt;="&amp;$D33)-SUMIFS($G:$G,$B:$B,$B33,$D:$D,"&lt;="&amp;$D33))</f>
        <v/>
      </c>
      <c r="I33" s="2" t="n"/>
      <c r="J33" s="2" t="n"/>
    </row>
    <row r="34">
      <c r="A34" s="6" t="n"/>
      <c r="B34" s="6" t="n"/>
      <c r="C34" s="6" t="n"/>
      <c r="D34" s="14" t="n"/>
      <c r="E34" s="6" t="n"/>
      <c r="F34" s="15" t="n"/>
      <c r="G34" s="15" t="n"/>
      <c r="H34" s="13">
        <f>IF($B34="","",SUMIFS($F:$F,$B:$B,$B34,$D:$D,"&lt;="&amp;$D34)-SUMIFS($G:$G,$B:$B,$B34,$D:$D,"&lt;="&amp;$D34))</f>
        <v/>
      </c>
      <c r="I34" s="6" t="n"/>
      <c r="J34" s="6" t="n"/>
    </row>
    <row r="35">
      <c r="A35" s="2" t="n"/>
      <c r="B35" s="2" t="n"/>
      <c r="C35" s="2" t="n"/>
      <c r="D35" s="12" t="n"/>
      <c r="E35" s="2" t="n"/>
      <c r="F35" s="13" t="n"/>
      <c r="G35" s="13" t="n"/>
      <c r="H35" s="13">
        <f>IF($B35="","",SUMIFS($F:$F,$B:$B,$B35,$D:$D,"&lt;="&amp;$D35)-SUMIFS($G:$G,$B:$B,$B35,$D:$D,"&lt;="&amp;$D35))</f>
        <v/>
      </c>
      <c r="I35" s="2" t="n"/>
      <c r="J35" s="2" t="n"/>
    </row>
    <row r="36">
      <c r="A36" s="6" t="n"/>
      <c r="B36" s="6" t="n"/>
      <c r="C36" s="6" t="n"/>
      <c r="D36" s="14" t="n"/>
      <c r="E36" s="6" t="n"/>
      <c r="F36" s="15" t="n"/>
      <c r="G36" s="15" t="n"/>
      <c r="H36" s="13">
        <f>IF($B36="","",SUMIFS($F:$F,$B:$B,$B36,$D:$D,"&lt;="&amp;$D36)-SUMIFS($G:$G,$B:$B,$B36,$D:$D,"&lt;="&amp;$D36))</f>
        <v/>
      </c>
      <c r="I36" s="6" t="n"/>
      <c r="J36" s="6" t="n"/>
    </row>
    <row r="37">
      <c r="A37" s="2" t="n"/>
      <c r="B37" s="2" t="n"/>
      <c r="C37" s="2" t="n"/>
      <c r="D37" s="12" t="n"/>
      <c r="E37" s="2" t="n"/>
      <c r="F37" s="13" t="n"/>
      <c r="G37" s="13" t="n"/>
      <c r="H37" s="13">
        <f>IF($B37="","",SUMIFS($F:$F,$B:$B,$B37,$D:$D,"&lt;="&amp;$D37)-SUMIFS($G:$G,$B:$B,$B37,$D:$D,"&lt;="&amp;$D37))</f>
        <v/>
      </c>
      <c r="I37" s="2" t="n"/>
      <c r="J37" s="2" t="n"/>
    </row>
    <row r="38">
      <c r="A38" s="6" t="n"/>
      <c r="B38" s="6" t="n"/>
      <c r="C38" s="6" t="n"/>
      <c r="D38" s="14" t="n"/>
      <c r="E38" s="6" t="n"/>
      <c r="F38" s="15" t="n"/>
      <c r="G38" s="15" t="n"/>
      <c r="H38" s="13">
        <f>IF($B38="","",SUMIFS($F:$F,$B:$B,$B38,$D:$D,"&lt;="&amp;$D38)-SUMIFS($G:$G,$B:$B,$B38,$D:$D,"&lt;="&amp;$D38))</f>
        <v/>
      </c>
      <c r="I38" s="6" t="n"/>
      <c r="J38" s="6" t="n"/>
    </row>
    <row r="39">
      <c r="A39" s="2" t="n"/>
      <c r="B39" s="2" t="n"/>
      <c r="C39" s="2" t="n"/>
      <c r="D39" s="12" t="n"/>
      <c r="E39" s="2" t="n"/>
      <c r="F39" s="13" t="n"/>
      <c r="G39" s="13" t="n"/>
      <c r="H39" s="13">
        <f>IF($B39="","",SUMIFS($F:$F,$B:$B,$B39,$D:$D,"&lt;="&amp;$D39)-SUMIFS($G:$G,$B:$B,$B39,$D:$D,"&lt;="&amp;$D39))</f>
        <v/>
      </c>
      <c r="I39" s="2" t="n"/>
      <c r="J39" s="2" t="n"/>
    </row>
    <row r="40">
      <c r="A40" s="6" t="n"/>
      <c r="B40" s="6" t="n"/>
      <c r="C40" s="6" t="n"/>
      <c r="D40" s="14" t="n"/>
      <c r="E40" s="6" t="n"/>
      <c r="F40" s="15" t="n"/>
      <c r="G40" s="15" t="n"/>
      <c r="H40" s="13">
        <f>IF($B40="","",SUMIFS($F:$F,$B:$B,$B40,$D:$D,"&lt;="&amp;$D40)-SUMIFS($G:$G,$B:$B,$B40,$D:$D,"&lt;="&amp;$D40))</f>
        <v/>
      </c>
      <c r="I40" s="6" t="n"/>
      <c r="J40" s="6" t="n"/>
    </row>
    <row r="41">
      <c r="A41" s="2" t="n"/>
      <c r="B41" s="2" t="n"/>
      <c r="C41" s="2" t="n"/>
      <c r="D41" s="12" t="n"/>
      <c r="E41" s="2" t="n"/>
      <c r="F41" s="13" t="n"/>
      <c r="G41" s="13" t="n"/>
      <c r="H41" s="13">
        <f>IF($B41="","",SUMIFS($F:$F,$B:$B,$B41,$D:$D,"&lt;="&amp;$D41)-SUMIFS($G:$G,$B:$B,$B41,$D:$D,"&lt;="&amp;$D41))</f>
        <v/>
      </c>
      <c r="I41" s="2" t="n"/>
      <c r="J41" s="2" t="n"/>
    </row>
    <row r="42">
      <c r="A42" s="6" t="n"/>
      <c r="B42" s="6" t="n"/>
      <c r="C42" s="6" t="n"/>
      <c r="D42" s="14" t="n"/>
      <c r="E42" s="6" t="n"/>
      <c r="F42" s="15" t="n"/>
      <c r="G42" s="15" t="n"/>
      <c r="H42" s="13">
        <f>IF($B42="","",SUMIFS($F:$F,$B:$B,$B42,$D:$D,"&lt;="&amp;$D42)-SUMIFS($G:$G,$B:$B,$B42,$D:$D,"&lt;="&amp;$D42))</f>
        <v/>
      </c>
      <c r="I42" s="6" t="n"/>
      <c r="J42" s="6" t="n"/>
    </row>
    <row r="43">
      <c r="A43" s="2" t="n"/>
      <c r="B43" s="2" t="n"/>
      <c r="C43" s="2" t="n"/>
      <c r="D43" s="12" t="n"/>
      <c r="E43" s="2" t="n"/>
      <c r="F43" s="13" t="n"/>
      <c r="G43" s="13" t="n"/>
      <c r="H43" s="13">
        <f>IF($B43="","",SUMIFS($F:$F,$B:$B,$B43,$D:$D,"&lt;="&amp;$D43)-SUMIFS($G:$G,$B:$B,$B43,$D:$D,"&lt;="&amp;$D43))</f>
        <v/>
      </c>
      <c r="I43" s="2" t="n"/>
      <c r="J43" s="2" t="n"/>
    </row>
    <row r="44">
      <c r="A44" s="6" t="n"/>
      <c r="B44" s="6" t="n"/>
      <c r="C44" s="6" t="n"/>
      <c r="D44" s="14" t="n"/>
      <c r="E44" s="6" t="n"/>
      <c r="F44" s="15" t="n"/>
      <c r="G44" s="15" t="n"/>
      <c r="H44" s="13">
        <f>IF($B44="","",SUMIFS($F:$F,$B:$B,$B44,$D:$D,"&lt;="&amp;$D44)-SUMIFS($G:$G,$B:$B,$B44,$D:$D,"&lt;="&amp;$D44))</f>
        <v/>
      </c>
      <c r="I44" s="6" t="n"/>
      <c r="J44" s="6" t="n"/>
    </row>
    <row r="45">
      <c r="A45" s="2" t="n"/>
      <c r="B45" s="2" t="n"/>
      <c r="C45" s="2" t="n"/>
      <c r="D45" s="12" t="n"/>
      <c r="E45" s="2" t="n"/>
      <c r="F45" s="13" t="n"/>
      <c r="G45" s="13" t="n"/>
      <c r="H45" s="13">
        <f>IF($B45="","",SUMIFS($F:$F,$B:$B,$B45,$D:$D,"&lt;="&amp;$D45)-SUMIFS($G:$G,$B:$B,$B45,$D:$D,"&lt;="&amp;$D45))</f>
        <v/>
      </c>
      <c r="I45" s="2" t="n"/>
      <c r="J45" s="2" t="n"/>
    </row>
    <row r="46">
      <c r="A46" s="6" t="n"/>
      <c r="B46" s="6" t="n"/>
      <c r="C46" s="6" t="n"/>
      <c r="D46" s="14" t="n"/>
      <c r="E46" s="6" t="n"/>
      <c r="F46" s="15" t="n"/>
      <c r="G46" s="15" t="n"/>
      <c r="H46" s="13">
        <f>IF($B46="","",SUMIFS($F:$F,$B:$B,$B46,$D:$D,"&lt;="&amp;$D46)-SUMIFS($G:$G,$B:$B,$B46,$D:$D,"&lt;="&amp;$D46))</f>
        <v/>
      </c>
      <c r="I46" s="6" t="n"/>
      <c r="J46" s="6" t="n"/>
    </row>
    <row r="47">
      <c r="A47" s="2" t="n"/>
      <c r="B47" s="2" t="n"/>
      <c r="C47" s="2" t="n"/>
      <c r="D47" s="12" t="n"/>
      <c r="E47" s="2" t="n"/>
      <c r="F47" s="13" t="n"/>
      <c r="G47" s="13" t="n"/>
      <c r="H47" s="13">
        <f>IF($B47="","",SUMIFS($F:$F,$B:$B,$B47,$D:$D,"&lt;="&amp;$D47)-SUMIFS($G:$G,$B:$B,$B47,$D:$D,"&lt;="&amp;$D47))</f>
        <v/>
      </c>
      <c r="I47" s="2" t="n"/>
      <c r="J47" s="2" t="n"/>
    </row>
    <row r="48">
      <c r="A48" s="6" t="n"/>
      <c r="B48" s="6" t="n"/>
      <c r="C48" s="6" t="n"/>
      <c r="D48" s="14" t="n"/>
      <c r="E48" s="6" t="n"/>
      <c r="F48" s="15" t="n"/>
      <c r="G48" s="15" t="n"/>
      <c r="H48" s="13">
        <f>IF($B48="","",SUMIFS($F:$F,$B:$B,$B48,$D:$D,"&lt;="&amp;$D48)-SUMIFS($G:$G,$B:$B,$B48,$D:$D,"&lt;="&amp;$D48))</f>
        <v/>
      </c>
      <c r="I48" s="6" t="n"/>
      <c r="J48" s="6" t="n"/>
    </row>
    <row r="49">
      <c r="A49" s="2" t="n"/>
      <c r="B49" s="2" t="n"/>
      <c r="C49" s="2" t="n"/>
      <c r="D49" s="12" t="n"/>
      <c r="E49" s="2" t="n"/>
      <c r="F49" s="13" t="n"/>
      <c r="G49" s="13" t="n"/>
      <c r="H49" s="13">
        <f>IF($B49="","",SUMIFS($F:$F,$B:$B,$B49,$D:$D,"&lt;="&amp;$D49)-SUMIFS($G:$G,$B:$B,$B49,$D:$D,"&lt;="&amp;$D49))</f>
        <v/>
      </c>
      <c r="I49" s="2" t="n"/>
      <c r="J49" s="2" t="n"/>
    </row>
    <row r="50">
      <c r="A50" s="6" t="n"/>
      <c r="B50" s="6" t="n"/>
      <c r="C50" s="6" t="n"/>
      <c r="D50" s="14" t="n"/>
      <c r="E50" s="6" t="n"/>
      <c r="F50" s="15" t="n"/>
      <c r="G50" s="15" t="n"/>
      <c r="H50" s="13">
        <f>IF($B50="","",SUMIFS($F:$F,$B:$B,$B50,$D:$D,"&lt;="&amp;$D50)-SUMIFS($G:$G,$B:$B,$B50,$D:$D,"&lt;="&amp;$D50))</f>
        <v/>
      </c>
      <c r="I50" s="6" t="n"/>
      <c r="J50" s="6" t="n"/>
    </row>
    <row r="51">
      <c r="A51" s="2" t="n"/>
      <c r="B51" s="2" t="n"/>
      <c r="C51" s="2" t="n"/>
      <c r="D51" s="12" t="n"/>
      <c r="E51" s="2" t="n"/>
      <c r="F51" s="13" t="n"/>
      <c r="G51" s="13" t="n"/>
      <c r="H51" s="13">
        <f>IF($B51="","",SUMIFS($F:$F,$B:$B,$B51,$D:$D,"&lt;="&amp;$D51)-SUMIFS($G:$G,$B:$B,$B51,$D:$D,"&lt;="&amp;$D51))</f>
        <v/>
      </c>
      <c r="I51" s="2" t="n"/>
      <c r="J51" s="2" t="n"/>
    </row>
    <row r="52">
      <c r="A52" s="6" t="n"/>
      <c r="B52" s="6" t="n"/>
      <c r="C52" s="6" t="n"/>
      <c r="D52" s="14" t="n"/>
      <c r="E52" s="6" t="n"/>
      <c r="F52" s="15" t="n"/>
      <c r="G52" s="15" t="n"/>
      <c r="H52" s="13">
        <f>IF($B52="","",SUMIFS($F:$F,$B:$B,$B52,$D:$D,"&lt;="&amp;$D52)-SUMIFS($G:$G,$B:$B,$B52,$D:$D,"&lt;="&amp;$D52))</f>
        <v/>
      </c>
      <c r="I52" s="6" t="n"/>
      <c r="J52" s="6" t="n"/>
    </row>
    <row r="53">
      <c r="A53" s="2" t="n"/>
      <c r="B53" s="2" t="n"/>
      <c r="C53" s="2" t="n"/>
      <c r="D53" s="12" t="n"/>
      <c r="E53" s="2" t="n"/>
      <c r="F53" s="13" t="n"/>
      <c r="G53" s="13" t="n"/>
      <c r="H53" s="13">
        <f>IF($B53="","",SUMIFS($F:$F,$B:$B,$B53,$D:$D,"&lt;="&amp;$D53)-SUMIFS($G:$G,$B:$B,$B53,$D:$D,"&lt;="&amp;$D53))</f>
        <v/>
      </c>
      <c r="I53" s="2" t="n"/>
      <c r="J53" s="2" t="n"/>
    </row>
    <row r="54">
      <c r="A54" s="6" t="n"/>
      <c r="B54" s="6" t="n"/>
      <c r="C54" s="6" t="n"/>
      <c r="D54" s="14" t="n"/>
      <c r="E54" s="6" t="n"/>
      <c r="F54" s="15" t="n"/>
      <c r="G54" s="15" t="n"/>
      <c r="H54" s="13">
        <f>IF($B54="","",SUMIFS($F:$F,$B:$B,$B54,$D:$D,"&lt;="&amp;$D54)-SUMIFS($G:$G,$B:$B,$B54,$D:$D,"&lt;="&amp;$D54))</f>
        <v/>
      </c>
      <c r="I54" s="6" t="n"/>
      <c r="J54" s="6" t="n"/>
    </row>
    <row r="55">
      <c r="A55" s="2" t="n"/>
      <c r="B55" s="2" t="n"/>
      <c r="C55" s="2" t="n"/>
      <c r="D55" s="12" t="n"/>
      <c r="E55" s="2" t="n"/>
      <c r="F55" s="13" t="n"/>
      <c r="G55" s="13" t="n"/>
      <c r="H55" s="13">
        <f>IF($B55="","",SUMIFS($F:$F,$B:$B,$B55,$D:$D,"&lt;="&amp;$D55)-SUMIFS($G:$G,$B:$B,$B55,$D:$D,"&lt;="&amp;$D55))</f>
        <v/>
      </c>
      <c r="I55" s="2" t="n"/>
      <c r="J55" s="2" t="n"/>
    </row>
    <row r="56">
      <c r="A56" s="6" t="n"/>
      <c r="B56" s="6" t="n"/>
      <c r="C56" s="6" t="n"/>
      <c r="D56" s="14" t="n"/>
      <c r="E56" s="6" t="n"/>
      <c r="F56" s="15" t="n"/>
      <c r="G56" s="15" t="n"/>
      <c r="H56" s="13">
        <f>IF($B56="","",SUMIFS($F:$F,$B:$B,$B56,$D:$D,"&lt;="&amp;$D56)-SUMIFS($G:$G,$B:$B,$B56,$D:$D,"&lt;="&amp;$D56))</f>
        <v/>
      </c>
      <c r="I56" s="6" t="n"/>
      <c r="J56" s="6" t="n"/>
    </row>
    <row r="57">
      <c r="A57" s="2" t="n"/>
      <c r="B57" s="2" t="n"/>
      <c r="C57" s="2" t="n"/>
      <c r="D57" s="12" t="n"/>
      <c r="E57" s="2" t="n"/>
      <c r="F57" s="13" t="n"/>
      <c r="G57" s="13" t="n"/>
      <c r="H57" s="13">
        <f>IF($B57="","",SUMIFS($F:$F,$B:$B,$B57,$D:$D,"&lt;="&amp;$D57)-SUMIFS($G:$G,$B:$B,$B57,$D:$D,"&lt;="&amp;$D57))</f>
        <v/>
      </c>
      <c r="I57" s="2" t="n"/>
      <c r="J57" s="2" t="n"/>
    </row>
    <row r="58">
      <c r="A58" s="6" t="n"/>
      <c r="B58" s="6" t="n"/>
      <c r="C58" s="6" t="n"/>
      <c r="D58" s="14" t="n"/>
      <c r="E58" s="6" t="n"/>
      <c r="F58" s="15" t="n"/>
      <c r="G58" s="15" t="n"/>
      <c r="H58" s="13">
        <f>IF($B58="","",SUMIFS($F:$F,$B:$B,$B58,$D:$D,"&lt;="&amp;$D58)-SUMIFS($G:$G,$B:$B,$B58,$D:$D,"&lt;="&amp;$D58))</f>
        <v/>
      </c>
      <c r="I58" s="6" t="n"/>
      <c r="J58" s="6" t="n"/>
    </row>
    <row r="59">
      <c r="A59" s="2" t="n"/>
      <c r="B59" s="2" t="n"/>
      <c r="C59" s="2" t="n"/>
      <c r="D59" s="12" t="n"/>
      <c r="E59" s="2" t="n"/>
      <c r="F59" s="13" t="n"/>
      <c r="G59" s="13" t="n"/>
      <c r="H59" s="13">
        <f>IF($B59="","",SUMIFS($F:$F,$B:$B,$B59,$D:$D,"&lt;="&amp;$D59)-SUMIFS($G:$G,$B:$B,$B59,$D:$D,"&lt;="&amp;$D59))</f>
        <v/>
      </c>
      <c r="I59" s="2" t="n"/>
      <c r="J59" s="2" t="n"/>
    </row>
    <row r="60">
      <c r="A60" s="6" t="n"/>
      <c r="B60" s="6" t="n"/>
      <c r="C60" s="6" t="n"/>
      <c r="D60" s="14" t="n"/>
      <c r="E60" s="6" t="n"/>
      <c r="F60" s="15" t="n"/>
      <c r="G60" s="15" t="n"/>
      <c r="H60" s="13">
        <f>IF($B60="","",SUMIFS($F:$F,$B:$B,$B60,$D:$D,"&lt;="&amp;$D60)-SUMIFS($G:$G,$B:$B,$B60,$D:$D,"&lt;="&amp;$D60))</f>
        <v/>
      </c>
      <c r="I60" s="6" t="n"/>
      <c r="J60" s="6" t="n"/>
    </row>
    <row r="61">
      <c r="A61" s="2" t="n"/>
      <c r="B61" s="2" t="n"/>
      <c r="C61" s="2" t="n"/>
      <c r="D61" s="12" t="n"/>
      <c r="E61" s="2" t="n"/>
      <c r="F61" s="13" t="n"/>
      <c r="G61" s="13" t="n"/>
      <c r="H61" s="13">
        <f>IF($B61="","",SUMIFS($F:$F,$B:$B,$B61,$D:$D,"&lt;="&amp;$D61)-SUMIFS($G:$G,$B:$B,$B61,$D:$D,"&lt;="&amp;$D61))</f>
        <v/>
      </c>
      <c r="I61" s="2" t="n"/>
      <c r="J61" s="2" t="n"/>
    </row>
    <row r="62">
      <c r="A62" s="6" t="n"/>
      <c r="B62" s="6" t="n"/>
      <c r="C62" s="6" t="n"/>
      <c r="D62" s="14" t="n"/>
      <c r="E62" s="6" t="n"/>
      <c r="F62" s="15" t="n"/>
      <c r="G62" s="15" t="n"/>
      <c r="H62" s="13">
        <f>IF($B62="","",SUMIFS($F:$F,$B:$B,$B62,$D:$D,"&lt;="&amp;$D62)-SUMIFS($G:$G,$B:$B,$B62,$D:$D,"&lt;="&amp;$D62))</f>
        <v/>
      </c>
      <c r="I62" s="6" t="n"/>
      <c r="J62" s="6" t="n"/>
    </row>
    <row r="63">
      <c r="A63" s="2" t="n"/>
      <c r="B63" s="2" t="n"/>
      <c r="C63" s="2" t="n"/>
      <c r="D63" s="12" t="n"/>
      <c r="E63" s="2" t="n"/>
      <c r="F63" s="13" t="n"/>
      <c r="G63" s="13" t="n"/>
      <c r="H63" s="13">
        <f>IF($B63="","",SUMIFS($F:$F,$B:$B,$B63,$D:$D,"&lt;="&amp;$D63)-SUMIFS($G:$G,$B:$B,$B63,$D:$D,"&lt;="&amp;$D63))</f>
        <v/>
      </c>
      <c r="I63" s="2" t="n"/>
      <c r="J63" s="2" t="n"/>
    </row>
    <row r="64">
      <c r="A64" s="6" t="n"/>
      <c r="B64" s="6" t="n"/>
      <c r="C64" s="6" t="n"/>
      <c r="D64" s="14" t="n"/>
      <c r="E64" s="6" t="n"/>
      <c r="F64" s="15" t="n"/>
      <c r="G64" s="15" t="n"/>
      <c r="H64" s="13">
        <f>IF($B64="","",SUMIFS($F:$F,$B:$B,$B64,$D:$D,"&lt;="&amp;$D64)-SUMIFS($G:$G,$B:$B,$B64,$D:$D,"&lt;="&amp;$D64))</f>
        <v/>
      </c>
      <c r="I64" s="6" t="n"/>
      <c r="J64" s="6" t="n"/>
    </row>
    <row r="65">
      <c r="A65" s="2" t="n"/>
      <c r="B65" s="2" t="n"/>
      <c r="C65" s="2" t="n"/>
      <c r="D65" s="12" t="n"/>
      <c r="E65" s="2" t="n"/>
      <c r="F65" s="13" t="n"/>
      <c r="G65" s="13" t="n"/>
      <c r="H65" s="13">
        <f>IF($B65="","",SUMIFS($F:$F,$B:$B,$B65,$D:$D,"&lt;="&amp;$D65)-SUMIFS($G:$G,$B:$B,$B65,$D:$D,"&lt;="&amp;$D65))</f>
        <v/>
      </c>
      <c r="I65" s="2" t="n"/>
      <c r="J65" s="2" t="n"/>
    </row>
    <row r="66">
      <c r="A66" s="6" t="n"/>
      <c r="B66" s="6" t="n"/>
      <c r="C66" s="6" t="n"/>
      <c r="D66" s="14" t="n"/>
      <c r="E66" s="6" t="n"/>
      <c r="F66" s="15" t="n"/>
      <c r="G66" s="15" t="n"/>
      <c r="H66" s="13">
        <f>IF($B66="","",SUMIFS($F:$F,$B:$B,$B66,$D:$D,"&lt;="&amp;$D66)-SUMIFS($G:$G,$B:$B,$B66,$D:$D,"&lt;="&amp;$D66))</f>
        <v/>
      </c>
      <c r="I66" s="6" t="n"/>
      <c r="J66" s="6" t="n"/>
    </row>
    <row r="67">
      <c r="A67" s="2" t="n"/>
      <c r="B67" s="2" t="n"/>
      <c r="C67" s="2" t="n"/>
      <c r="D67" s="12" t="n"/>
      <c r="E67" s="2" t="n"/>
      <c r="F67" s="13" t="n"/>
      <c r="G67" s="13" t="n"/>
      <c r="H67" s="13">
        <f>IF($B67="","",SUMIFS($F:$F,$B:$B,$B67,$D:$D,"&lt;="&amp;$D67)-SUMIFS($G:$G,$B:$B,$B67,$D:$D,"&lt;="&amp;$D67))</f>
        <v/>
      </c>
      <c r="I67" s="2" t="n"/>
      <c r="J67" s="2" t="n"/>
    </row>
    <row r="68">
      <c r="A68" s="6" t="n"/>
      <c r="B68" s="6" t="n"/>
      <c r="C68" s="6" t="n"/>
      <c r="D68" s="14" t="n"/>
      <c r="E68" s="6" t="n"/>
      <c r="F68" s="15" t="n"/>
      <c r="G68" s="15" t="n"/>
      <c r="H68" s="13">
        <f>IF($B68="","",SUMIFS($F:$F,$B:$B,$B68,$D:$D,"&lt;="&amp;$D68)-SUMIFS($G:$G,$B:$B,$B68,$D:$D,"&lt;="&amp;$D68))</f>
        <v/>
      </c>
      <c r="I68" s="6" t="n"/>
      <c r="J68" s="6" t="n"/>
    </row>
    <row r="69">
      <c r="A69" s="2" t="n"/>
      <c r="B69" s="2" t="n"/>
      <c r="C69" s="2" t="n"/>
      <c r="D69" s="12" t="n"/>
      <c r="E69" s="2" t="n"/>
      <c r="F69" s="13" t="n"/>
      <c r="G69" s="13" t="n"/>
      <c r="H69" s="13">
        <f>IF($B69="","",SUMIFS($F:$F,$B:$B,$B69,$D:$D,"&lt;="&amp;$D69)-SUMIFS($G:$G,$B:$B,$B69,$D:$D,"&lt;="&amp;$D69))</f>
        <v/>
      </c>
      <c r="I69" s="2" t="n"/>
      <c r="J69" s="2" t="n"/>
    </row>
    <row r="70">
      <c r="A70" s="6" t="n"/>
      <c r="B70" s="6" t="n"/>
      <c r="C70" s="6" t="n"/>
      <c r="D70" s="14" t="n"/>
      <c r="E70" s="6" t="n"/>
      <c r="F70" s="15" t="n"/>
      <c r="G70" s="15" t="n"/>
      <c r="H70" s="13">
        <f>IF($B70="","",SUMIFS($F:$F,$B:$B,$B70,$D:$D,"&lt;="&amp;$D70)-SUMIFS($G:$G,$B:$B,$B70,$D:$D,"&lt;="&amp;$D70))</f>
        <v/>
      </c>
      <c r="I70" s="6" t="n"/>
      <c r="J70" s="6" t="n"/>
    </row>
    <row r="71">
      <c r="A71" s="2" t="n"/>
      <c r="B71" s="2" t="n"/>
      <c r="C71" s="2" t="n"/>
      <c r="D71" s="12" t="n"/>
      <c r="E71" s="2" t="n"/>
      <c r="F71" s="13" t="n"/>
      <c r="G71" s="13" t="n"/>
      <c r="H71" s="13">
        <f>IF($B71="","",SUMIFS($F:$F,$B:$B,$B71,$D:$D,"&lt;="&amp;$D71)-SUMIFS($G:$G,$B:$B,$B71,$D:$D,"&lt;="&amp;$D71))</f>
        <v/>
      </c>
      <c r="I71" s="2" t="n"/>
      <c r="J71" s="2" t="n"/>
    </row>
    <row r="72">
      <c r="A72" s="6" t="n"/>
      <c r="B72" s="6" t="n"/>
      <c r="C72" s="6" t="n"/>
      <c r="D72" s="14" t="n"/>
      <c r="E72" s="6" t="n"/>
      <c r="F72" s="15" t="n"/>
      <c r="G72" s="15" t="n"/>
      <c r="H72" s="13">
        <f>IF($B72="","",SUMIFS($F:$F,$B:$B,$B72,$D:$D,"&lt;="&amp;$D72)-SUMIFS($G:$G,$B:$B,$B72,$D:$D,"&lt;="&amp;$D72))</f>
        <v/>
      </c>
      <c r="I72" s="6" t="n"/>
      <c r="J72" s="6" t="n"/>
    </row>
    <row r="73">
      <c r="A73" s="2" t="n"/>
      <c r="B73" s="2" t="n"/>
      <c r="C73" s="2" t="n"/>
      <c r="D73" s="12" t="n"/>
      <c r="E73" s="2" t="n"/>
      <c r="F73" s="13" t="n"/>
      <c r="G73" s="13" t="n"/>
      <c r="H73" s="13">
        <f>IF($B73="","",SUMIFS($F:$F,$B:$B,$B73,$D:$D,"&lt;="&amp;$D73)-SUMIFS($G:$G,$B:$B,$B73,$D:$D,"&lt;="&amp;$D73))</f>
        <v/>
      </c>
      <c r="I73" s="2" t="n"/>
      <c r="J73" s="2" t="n"/>
    </row>
    <row r="74">
      <c r="A74" s="6" t="n"/>
      <c r="B74" s="6" t="n"/>
      <c r="C74" s="6" t="n"/>
      <c r="D74" s="14" t="n"/>
      <c r="E74" s="6" t="n"/>
      <c r="F74" s="15" t="n"/>
      <c r="G74" s="15" t="n"/>
      <c r="H74" s="13">
        <f>IF($B74="","",SUMIFS($F:$F,$B:$B,$B74,$D:$D,"&lt;="&amp;$D74)-SUMIFS($G:$G,$B:$B,$B74,$D:$D,"&lt;="&amp;$D74))</f>
        <v/>
      </c>
      <c r="I74" s="6" t="n"/>
      <c r="J74" s="6" t="n"/>
    </row>
    <row r="75">
      <c r="A75" s="2" t="n"/>
      <c r="B75" s="2" t="n"/>
      <c r="C75" s="2" t="n"/>
      <c r="D75" s="12" t="n"/>
      <c r="E75" s="2" t="n"/>
      <c r="F75" s="13" t="n"/>
      <c r="G75" s="13" t="n"/>
      <c r="H75" s="13">
        <f>IF($B75="","",SUMIFS($F:$F,$B:$B,$B75,$D:$D,"&lt;="&amp;$D75)-SUMIFS($G:$G,$B:$B,$B75,$D:$D,"&lt;="&amp;$D75))</f>
        <v/>
      </c>
      <c r="I75" s="2" t="n"/>
      <c r="J75" s="2" t="n"/>
    </row>
    <row r="76">
      <c r="A76" s="6" t="n"/>
      <c r="B76" s="6" t="n"/>
      <c r="C76" s="6" t="n"/>
      <c r="D76" s="14" t="n"/>
      <c r="E76" s="6" t="n"/>
      <c r="F76" s="15" t="n"/>
      <c r="G76" s="15" t="n"/>
      <c r="H76" s="13">
        <f>IF($B76="","",SUMIFS($F:$F,$B:$B,$B76,$D:$D,"&lt;="&amp;$D76)-SUMIFS($G:$G,$B:$B,$B76,$D:$D,"&lt;="&amp;$D76))</f>
        <v/>
      </c>
      <c r="I76" s="6" t="n"/>
      <c r="J76" s="6" t="n"/>
    </row>
    <row r="77">
      <c r="A77" s="2" t="n"/>
      <c r="B77" s="2" t="n"/>
      <c r="C77" s="2" t="n"/>
      <c r="D77" s="12" t="n"/>
      <c r="E77" s="2" t="n"/>
      <c r="F77" s="13" t="n"/>
      <c r="G77" s="13" t="n"/>
      <c r="H77" s="13">
        <f>IF($B77="","",SUMIFS($F:$F,$B:$B,$B77,$D:$D,"&lt;="&amp;$D77)-SUMIFS($G:$G,$B:$B,$B77,$D:$D,"&lt;="&amp;$D77))</f>
        <v/>
      </c>
      <c r="I77" s="2" t="n"/>
      <c r="J77" s="2" t="n"/>
    </row>
    <row r="78">
      <c r="A78" s="6" t="n"/>
      <c r="B78" s="6" t="n"/>
      <c r="C78" s="6" t="n"/>
      <c r="D78" s="14" t="n"/>
      <c r="E78" s="6" t="n"/>
      <c r="F78" s="15" t="n"/>
      <c r="G78" s="15" t="n"/>
      <c r="H78" s="13">
        <f>IF($B78="","",SUMIFS($F:$F,$B:$B,$B78,$D:$D,"&lt;="&amp;$D78)-SUMIFS($G:$G,$B:$B,$B78,$D:$D,"&lt;="&amp;$D78))</f>
        <v/>
      </c>
      <c r="I78" s="6" t="n"/>
      <c r="J78" s="6" t="n"/>
    </row>
    <row r="79">
      <c r="A79" s="2" t="n"/>
      <c r="B79" s="2" t="n"/>
      <c r="C79" s="2" t="n"/>
      <c r="D79" s="12" t="n"/>
      <c r="E79" s="2" t="n"/>
      <c r="F79" s="13" t="n"/>
      <c r="G79" s="13" t="n"/>
      <c r="H79" s="13">
        <f>IF($B79="","",SUMIFS($F:$F,$B:$B,$B79,$D:$D,"&lt;="&amp;$D79)-SUMIFS($G:$G,$B:$B,$B79,$D:$D,"&lt;="&amp;$D79))</f>
        <v/>
      </c>
      <c r="I79" s="2" t="n"/>
      <c r="J79" s="2" t="n"/>
    </row>
    <row r="80">
      <c r="A80" s="6" t="n"/>
      <c r="B80" s="6" t="n"/>
      <c r="C80" s="6" t="n"/>
      <c r="D80" s="14" t="n"/>
      <c r="E80" s="6" t="n"/>
      <c r="F80" s="15" t="n"/>
      <c r="G80" s="15" t="n"/>
      <c r="H80" s="13">
        <f>IF($B80="","",SUMIFS($F:$F,$B:$B,$B80,$D:$D,"&lt;="&amp;$D80)-SUMIFS($G:$G,$B:$B,$B80,$D:$D,"&lt;="&amp;$D80))</f>
        <v/>
      </c>
      <c r="I80" s="6" t="n"/>
      <c r="J80" s="6" t="n"/>
    </row>
    <row r="81">
      <c r="A81" s="2" t="n"/>
      <c r="B81" s="2" t="n"/>
      <c r="C81" s="2" t="n"/>
      <c r="D81" s="12" t="n"/>
      <c r="E81" s="2" t="n"/>
      <c r="F81" s="13" t="n"/>
      <c r="G81" s="13" t="n"/>
      <c r="H81" s="13">
        <f>IF($B81="","",SUMIFS($F:$F,$B:$B,$B81,$D:$D,"&lt;="&amp;$D81)-SUMIFS($G:$G,$B:$B,$B81,$D:$D,"&lt;="&amp;$D81))</f>
        <v/>
      </c>
      <c r="I81" s="2" t="n"/>
      <c r="J81" s="2" t="n"/>
    </row>
    <row r="82">
      <c r="A82" s="6" t="n"/>
      <c r="B82" s="6" t="n"/>
      <c r="C82" s="6" t="n"/>
      <c r="D82" s="14" t="n"/>
      <c r="E82" s="6" t="n"/>
      <c r="F82" s="15" t="n"/>
      <c r="G82" s="15" t="n"/>
      <c r="H82" s="13">
        <f>IF($B82="","",SUMIFS($F:$F,$B:$B,$B82,$D:$D,"&lt;="&amp;$D82)-SUMIFS($G:$G,$B:$B,$B82,$D:$D,"&lt;="&amp;$D82))</f>
        <v/>
      </c>
      <c r="I82" s="6" t="n"/>
      <c r="J82" s="6" t="n"/>
    </row>
    <row r="83">
      <c r="A83" s="2" t="n"/>
      <c r="B83" s="2" t="n"/>
      <c r="C83" s="2" t="n"/>
      <c r="D83" s="12" t="n"/>
      <c r="E83" s="2" t="n"/>
      <c r="F83" s="13" t="n"/>
      <c r="G83" s="13" t="n"/>
      <c r="H83" s="13">
        <f>IF($B83="","",SUMIFS($F:$F,$B:$B,$B83,$D:$D,"&lt;="&amp;$D83)-SUMIFS($G:$G,$B:$B,$B83,$D:$D,"&lt;="&amp;$D83))</f>
        <v/>
      </c>
      <c r="I83" s="2" t="n"/>
      <c r="J83" s="2" t="n"/>
    </row>
    <row r="84">
      <c r="A84" s="6" t="n"/>
      <c r="B84" s="6" t="n"/>
      <c r="C84" s="6" t="n"/>
      <c r="D84" s="14" t="n"/>
      <c r="E84" s="6" t="n"/>
      <c r="F84" s="15" t="n"/>
      <c r="G84" s="15" t="n"/>
      <c r="H84" s="13">
        <f>IF($B84="","",SUMIFS($F:$F,$B:$B,$B84,$D:$D,"&lt;="&amp;$D84)-SUMIFS($G:$G,$B:$B,$B84,$D:$D,"&lt;="&amp;$D84))</f>
        <v/>
      </c>
      <c r="I84" s="6" t="n"/>
      <c r="J84" s="6" t="n"/>
    </row>
    <row r="85">
      <c r="A85" s="2" t="n"/>
      <c r="B85" s="2" t="n"/>
      <c r="C85" s="2" t="n"/>
      <c r="D85" s="12" t="n"/>
      <c r="E85" s="2" t="n"/>
      <c r="F85" s="13" t="n"/>
      <c r="G85" s="13" t="n"/>
      <c r="H85" s="13">
        <f>IF($B85="","",SUMIFS($F:$F,$B:$B,$B85,$D:$D,"&lt;="&amp;$D85)-SUMIFS($G:$G,$B:$B,$B85,$D:$D,"&lt;="&amp;$D85))</f>
        <v/>
      </c>
      <c r="I85" s="2" t="n"/>
      <c r="J85" s="2" t="n"/>
    </row>
    <row r="86">
      <c r="A86" s="6" t="n"/>
      <c r="B86" s="6" t="n"/>
      <c r="C86" s="6" t="n"/>
      <c r="D86" s="14" t="n"/>
      <c r="E86" s="6" t="n"/>
      <c r="F86" s="15" t="n"/>
      <c r="G86" s="15" t="n"/>
      <c r="H86" s="13">
        <f>IF($B86="","",SUMIFS($F:$F,$B:$B,$B86,$D:$D,"&lt;="&amp;$D86)-SUMIFS($G:$G,$B:$B,$B86,$D:$D,"&lt;="&amp;$D86))</f>
        <v/>
      </c>
      <c r="I86" s="6" t="n"/>
      <c r="J86" s="6" t="n"/>
    </row>
    <row r="87">
      <c r="A87" s="2" t="n"/>
      <c r="B87" s="2" t="n"/>
      <c r="C87" s="2" t="n"/>
      <c r="D87" s="12" t="n"/>
      <c r="E87" s="2" t="n"/>
      <c r="F87" s="13" t="n"/>
      <c r="G87" s="13" t="n"/>
      <c r="H87" s="13">
        <f>IF($B87="","",SUMIFS($F:$F,$B:$B,$B87,$D:$D,"&lt;="&amp;$D87)-SUMIFS($G:$G,$B:$B,$B87,$D:$D,"&lt;="&amp;$D87))</f>
        <v/>
      </c>
      <c r="I87" s="2" t="n"/>
      <c r="J87" s="2" t="n"/>
    </row>
    <row r="88">
      <c r="A88" s="6" t="n"/>
      <c r="B88" s="6" t="n"/>
      <c r="C88" s="6" t="n"/>
      <c r="D88" s="14" t="n"/>
      <c r="E88" s="6" t="n"/>
      <c r="F88" s="15" t="n"/>
      <c r="G88" s="15" t="n"/>
      <c r="H88" s="13">
        <f>IF($B88="","",SUMIFS($F:$F,$B:$B,$B88,$D:$D,"&lt;="&amp;$D88)-SUMIFS($G:$G,$B:$B,$B88,$D:$D,"&lt;="&amp;$D88))</f>
        <v/>
      </c>
      <c r="I88" s="6" t="n"/>
      <c r="J88" s="6" t="n"/>
    </row>
    <row r="89">
      <c r="A89" s="2" t="n"/>
      <c r="B89" s="2" t="n"/>
      <c r="C89" s="2" t="n"/>
      <c r="D89" s="12" t="n"/>
      <c r="E89" s="2" t="n"/>
      <c r="F89" s="13" t="n"/>
      <c r="G89" s="13" t="n"/>
      <c r="H89" s="13">
        <f>IF($B89="","",SUMIFS($F:$F,$B:$B,$B89,$D:$D,"&lt;="&amp;$D89)-SUMIFS($G:$G,$B:$B,$B89,$D:$D,"&lt;="&amp;$D89))</f>
        <v/>
      </c>
      <c r="I89" s="2" t="n"/>
      <c r="J89" s="2" t="n"/>
    </row>
    <row r="90">
      <c r="A90" s="6" t="n"/>
      <c r="B90" s="6" t="n"/>
      <c r="C90" s="6" t="n"/>
      <c r="D90" s="14" t="n"/>
      <c r="E90" s="6" t="n"/>
      <c r="F90" s="15" t="n"/>
      <c r="G90" s="15" t="n"/>
      <c r="H90" s="13">
        <f>IF($B90="","",SUMIFS($F:$F,$B:$B,$B90,$D:$D,"&lt;="&amp;$D90)-SUMIFS($G:$G,$B:$B,$B90,$D:$D,"&lt;="&amp;$D90))</f>
        <v/>
      </c>
      <c r="I90" s="6" t="n"/>
      <c r="J90" s="6" t="n"/>
    </row>
    <row r="91">
      <c r="A91" s="2" t="n"/>
      <c r="B91" s="2" t="n"/>
      <c r="C91" s="2" t="n"/>
      <c r="D91" s="12" t="n"/>
      <c r="E91" s="2" t="n"/>
      <c r="F91" s="13" t="n"/>
      <c r="G91" s="13" t="n"/>
      <c r="H91" s="13">
        <f>IF($B91="","",SUMIFS($F:$F,$B:$B,$B91,$D:$D,"&lt;="&amp;$D91)-SUMIFS($G:$G,$B:$B,$B91,$D:$D,"&lt;="&amp;$D91))</f>
        <v/>
      </c>
      <c r="I91" s="2" t="n"/>
      <c r="J91" s="2" t="n"/>
    </row>
    <row r="92">
      <c r="A92" s="6" t="n"/>
      <c r="B92" s="6" t="n"/>
      <c r="C92" s="6" t="n"/>
      <c r="D92" s="14" t="n"/>
      <c r="E92" s="6" t="n"/>
      <c r="F92" s="15" t="n"/>
      <c r="G92" s="15" t="n"/>
      <c r="H92" s="13">
        <f>IF($B92="","",SUMIFS($F:$F,$B:$B,$B92,$D:$D,"&lt;="&amp;$D92)-SUMIFS($G:$G,$B:$B,$B92,$D:$D,"&lt;="&amp;$D92))</f>
        <v/>
      </c>
      <c r="I92" s="6" t="n"/>
      <c r="J92" s="6" t="n"/>
    </row>
    <row r="93">
      <c r="A93" s="2" t="n"/>
      <c r="B93" s="2" t="n"/>
      <c r="C93" s="2" t="n"/>
      <c r="D93" s="12" t="n"/>
      <c r="E93" s="2" t="n"/>
      <c r="F93" s="13" t="n"/>
      <c r="G93" s="13" t="n"/>
      <c r="H93" s="13">
        <f>IF($B93="","",SUMIFS($F:$F,$B:$B,$B93,$D:$D,"&lt;="&amp;$D93)-SUMIFS($G:$G,$B:$B,$B93,$D:$D,"&lt;="&amp;$D93))</f>
        <v/>
      </c>
      <c r="I93" s="2" t="n"/>
      <c r="J93" s="2" t="n"/>
    </row>
    <row r="94">
      <c r="A94" s="6" t="n"/>
      <c r="B94" s="6" t="n"/>
      <c r="C94" s="6" t="n"/>
      <c r="D94" s="14" t="n"/>
      <c r="E94" s="6" t="n"/>
      <c r="F94" s="15" t="n"/>
      <c r="G94" s="15" t="n"/>
      <c r="H94" s="13">
        <f>IF($B94="","",SUMIFS($F:$F,$B:$B,$B94,$D:$D,"&lt;="&amp;$D94)-SUMIFS($G:$G,$B:$B,$B94,$D:$D,"&lt;="&amp;$D94))</f>
        <v/>
      </c>
      <c r="I94" s="6" t="n"/>
      <c r="J94" s="6" t="n"/>
    </row>
    <row r="95">
      <c r="A95" s="2" t="n"/>
      <c r="B95" s="2" t="n"/>
      <c r="C95" s="2" t="n"/>
      <c r="D95" s="12" t="n"/>
      <c r="E95" s="2" t="n"/>
      <c r="F95" s="13" t="n"/>
      <c r="G95" s="13" t="n"/>
      <c r="H95" s="13">
        <f>IF($B95="","",SUMIFS($F:$F,$B:$B,$B95,$D:$D,"&lt;="&amp;$D95)-SUMIFS($G:$G,$B:$B,$B95,$D:$D,"&lt;="&amp;$D95))</f>
        <v/>
      </c>
      <c r="I95" s="2" t="n"/>
      <c r="J95" s="2" t="n"/>
    </row>
    <row r="96">
      <c r="A96" s="6" t="n"/>
      <c r="B96" s="6" t="n"/>
      <c r="C96" s="6" t="n"/>
      <c r="D96" s="14" t="n"/>
      <c r="E96" s="6" t="n"/>
      <c r="F96" s="15" t="n"/>
      <c r="G96" s="15" t="n"/>
      <c r="H96" s="13">
        <f>IF($B96="","",SUMIFS($F:$F,$B:$B,$B96,$D:$D,"&lt;="&amp;$D96)-SUMIFS($G:$G,$B:$B,$B96,$D:$D,"&lt;="&amp;$D96))</f>
        <v/>
      </c>
      <c r="I96" s="6" t="n"/>
      <c r="J96" s="6" t="n"/>
    </row>
    <row r="97">
      <c r="A97" s="2" t="n"/>
      <c r="B97" s="2" t="n"/>
      <c r="C97" s="2" t="n"/>
      <c r="D97" s="12" t="n"/>
      <c r="E97" s="2" t="n"/>
      <c r="F97" s="13" t="n"/>
      <c r="G97" s="13" t="n"/>
      <c r="H97" s="13">
        <f>IF($B97="","",SUMIFS($F:$F,$B:$B,$B97,$D:$D,"&lt;="&amp;$D97)-SUMIFS($G:$G,$B:$B,$B97,$D:$D,"&lt;="&amp;$D97))</f>
        <v/>
      </c>
      <c r="I97" s="2" t="n"/>
      <c r="J97" s="2" t="n"/>
    </row>
    <row r="98">
      <c r="A98" s="6" t="n"/>
      <c r="B98" s="6" t="n"/>
      <c r="C98" s="6" t="n"/>
      <c r="D98" s="14" t="n"/>
      <c r="E98" s="6" t="n"/>
      <c r="F98" s="15" t="n"/>
      <c r="G98" s="15" t="n"/>
      <c r="H98" s="13">
        <f>IF($B98="","",SUMIFS($F:$F,$B:$B,$B98,$D:$D,"&lt;="&amp;$D98)-SUMIFS($G:$G,$B:$B,$B98,$D:$D,"&lt;="&amp;$D98))</f>
        <v/>
      </c>
      <c r="I98" s="6" t="n"/>
      <c r="J98" s="6" t="n"/>
    </row>
    <row r="99">
      <c r="A99" s="2" t="n"/>
      <c r="B99" s="2" t="n"/>
      <c r="C99" s="2" t="n"/>
      <c r="D99" s="12" t="n"/>
      <c r="E99" s="2" t="n"/>
      <c r="F99" s="13" t="n"/>
      <c r="G99" s="13" t="n"/>
      <c r="H99" s="13">
        <f>IF($B99="","",SUMIFS($F:$F,$B:$B,$B99,$D:$D,"&lt;="&amp;$D99)-SUMIFS($G:$G,$B:$B,$B99,$D:$D,"&lt;="&amp;$D99))</f>
        <v/>
      </c>
      <c r="I99" s="2" t="n"/>
      <c r="J99" s="2" t="n"/>
    </row>
    <row r="100">
      <c r="A100" s="6" t="n"/>
      <c r="B100" s="6" t="n"/>
      <c r="C100" s="6" t="n"/>
      <c r="D100" s="14" t="n"/>
      <c r="E100" s="6" t="n"/>
      <c r="F100" s="15" t="n"/>
      <c r="G100" s="15" t="n"/>
      <c r="H100" s="13">
        <f>IF($B100="","",SUMIFS($F:$F,$B:$B,$B100,$D:$D,"&lt;="&amp;$D100)-SUMIFS($G:$G,$B:$B,$B100,$D:$D,"&lt;="&amp;$D100))</f>
        <v/>
      </c>
      <c r="I100" s="6" t="n"/>
      <c r="J100" s="6" t="n"/>
    </row>
    <row r="101">
      <c r="A101" s="2" t="n"/>
      <c r="B101" s="2" t="n"/>
      <c r="C101" s="2" t="n"/>
      <c r="D101" s="12" t="n"/>
      <c r="E101" s="2" t="n"/>
      <c r="F101" s="13" t="n"/>
      <c r="G101" s="13" t="n"/>
      <c r="H101" s="13">
        <f>IF($B101="","",SUMIFS($F:$F,$B:$B,$B101,$D:$D,"&lt;="&amp;$D101)-SUMIFS($G:$G,$B:$B,$B101,$D:$D,"&lt;="&amp;$D101))</f>
        <v/>
      </c>
      <c r="I101" s="2" t="n"/>
      <c r="J101" s="2" t="n"/>
    </row>
    <row r="102">
      <c r="A102" s="6" t="n"/>
      <c r="B102" s="6" t="n"/>
      <c r="C102" s="6" t="n"/>
      <c r="D102" s="14" t="n"/>
      <c r="E102" s="6" t="n"/>
      <c r="F102" s="15" t="n"/>
      <c r="G102" s="15" t="n"/>
      <c r="H102" s="13">
        <f>IF($B102="","",SUMIFS($F:$F,$B:$B,$B102,$D:$D,"&lt;="&amp;$D102)-SUMIFS($G:$G,$B:$B,$B102,$D:$D,"&lt;="&amp;$D102))</f>
        <v/>
      </c>
      <c r="I102" s="6" t="n"/>
      <c r="J102" s="6" t="n"/>
    </row>
    <row r="103">
      <c r="A103" s="2" t="n"/>
      <c r="B103" s="2" t="n"/>
      <c r="C103" s="2" t="n"/>
      <c r="D103" s="12" t="n"/>
      <c r="E103" s="2" t="n"/>
      <c r="F103" s="13" t="n"/>
      <c r="G103" s="13" t="n"/>
      <c r="H103" s="13">
        <f>IF($B103="","",SUMIFS($F:$F,$B:$B,$B103,$D:$D,"&lt;="&amp;$D103)-SUMIFS($G:$G,$B:$B,$B103,$D:$D,"&lt;="&amp;$D103))</f>
        <v/>
      </c>
      <c r="I103" s="2" t="n"/>
      <c r="J103" s="2" t="n"/>
    </row>
    <row r="104">
      <c r="A104" s="6" t="n"/>
      <c r="B104" s="6" t="n"/>
      <c r="C104" s="6" t="n"/>
      <c r="D104" s="14" t="n"/>
      <c r="E104" s="6" t="n"/>
      <c r="F104" s="15" t="n"/>
      <c r="G104" s="15" t="n"/>
      <c r="H104" s="13">
        <f>IF($B104="","",SUMIFS($F:$F,$B:$B,$B104,$D:$D,"&lt;="&amp;$D104)-SUMIFS($G:$G,$B:$B,$B104,$D:$D,"&lt;="&amp;$D104))</f>
        <v/>
      </c>
      <c r="I104" s="6" t="n"/>
      <c r="J104" s="6" t="n"/>
    </row>
    <row r="105">
      <c r="A105" s="2" t="n"/>
      <c r="B105" s="2" t="n"/>
      <c r="C105" s="2" t="n"/>
      <c r="D105" s="12" t="n"/>
      <c r="E105" s="2" t="n"/>
      <c r="F105" s="13" t="n"/>
      <c r="G105" s="13" t="n"/>
      <c r="H105" s="13">
        <f>IF($B105="","",SUMIFS($F:$F,$B:$B,$B105,$D:$D,"&lt;="&amp;$D105)-SUMIFS($G:$G,$B:$B,$B105,$D:$D,"&lt;="&amp;$D105))</f>
        <v/>
      </c>
      <c r="I105" s="2" t="n"/>
      <c r="J105" s="2" t="n"/>
    </row>
    <row r="106">
      <c r="A106" s="6" t="n"/>
      <c r="B106" s="6" t="n"/>
      <c r="C106" s="6" t="n"/>
      <c r="D106" s="14" t="n"/>
      <c r="E106" s="6" t="n"/>
      <c r="F106" s="15" t="n"/>
      <c r="G106" s="15" t="n"/>
      <c r="H106" s="13">
        <f>IF($B106="","",SUMIFS($F:$F,$B:$B,$B106,$D:$D,"&lt;="&amp;$D106)-SUMIFS($G:$G,$B:$B,$B106,$D:$D,"&lt;="&amp;$D106))</f>
        <v/>
      </c>
      <c r="I106" s="6" t="n"/>
      <c r="J106" s="6" t="n"/>
    </row>
    <row r="107">
      <c r="A107" s="2" t="n"/>
      <c r="B107" s="2" t="n"/>
      <c r="C107" s="2" t="n"/>
      <c r="D107" s="12" t="n"/>
      <c r="E107" s="2" t="n"/>
      <c r="F107" s="13" t="n"/>
      <c r="G107" s="13" t="n"/>
      <c r="H107" s="13">
        <f>IF($B107="","",SUMIFS($F:$F,$B:$B,$B107,$D:$D,"&lt;="&amp;$D107)-SUMIFS($G:$G,$B:$B,$B107,$D:$D,"&lt;="&amp;$D107))</f>
        <v/>
      </c>
      <c r="I107" s="2" t="n"/>
      <c r="J107" s="2" t="n"/>
    </row>
    <row r="108">
      <c r="A108" s="6" t="n"/>
      <c r="B108" s="6" t="n"/>
      <c r="C108" s="6" t="n"/>
      <c r="D108" s="14" t="n"/>
      <c r="E108" s="6" t="n"/>
      <c r="F108" s="15" t="n"/>
      <c r="G108" s="15" t="n"/>
      <c r="H108" s="13">
        <f>IF($B108="","",SUMIFS($F:$F,$B:$B,$B108,$D:$D,"&lt;="&amp;$D108)-SUMIFS($G:$G,$B:$B,$B108,$D:$D,"&lt;="&amp;$D108))</f>
        <v/>
      </c>
      <c r="I108" s="6" t="n"/>
      <c r="J108" s="6" t="n"/>
    </row>
    <row r="109">
      <c r="A109" s="2" t="n"/>
      <c r="B109" s="2" t="n"/>
      <c r="C109" s="2" t="n"/>
      <c r="D109" s="12" t="n"/>
      <c r="E109" s="2" t="n"/>
      <c r="F109" s="13" t="n"/>
      <c r="G109" s="13" t="n"/>
      <c r="H109" s="13">
        <f>IF($B109="","",SUMIFS($F:$F,$B:$B,$B109,$D:$D,"&lt;="&amp;$D109)-SUMIFS($G:$G,$B:$B,$B109,$D:$D,"&lt;="&amp;$D109))</f>
        <v/>
      </c>
      <c r="I109" s="2" t="n"/>
      <c r="J109" s="2" t="n"/>
    </row>
    <row r="110">
      <c r="A110" s="6" t="n"/>
      <c r="B110" s="6" t="n"/>
      <c r="C110" s="6" t="n"/>
      <c r="D110" s="14" t="n"/>
      <c r="E110" s="6" t="n"/>
      <c r="F110" s="15" t="n"/>
      <c r="G110" s="15" t="n"/>
      <c r="H110" s="13">
        <f>IF($B110="","",SUMIFS($F:$F,$B:$B,$B110,$D:$D,"&lt;="&amp;$D110)-SUMIFS($G:$G,$B:$B,$B110,$D:$D,"&lt;="&amp;$D110))</f>
        <v/>
      </c>
      <c r="I110" s="6" t="n"/>
      <c r="J110" s="6" t="n"/>
    </row>
    <row r="111">
      <c r="A111" s="2" t="n"/>
      <c r="B111" s="2" t="n"/>
      <c r="C111" s="2" t="n"/>
      <c r="D111" s="12" t="n"/>
      <c r="E111" s="2" t="n"/>
      <c r="F111" s="13" t="n"/>
      <c r="G111" s="13" t="n"/>
      <c r="H111" s="13">
        <f>IF($B111="","",SUMIFS($F:$F,$B:$B,$B111,$D:$D,"&lt;="&amp;$D111)-SUMIFS($G:$G,$B:$B,$B111,$D:$D,"&lt;="&amp;$D111))</f>
        <v/>
      </c>
      <c r="I111" s="2" t="n"/>
      <c r="J111" s="2" t="n"/>
    </row>
    <row r="112">
      <c r="A112" s="6" t="n"/>
      <c r="B112" s="6" t="n"/>
      <c r="C112" s="6" t="n"/>
      <c r="D112" s="14" t="n"/>
      <c r="E112" s="6" t="n"/>
      <c r="F112" s="15" t="n"/>
      <c r="G112" s="15" t="n"/>
      <c r="H112" s="13">
        <f>IF($B112="","",SUMIFS($F:$F,$B:$B,$B112,$D:$D,"&lt;="&amp;$D112)-SUMIFS($G:$G,$B:$B,$B112,$D:$D,"&lt;="&amp;$D112))</f>
        <v/>
      </c>
      <c r="I112" s="6" t="n"/>
      <c r="J112" s="6" t="n"/>
    </row>
    <row r="113">
      <c r="A113" s="2" t="n"/>
      <c r="B113" s="2" t="n"/>
      <c r="C113" s="2" t="n"/>
      <c r="D113" s="12" t="n"/>
      <c r="E113" s="2" t="n"/>
      <c r="F113" s="13" t="n"/>
      <c r="G113" s="13" t="n"/>
      <c r="H113" s="13">
        <f>IF($B113="","",SUMIFS($F:$F,$B:$B,$B113,$D:$D,"&lt;="&amp;$D113)-SUMIFS($G:$G,$B:$B,$B113,$D:$D,"&lt;="&amp;$D113))</f>
        <v/>
      </c>
      <c r="I113" s="2" t="n"/>
      <c r="J113" s="2" t="n"/>
    </row>
    <row r="114">
      <c r="A114" s="6" t="n"/>
      <c r="B114" s="6" t="n"/>
      <c r="C114" s="6" t="n"/>
      <c r="D114" s="14" t="n"/>
      <c r="E114" s="6" t="n"/>
      <c r="F114" s="15" t="n"/>
      <c r="G114" s="15" t="n"/>
      <c r="H114" s="13">
        <f>IF($B114="","",SUMIFS($F:$F,$B:$B,$B114,$D:$D,"&lt;="&amp;$D114)-SUMIFS($G:$G,$B:$B,$B114,$D:$D,"&lt;="&amp;$D114))</f>
        <v/>
      </c>
      <c r="I114" s="6" t="n"/>
      <c r="J114" s="6" t="n"/>
    </row>
    <row r="115">
      <c r="A115" s="2" t="n"/>
      <c r="B115" s="2" t="n"/>
      <c r="C115" s="2" t="n"/>
      <c r="D115" s="12" t="n"/>
      <c r="E115" s="2" t="n"/>
      <c r="F115" s="13" t="n"/>
      <c r="G115" s="13" t="n"/>
      <c r="H115" s="13">
        <f>IF($B115="","",SUMIFS($F:$F,$B:$B,$B115,$D:$D,"&lt;="&amp;$D115)-SUMIFS($G:$G,$B:$B,$B115,$D:$D,"&lt;="&amp;$D115))</f>
        <v/>
      </c>
      <c r="I115" s="2" t="n"/>
      <c r="J115" s="2" t="n"/>
    </row>
    <row r="116">
      <c r="A116" s="6" t="n"/>
      <c r="B116" s="6" t="n"/>
      <c r="C116" s="6" t="n"/>
      <c r="D116" s="14" t="n"/>
      <c r="E116" s="6" t="n"/>
      <c r="F116" s="15" t="n"/>
      <c r="G116" s="15" t="n"/>
      <c r="H116" s="13">
        <f>IF($B116="","",SUMIFS($F:$F,$B:$B,$B116,$D:$D,"&lt;="&amp;$D116)-SUMIFS($G:$G,$B:$B,$B116,$D:$D,"&lt;="&amp;$D116))</f>
        <v/>
      </c>
      <c r="I116" s="6" t="n"/>
      <c r="J116" s="6" t="n"/>
    </row>
    <row r="117">
      <c r="A117" s="2" t="n"/>
      <c r="B117" s="2" t="n"/>
      <c r="C117" s="2" t="n"/>
      <c r="D117" s="12" t="n"/>
      <c r="E117" s="2" t="n"/>
      <c r="F117" s="13" t="n"/>
      <c r="G117" s="13" t="n"/>
      <c r="H117" s="13">
        <f>IF($B117="","",SUMIFS($F:$F,$B:$B,$B117,$D:$D,"&lt;="&amp;$D117)-SUMIFS($G:$G,$B:$B,$B117,$D:$D,"&lt;="&amp;$D117))</f>
        <v/>
      </c>
      <c r="I117" s="2" t="n"/>
      <c r="J117" s="2" t="n"/>
    </row>
    <row r="118">
      <c r="A118" s="6" t="n"/>
      <c r="B118" s="6" t="n"/>
      <c r="C118" s="6" t="n"/>
      <c r="D118" s="14" t="n"/>
      <c r="E118" s="6" t="n"/>
      <c r="F118" s="15" t="n"/>
      <c r="G118" s="15" t="n"/>
      <c r="H118" s="13">
        <f>IF($B118="","",SUMIFS($F:$F,$B:$B,$B118,$D:$D,"&lt;="&amp;$D118)-SUMIFS($G:$G,$B:$B,$B118,$D:$D,"&lt;="&amp;$D118))</f>
        <v/>
      </c>
      <c r="I118" s="6" t="n"/>
      <c r="J118" s="6" t="n"/>
    </row>
    <row r="119">
      <c r="A119" s="2" t="n"/>
      <c r="B119" s="2" t="n"/>
      <c r="C119" s="2" t="n"/>
      <c r="D119" s="12" t="n"/>
      <c r="E119" s="2" t="n"/>
      <c r="F119" s="13" t="n"/>
      <c r="G119" s="13" t="n"/>
      <c r="H119" s="13">
        <f>IF($B119="","",SUMIFS($F:$F,$B:$B,$B119,$D:$D,"&lt;="&amp;$D119)-SUMIFS($G:$G,$B:$B,$B119,$D:$D,"&lt;="&amp;$D119))</f>
        <v/>
      </c>
      <c r="I119" s="2" t="n"/>
      <c r="J119" s="2" t="n"/>
    </row>
    <row r="120">
      <c r="A120" s="6" t="n"/>
      <c r="B120" s="6" t="n"/>
      <c r="C120" s="6" t="n"/>
      <c r="D120" s="14" t="n"/>
      <c r="E120" s="6" t="n"/>
      <c r="F120" s="15" t="n"/>
      <c r="G120" s="15" t="n"/>
      <c r="H120" s="13">
        <f>IF($B120="","",SUMIFS($F:$F,$B:$B,$B120,$D:$D,"&lt;="&amp;$D120)-SUMIFS($G:$G,$B:$B,$B120,$D:$D,"&lt;="&amp;$D120))</f>
        <v/>
      </c>
      <c r="I120" s="6" t="n"/>
      <c r="J120" s="6" t="n"/>
    </row>
    <row r="121">
      <c r="A121" s="2" t="n"/>
      <c r="B121" s="2" t="n"/>
      <c r="C121" s="2" t="n"/>
      <c r="D121" s="12" t="n"/>
      <c r="E121" s="2" t="n"/>
      <c r="F121" s="13" t="n"/>
      <c r="G121" s="13" t="n"/>
      <c r="H121" s="13">
        <f>IF($B121="","",SUMIFS($F:$F,$B:$B,$B121,$D:$D,"&lt;="&amp;$D121)-SUMIFS($G:$G,$B:$B,$B121,$D:$D,"&lt;="&amp;$D121))</f>
        <v/>
      </c>
      <c r="I121" s="2" t="n"/>
      <c r="J121" s="2" t="n"/>
    </row>
    <row r="122">
      <c r="A122" s="6" t="n"/>
      <c r="B122" s="6" t="n"/>
      <c r="C122" s="6" t="n"/>
      <c r="D122" s="14" t="n"/>
      <c r="E122" s="6" t="n"/>
      <c r="F122" s="15" t="n"/>
      <c r="G122" s="15" t="n"/>
      <c r="H122" s="13">
        <f>IF($B122="","",SUMIFS($F:$F,$B:$B,$B122,$D:$D,"&lt;="&amp;$D122)-SUMIFS($G:$G,$B:$B,$B122,$D:$D,"&lt;="&amp;$D122))</f>
        <v/>
      </c>
      <c r="I122" s="6" t="n"/>
      <c r="J122" s="6" t="n"/>
    </row>
    <row r="123">
      <c r="A123" s="2" t="n"/>
      <c r="B123" s="2" t="n"/>
      <c r="C123" s="2" t="n"/>
      <c r="D123" s="12" t="n"/>
      <c r="E123" s="2" t="n"/>
      <c r="F123" s="13" t="n"/>
      <c r="G123" s="13" t="n"/>
      <c r="H123" s="13">
        <f>IF($B123="","",SUMIFS($F:$F,$B:$B,$B123,$D:$D,"&lt;="&amp;$D123)-SUMIFS($G:$G,$B:$B,$B123,$D:$D,"&lt;="&amp;$D123))</f>
        <v/>
      </c>
      <c r="I123" s="2" t="n"/>
      <c r="J123" s="2" t="n"/>
    </row>
    <row r="124">
      <c r="A124" s="6" t="n"/>
      <c r="B124" s="6" t="n"/>
      <c r="C124" s="6" t="n"/>
      <c r="D124" s="14" t="n"/>
      <c r="E124" s="6" t="n"/>
      <c r="F124" s="15" t="n"/>
      <c r="G124" s="15" t="n"/>
      <c r="H124" s="13">
        <f>IF($B124="","",SUMIFS($F:$F,$B:$B,$B124,$D:$D,"&lt;="&amp;$D124)-SUMIFS($G:$G,$B:$B,$B124,$D:$D,"&lt;="&amp;$D124))</f>
        <v/>
      </c>
      <c r="I124" s="6" t="n"/>
      <c r="J124" s="6" t="n"/>
    </row>
    <row r="125">
      <c r="A125" s="2" t="n"/>
      <c r="B125" s="2" t="n"/>
      <c r="C125" s="2" t="n"/>
      <c r="D125" s="12" t="n"/>
      <c r="E125" s="2" t="n"/>
      <c r="F125" s="13" t="n"/>
      <c r="G125" s="13" t="n"/>
      <c r="H125" s="13">
        <f>IF($B125="","",SUMIFS($F:$F,$B:$B,$B125,$D:$D,"&lt;="&amp;$D125)-SUMIFS($G:$G,$B:$B,$B125,$D:$D,"&lt;="&amp;$D125))</f>
        <v/>
      </c>
      <c r="I125" s="2" t="n"/>
      <c r="J125" s="2" t="n"/>
    </row>
    <row r="126">
      <c r="A126" s="6" t="n"/>
      <c r="B126" s="6" t="n"/>
      <c r="C126" s="6" t="n"/>
      <c r="D126" s="14" t="n"/>
      <c r="E126" s="6" t="n"/>
      <c r="F126" s="15" t="n"/>
      <c r="G126" s="15" t="n"/>
      <c r="H126" s="13">
        <f>IF($B126="","",SUMIFS($F:$F,$B:$B,$B126,$D:$D,"&lt;="&amp;$D126)-SUMIFS($G:$G,$B:$B,$B126,$D:$D,"&lt;="&amp;$D126))</f>
        <v/>
      </c>
      <c r="I126" s="6" t="n"/>
      <c r="J126" s="6" t="n"/>
    </row>
    <row r="127">
      <c r="A127" s="2" t="n"/>
      <c r="B127" s="2" t="n"/>
      <c r="C127" s="2" t="n"/>
      <c r="D127" s="12" t="n"/>
      <c r="E127" s="2" t="n"/>
      <c r="F127" s="13" t="n"/>
      <c r="G127" s="13" t="n"/>
      <c r="H127" s="13">
        <f>IF($B127="","",SUMIFS($F:$F,$B:$B,$B127,$D:$D,"&lt;="&amp;$D127)-SUMIFS($G:$G,$B:$B,$B127,$D:$D,"&lt;="&amp;$D127))</f>
        <v/>
      </c>
      <c r="I127" s="2" t="n"/>
      <c r="J127" s="2" t="n"/>
    </row>
    <row r="128">
      <c r="A128" s="6" t="n"/>
      <c r="B128" s="6" t="n"/>
      <c r="C128" s="6" t="n"/>
      <c r="D128" s="14" t="n"/>
      <c r="E128" s="6" t="n"/>
      <c r="F128" s="15" t="n"/>
      <c r="G128" s="15" t="n"/>
      <c r="H128" s="13">
        <f>IF($B128="","",SUMIFS($F:$F,$B:$B,$B128,$D:$D,"&lt;="&amp;$D128)-SUMIFS($G:$G,$B:$B,$B128,$D:$D,"&lt;="&amp;$D128))</f>
        <v/>
      </c>
      <c r="I128" s="6" t="n"/>
      <c r="J128" s="6" t="n"/>
    </row>
    <row r="129">
      <c r="A129" s="2" t="n"/>
      <c r="B129" s="2" t="n"/>
      <c r="C129" s="2" t="n"/>
      <c r="D129" s="12" t="n"/>
      <c r="E129" s="2" t="n"/>
      <c r="F129" s="13" t="n"/>
      <c r="G129" s="13" t="n"/>
      <c r="H129" s="13">
        <f>IF($B129="","",SUMIFS($F:$F,$B:$B,$B129,$D:$D,"&lt;="&amp;$D129)-SUMIFS($G:$G,$B:$B,$B129,$D:$D,"&lt;="&amp;$D129))</f>
        <v/>
      </c>
      <c r="I129" s="2" t="n"/>
      <c r="J129" s="2" t="n"/>
    </row>
    <row r="130">
      <c r="A130" s="6" t="n"/>
      <c r="B130" s="6" t="n"/>
      <c r="C130" s="6" t="n"/>
      <c r="D130" s="14" t="n"/>
      <c r="E130" s="6" t="n"/>
      <c r="F130" s="15" t="n"/>
      <c r="G130" s="15" t="n"/>
      <c r="H130" s="13">
        <f>IF($B130="","",SUMIFS($F:$F,$B:$B,$B130,$D:$D,"&lt;="&amp;$D130)-SUMIFS($G:$G,$B:$B,$B130,$D:$D,"&lt;="&amp;$D130))</f>
        <v/>
      </c>
      <c r="I130" s="6" t="n"/>
      <c r="J130" s="6" t="n"/>
    </row>
    <row r="131">
      <c r="A131" s="2" t="n"/>
      <c r="B131" s="2" t="n"/>
      <c r="C131" s="2" t="n"/>
      <c r="D131" s="12" t="n"/>
      <c r="E131" s="2" t="n"/>
      <c r="F131" s="13" t="n"/>
      <c r="G131" s="13" t="n"/>
      <c r="H131" s="13">
        <f>IF($B131="","",SUMIFS($F:$F,$B:$B,$B131,$D:$D,"&lt;="&amp;$D131)-SUMIFS($G:$G,$B:$B,$B131,$D:$D,"&lt;="&amp;$D131))</f>
        <v/>
      </c>
      <c r="I131" s="2" t="n"/>
      <c r="J131" s="2" t="n"/>
    </row>
    <row r="132">
      <c r="A132" s="6" t="n"/>
      <c r="B132" s="6" t="n"/>
      <c r="C132" s="6" t="n"/>
      <c r="D132" s="14" t="n"/>
      <c r="E132" s="6" t="n"/>
      <c r="F132" s="15" t="n"/>
      <c r="G132" s="15" t="n"/>
      <c r="H132" s="13">
        <f>IF($B132="","",SUMIFS($F:$F,$B:$B,$B132,$D:$D,"&lt;="&amp;$D132)-SUMIFS($G:$G,$B:$B,$B132,$D:$D,"&lt;="&amp;$D132))</f>
        <v/>
      </c>
      <c r="I132" s="6" t="n"/>
      <c r="J132" s="6" t="n"/>
    </row>
    <row r="133">
      <c r="A133" s="2" t="n"/>
      <c r="B133" s="2" t="n"/>
      <c r="C133" s="2" t="n"/>
      <c r="D133" s="12" t="n"/>
      <c r="E133" s="2" t="n"/>
      <c r="F133" s="13" t="n"/>
      <c r="G133" s="13" t="n"/>
      <c r="H133" s="13">
        <f>IF($B133="","",SUMIFS($F:$F,$B:$B,$B133,$D:$D,"&lt;="&amp;$D133)-SUMIFS($G:$G,$B:$B,$B133,$D:$D,"&lt;="&amp;$D133))</f>
        <v/>
      </c>
      <c r="I133" s="2" t="n"/>
      <c r="J133" s="2" t="n"/>
    </row>
    <row r="134">
      <c r="A134" s="6" t="n"/>
      <c r="B134" s="6" t="n"/>
      <c r="C134" s="6" t="n"/>
      <c r="D134" s="14" t="n"/>
      <c r="E134" s="6" t="n"/>
      <c r="F134" s="15" t="n"/>
      <c r="G134" s="15" t="n"/>
      <c r="H134" s="13">
        <f>IF($B134="","",SUMIFS($F:$F,$B:$B,$B134,$D:$D,"&lt;="&amp;$D134)-SUMIFS($G:$G,$B:$B,$B134,$D:$D,"&lt;="&amp;$D134))</f>
        <v/>
      </c>
      <c r="I134" s="6" t="n"/>
      <c r="J134" s="6" t="n"/>
    </row>
    <row r="135">
      <c r="A135" s="2" t="n"/>
      <c r="B135" s="2" t="n"/>
      <c r="C135" s="2" t="n"/>
      <c r="D135" s="12" t="n"/>
      <c r="E135" s="2" t="n"/>
      <c r="F135" s="13" t="n"/>
      <c r="G135" s="13" t="n"/>
      <c r="H135" s="13">
        <f>IF($B135="","",SUMIFS($F:$F,$B:$B,$B135,$D:$D,"&lt;="&amp;$D135)-SUMIFS($G:$G,$B:$B,$B135,$D:$D,"&lt;="&amp;$D135))</f>
        <v/>
      </c>
      <c r="I135" s="2" t="n"/>
      <c r="J135" s="2" t="n"/>
    </row>
    <row r="136">
      <c r="A136" s="6" t="n"/>
      <c r="B136" s="6" t="n"/>
      <c r="C136" s="6" t="n"/>
      <c r="D136" s="14" t="n"/>
      <c r="E136" s="6" t="n"/>
      <c r="F136" s="15" t="n"/>
      <c r="G136" s="15" t="n"/>
      <c r="H136" s="13">
        <f>IF($B136="","",SUMIFS($F:$F,$B:$B,$B136,$D:$D,"&lt;="&amp;$D136)-SUMIFS($G:$G,$B:$B,$B136,$D:$D,"&lt;="&amp;$D136))</f>
        <v/>
      </c>
      <c r="I136" s="6" t="n"/>
      <c r="J136" s="6" t="n"/>
    </row>
    <row r="137">
      <c r="A137" s="2" t="n"/>
      <c r="B137" s="2" t="n"/>
      <c r="C137" s="2" t="n"/>
      <c r="D137" s="12" t="n"/>
      <c r="E137" s="2" t="n"/>
      <c r="F137" s="13" t="n"/>
      <c r="G137" s="13" t="n"/>
      <c r="H137" s="13">
        <f>IF($B137="","",SUMIFS($F:$F,$B:$B,$B137,$D:$D,"&lt;="&amp;$D137)-SUMIFS($G:$G,$B:$B,$B137,$D:$D,"&lt;="&amp;$D137))</f>
        <v/>
      </c>
      <c r="I137" s="2" t="n"/>
      <c r="J137" s="2" t="n"/>
    </row>
    <row r="138">
      <c r="A138" s="6" t="n"/>
      <c r="B138" s="6" t="n"/>
      <c r="C138" s="6" t="n"/>
      <c r="D138" s="14" t="n"/>
      <c r="E138" s="6" t="n"/>
      <c r="F138" s="15" t="n"/>
      <c r="G138" s="15" t="n"/>
      <c r="H138" s="13">
        <f>IF($B138="","",SUMIFS($F:$F,$B:$B,$B138,$D:$D,"&lt;="&amp;$D138)-SUMIFS($G:$G,$B:$B,$B138,$D:$D,"&lt;="&amp;$D138))</f>
        <v/>
      </c>
      <c r="I138" s="6" t="n"/>
      <c r="J138" s="6" t="n"/>
    </row>
    <row r="139">
      <c r="A139" s="2" t="n"/>
      <c r="B139" s="2" t="n"/>
      <c r="C139" s="2" t="n"/>
      <c r="D139" s="12" t="n"/>
      <c r="E139" s="2" t="n"/>
      <c r="F139" s="13" t="n"/>
      <c r="G139" s="13" t="n"/>
      <c r="H139" s="13">
        <f>IF($B139="","",SUMIFS($F:$F,$B:$B,$B139,$D:$D,"&lt;="&amp;$D139)-SUMIFS($G:$G,$B:$B,$B139,$D:$D,"&lt;="&amp;$D139))</f>
        <v/>
      </c>
      <c r="I139" s="2" t="n"/>
      <c r="J139" s="2" t="n"/>
    </row>
    <row r="140">
      <c r="A140" s="6" t="n"/>
      <c r="B140" s="6" t="n"/>
      <c r="C140" s="6" t="n"/>
      <c r="D140" s="14" t="n"/>
      <c r="E140" s="6" t="n"/>
      <c r="F140" s="15" t="n"/>
      <c r="G140" s="15" t="n"/>
      <c r="H140" s="13">
        <f>IF($B140="","",SUMIFS($F:$F,$B:$B,$B140,$D:$D,"&lt;="&amp;$D140)-SUMIFS($G:$G,$B:$B,$B140,$D:$D,"&lt;="&amp;$D140))</f>
        <v/>
      </c>
      <c r="I140" s="6" t="n"/>
      <c r="J140" s="6" t="n"/>
    </row>
    <row r="141">
      <c r="A141" s="2" t="n"/>
      <c r="B141" s="2" t="n"/>
      <c r="C141" s="2" t="n"/>
      <c r="D141" s="12" t="n"/>
      <c r="E141" s="2" t="n"/>
      <c r="F141" s="13" t="n"/>
      <c r="G141" s="13" t="n"/>
      <c r="H141" s="13">
        <f>IF($B141="","",SUMIFS($F:$F,$B:$B,$B141,$D:$D,"&lt;="&amp;$D141)-SUMIFS($G:$G,$B:$B,$B141,$D:$D,"&lt;="&amp;$D141))</f>
        <v/>
      </c>
      <c r="I141" s="2" t="n"/>
      <c r="J141" s="2" t="n"/>
    </row>
    <row r="142">
      <c r="A142" s="6" t="n"/>
      <c r="B142" s="6" t="n"/>
      <c r="C142" s="6" t="n"/>
      <c r="D142" s="14" t="n"/>
      <c r="E142" s="6" t="n"/>
      <c r="F142" s="15" t="n"/>
      <c r="G142" s="15" t="n"/>
      <c r="H142" s="13">
        <f>IF($B142="","",SUMIFS($F:$F,$B:$B,$B142,$D:$D,"&lt;="&amp;$D142)-SUMIFS($G:$G,$B:$B,$B142,$D:$D,"&lt;="&amp;$D142))</f>
        <v/>
      </c>
      <c r="I142" s="6" t="n"/>
      <c r="J142" s="6" t="n"/>
    </row>
    <row r="143">
      <c r="A143" s="2" t="n"/>
      <c r="B143" s="2" t="n"/>
      <c r="C143" s="2" t="n"/>
      <c r="D143" s="12" t="n"/>
      <c r="E143" s="2" t="n"/>
      <c r="F143" s="13" t="n"/>
      <c r="G143" s="13" t="n"/>
      <c r="H143" s="13">
        <f>IF($B143="","",SUMIFS($F:$F,$B:$B,$B143,$D:$D,"&lt;="&amp;$D143)-SUMIFS($G:$G,$B:$B,$B143,$D:$D,"&lt;="&amp;$D143))</f>
        <v/>
      </c>
      <c r="I143" s="2" t="n"/>
      <c r="J143" s="2" t="n"/>
    </row>
    <row r="144">
      <c r="A144" s="6" t="n"/>
      <c r="B144" s="6" t="n"/>
      <c r="C144" s="6" t="n"/>
      <c r="D144" s="14" t="n"/>
      <c r="E144" s="6" t="n"/>
      <c r="F144" s="15" t="n"/>
      <c r="G144" s="15" t="n"/>
      <c r="H144" s="13">
        <f>IF($B144="","",SUMIFS($F:$F,$B:$B,$B144,$D:$D,"&lt;="&amp;$D144)-SUMIFS($G:$G,$B:$B,$B144,$D:$D,"&lt;="&amp;$D144))</f>
        <v/>
      </c>
      <c r="I144" s="6" t="n"/>
      <c r="J144" s="6" t="n"/>
    </row>
    <row r="145">
      <c r="A145" s="2" t="n"/>
      <c r="B145" s="2" t="n"/>
      <c r="C145" s="2" t="n"/>
      <c r="D145" s="12" t="n"/>
      <c r="E145" s="2" t="n"/>
      <c r="F145" s="13" t="n"/>
      <c r="G145" s="13" t="n"/>
      <c r="H145" s="13">
        <f>IF($B145="","",SUMIFS($F:$F,$B:$B,$B145,$D:$D,"&lt;="&amp;$D145)-SUMIFS($G:$G,$B:$B,$B145,$D:$D,"&lt;="&amp;$D145))</f>
        <v/>
      </c>
      <c r="I145" s="2" t="n"/>
      <c r="J145" s="2" t="n"/>
    </row>
    <row r="146">
      <c r="A146" s="6" t="n"/>
      <c r="B146" s="6" t="n"/>
      <c r="C146" s="6" t="n"/>
      <c r="D146" s="14" t="n"/>
      <c r="E146" s="6" t="n"/>
      <c r="F146" s="15" t="n"/>
      <c r="G146" s="15" t="n"/>
      <c r="H146" s="13">
        <f>IF($B146="","",SUMIFS($F:$F,$B:$B,$B146,$D:$D,"&lt;="&amp;$D146)-SUMIFS($G:$G,$B:$B,$B146,$D:$D,"&lt;="&amp;$D146))</f>
        <v/>
      </c>
      <c r="I146" s="6" t="n"/>
      <c r="J146" s="6" t="n"/>
    </row>
    <row r="147">
      <c r="A147" s="2" t="n"/>
      <c r="B147" s="2" t="n"/>
      <c r="C147" s="2" t="n"/>
      <c r="D147" s="12" t="n"/>
      <c r="E147" s="2" t="n"/>
      <c r="F147" s="13" t="n"/>
      <c r="G147" s="13" t="n"/>
      <c r="H147" s="13">
        <f>IF($B147="","",SUMIFS($F:$F,$B:$B,$B147,$D:$D,"&lt;="&amp;$D147)-SUMIFS($G:$G,$B:$B,$B147,$D:$D,"&lt;="&amp;$D147))</f>
        <v/>
      </c>
      <c r="I147" s="2" t="n"/>
      <c r="J147" s="2" t="n"/>
    </row>
    <row r="148">
      <c r="A148" s="6" t="n"/>
      <c r="B148" s="6" t="n"/>
      <c r="C148" s="6" t="n"/>
      <c r="D148" s="14" t="n"/>
      <c r="E148" s="6" t="n"/>
      <c r="F148" s="15" t="n"/>
      <c r="G148" s="15" t="n"/>
      <c r="H148" s="13">
        <f>IF($B148="","",SUMIFS($F:$F,$B:$B,$B148,$D:$D,"&lt;="&amp;$D148)-SUMIFS($G:$G,$B:$B,$B148,$D:$D,"&lt;="&amp;$D148))</f>
        <v/>
      </c>
      <c r="I148" s="6" t="n"/>
      <c r="J148" s="6" t="n"/>
    </row>
    <row r="149">
      <c r="A149" s="2" t="n"/>
      <c r="B149" s="2" t="n"/>
      <c r="C149" s="2" t="n"/>
      <c r="D149" s="12" t="n"/>
      <c r="E149" s="2" t="n"/>
      <c r="F149" s="13" t="n"/>
      <c r="G149" s="13" t="n"/>
      <c r="H149" s="13">
        <f>IF($B149="","",SUMIFS($F:$F,$B:$B,$B149,$D:$D,"&lt;="&amp;$D149)-SUMIFS($G:$G,$B:$B,$B149,$D:$D,"&lt;="&amp;$D149))</f>
        <v/>
      </c>
      <c r="I149" s="2" t="n"/>
      <c r="J149" s="2" t="n"/>
    </row>
    <row r="150">
      <c r="A150" s="6" t="n"/>
      <c r="B150" s="6" t="n"/>
      <c r="C150" s="6" t="n"/>
      <c r="D150" s="14" t="n"/>
      <c r="E150" s="6" t="n"/>
      <c r="F150" s="15" t="n"/>
      <c r="G150" s="15" t="n"/>
      <c r="H150" s="13">
        <f>IF($B150="","",SUMIFS($F:$F,$B:$B,$B150,$D:$D,"&lt;="&amp;$D150)-SUMIFS($G:$G,$B:$B,$B150,$D:$D,"&lt;="&amp;$D150))</f>
        <v/>
      </c>
      <c r="I150" s="6" t="n"/>
      <c r="J150" s="6" t="n"/>
    </row>
    <row r="151">
      <c r="A151" s="2" t="n"/>
      <c r="B151" s="2" t="n"/>
      <c r="C151" s="2" t="n"/>
      <c r="D151" s="12" t="n"/>
      <c r="E151" s="2" t="n"/>
      <c r="F151" s="13" t="n"/>
      <c r="G151" s="13" t="n"/>
      <c r="H151" s="13">
        <f>IF($B151="","",SUMIFS($F:$F,$B:$B,$B151,$D:$D,"&lt;="&amp;$D151)-SUMIFS($G:$G,$B:$B,$B151,$D:$D,"&lt;="&amp;$D151))</f>
        <v/>
      </c>
      <c r="I151" s="2" t="n"/>
      <c r="J151" s="2" t="n"/>
    </row>
    <row r="152">
      <c r="A152" s="6" t="n"/>
      <c r="B152" s="6" t="n"/>
      <c r="C152" s="6" t="n"/>
      <c r="D152" s="14" t="n"/>
      <c r="E152" s="6" t="n"/>
      <c r="F152" s="15" t="n"/>
      <c r="G152" s="15" t="n"/>
      <c r="H152" s="13">
        <f>IF($B152="","",SUMIFS($F:$F,$B:$B,$B152,$D:$D,"&lt;="&amp;$D152)-SUMIFS($G:$G,$B:$B,$B152,$D:$D,"&lt;="&amp;$D152))</f>
        <v/>
      </c>
      <c r="I152" s="6" t="n"/>
      <c r="J152" s="6" t="n"/>
    </row>
    <row r="153">
      <c r="A153" s="2" t="n"/>
      <c r="B153" s="2" t="n"/>
      <c r="C153" s="2" t="n"/>
      <c r="D153" s="12" t="n"/>
      <c r="E153" s="2" t="n"/>
      <c r="F153" s="13" t="n"/>
      <c r="G153" s="13" t="n"/>
      <c r="H153" s="13">
        <f>IF($B153="","",SUMIFS($F:$F,$B:$B,$B153,$D:$D,"&lt;="&amp;$D153)-SUMIFS($G:$G,$B:$B,$B153,$D:$D,"&lt;="&amp;$D153))</f>
        <v/>
      </c>
      <c r="I153" s="2" t="n"/>
      <c r="J153" s="2" t="n"/>
    </row>
    <row r="154">
      <c r="A154" s="6" t="n"/>
      <c r="B154" s="6" t="n"/>
      <c r="C154" s="6" t="n"/>
      <c r="D154" s="14" t="n"/>
      <c r="E154" s="6" t="n"/>
      <c r="F154" s="15" t="n"/>
      <c r="G154" s="15" t="n"/>
      <c r="H154" s="13">
        <f>IF($B154="","",SUMIFS($F:$F,$B:$B,$B154,$D:$D,"&lt;="&amp;$D154)-SUMIFS($G:$G,$B:$B,$B154,$D:$D,"&lt;="&amp;$D154))</f>
        <v/>
      </c>
      <c r="I154" s="6" t="n"/>
      <c r="J154" s="6" t="n"/>
    </row>
    <row r="155">
      <c r="A155" s="2" t="n"/>
      <c r="B155" s="2" t="n"/>
      <c r="C155" s="2" t="n"/>
      <c r="D155" s="12" t="n"/>
      <c r="E155" s="2" t="n"/>
      <c r="F155" s="13" t="n"/>
      <c r="G155" s="13" t="n"/>
      <c r="H155" s="13">
        <f>IF($B155="","",SUMIFS($F:$F,$B:$B,$B155,$D:$D,"&lt;="&amp;$D155)-SUMIFS($G:$G,$B:$B,$B155,$D:$D,"&lt;="&amp;$D155))</f>
        <v/>
      </c>
      <c r="I155" s="2" t="n"/>
      <c r="J155" s="2" t="n"/>
    </row>
    <row r="156">
      <c r="A156" s="6" t="n"/>
      <c r="B156" s="6" t="n"/>
      <c r="C156" s="6" t="n"/>
      <c r="D156" s="14" t="n"/>
      <c r="E156" s="6" t="n"/>
      <c r="F156" s="15" t="n"/>
      <c r="G156" s="15" t="n"/>
      <c r="H156" s="13">
        <f>IF($B156="","",SUMIFS($F:$F,$B:$B,$B156,$D:$D,"&lt;="&amp;$D156)-SUMIFS($G:$G,$B:$B,$B156,$D:$D,"&lt;="&amp;$D156))</f>
        <v/>
      </c>
      <c r="I156" s="6" t="n"/>
      <c r="J156" s="6" t="n"/>
    </row>
    <row r="157">
      <c r="A157" s="2" t="n"/>
      <c r="B157" s="2" t="n"/>
      <c r="C157" s="2" t="n"/>
      <c r="D157" s="12" t="n"/>
      <c r="E157" s="2" t="n"/>
      <c r="F157" s="13" t="n"/>
      <c r="G157" s="13" t="n"/>
      <c r="H157" s="13">
        <f>IF($B157="","",SUMIFS($F:$F,$B:$B,$B157,$D:$D,"&lt;="&amp;$D157)-SUMIFS($G:$G,$B:$B,$B157,$D:$D,"&lt;="&amp;$D157))</f>
        <v/>
      </c>
      <c r="I157" s="2" t="n"/>
      <c r="J157" s="2" t="n"/>
    </row>
    <row r="158">
      <c r="A158" s="6" t="n"/>
      <c r="B158" s="6" t="n"/>
      <c r="C158" s="6" t="n"/>
      <c r="D158" s="14" t="n"/>
      <c r="E158" s="6" t="n"/>
      <c r="F158" s="15" t="n"/>
      <c r="G158" s="15" t="n"/>
      <c r="H158" s="13">
        <f>IF($B158="","",SUMIFS($F:$F,$B:$B,$B158,$D:$D,"&lt;="&amp;$D158)-SUMIFS($G:$G,$B:$B,$B158,$D:$D,"&lt;="&amp;$D158))</f>
        <v/>
      </c>
      <c r="I158" s="6" t="n"/>
      <c r="J158" s="6" t="n"/>
    </row>
    <row r="159">
      <c r="A159" s="2" t="n"/>
      <c r="B159" s="2" t="n"/>
      <c r="C159" s="2" t="n"/>
      <c r="D159" s="12" t="n"/>
      <c r="E159" s="2" t="n"/>
      <c r="F159" s="13" t="n"/>
      <c r="G159" s="13" t="n"/>
      <c r="H159" s="13">
        <f>IF($B159="","",SUMIFS($F:$F,$B:$B,$B159,$D:$D,"&lt;="&amp;$D159)-SUMIFS($G:$G,$B:$B,$B159,$D:$D,"&lt;="&amp;$D159))</f>
        <v/>
      </c>
      <c r="I159" s="2" t="n"/>
      <c r="J159" s="2" t="n"/>
    </row>
    <row r="160">
      <c r="A160" s="6" t="n"/>
      <c r="B160" s="6" t="n"/>
      <c r="C160" s="6" t="n"/>
      <c r="D160" s="14" t="n"/>
      <c r="E160" s="6" t="n"/>
      <c r="F160" s="15" t="n"/>
      <c r="G160" s="15" t="n"/>
      <c r="H160" s="13">
        <f>IF($B160="","",SUMIFS($F:$F,$B:$B,$B160,$D:$D,"&lt;="&amp;$D160)-SUMIFS($G:$G,$B:$B,$B160,$D:$D,"&lt;="&amp;$D160))</f>
        <v/>
      </c>
      <c r="I160" s="6" t="n"/>
      <c r="J160" s="6" t="n"/>
    </row>
    <row r="161">
      <c r="A161" s="2" t="n"/>
      <c r="B161" s="2" t="n"/>
      <c r="C161" s="2" t="n"/>
      <c r="D161" s="12" t="n"/>
      <c r="E161" s="2" t="n"/>
      <c r="F161" s="13" t="n"/>
      <c r="G161" s="13" t="n"/>
      <c r="H161" s="13">
        <f>IF($B161="","",SUMIFS($F:$F,$B:$B,$B161,$D:$D,"&lt;="&amp;$D161)-SUMIFS($G:$G,$B:$B,$B161,$D:$D,"&lt;="&amp;$D161))</f>
        <v/>
      </c>
      <c r="I161" s="2" t="n"/>
      <c r="J161" s="2" t="n"/>
    </row>
    <row r="162">
      <c r="A162" s="6" t="n"/>
      <c r="B162" s="6" t="n"/>
      <c r="C162" s="6" t="n"/>
      <c r="D162" s="14" t="n"/>
      <c r="E162" s="6" t="n"/>
      <c r="F162" s="15" t="n"/>
      <c r="G162" s="15" t="n"/>
      <c r="H162" s="13">
        <f>IF($B162="","",SUMIFS($F:$F,$B:$B,$B162,$D:$D,"&lt;="&amp;$D162)-SUMIFS($G:$G,$B:$B,$B162,$D:$D,"&lt;="&amp;$D162))</f>
        <v/>
      </c>
      <c r="I162" s="6" t="n"/>
      <c r="J162" s="6" t="n"/>
    </row>
    <row r="163">
      <c r="A163" s="2" t="n"/>
      <c r="B163" s="2" t="n"/>
      <c r="C163" s="2" t="n"/>
      <c r="D163" s="12" t="n"/>
      <c r="E163" s="2" t="n"/>
      <c r="F163" s="13" t="n"/>
      <c r="G163" s="13" t="n"/>
      <c r="H163" s="13">
        <f>IF($B163="","",SUMIFS($F:$F,$B:$B,$B163,$D:$D,"&lt;="&amp;$D163)-SUMIFS($G:$G,$B:$B,$B163,$D:$D,"&lt;="&amp;$D163))</f>
        <v/>
      </c>
      <c r="I163" s="2" t="n"/>
      <c r="J163" s="2" t="n"/>
    </row>
    <row r="164">
      <c r="A164" s="6" t="n"/>
      <c r="B164" s="6" t="n"/>
      <c r="C164" s="6" t="n"/>
      <c r="D164" s="14" t="n"/>
      <c r="E164" s="6" t="n"/>
      <c r="F164" s="15" t="n"/>
      <c r="G164" s="15" t="n"/>
      <c r="H164" s="13">
        <f>IF($B164="","",SUMIFS($F:$F,$B:$B,$B164,$D:$D,"&lt;="&amp;$D164)-SUMIFS($G:$G,$B:$B,$B164,$D:$D,"&lt;="&amp;$D164))</f>
        <v/>
      </c>
      <c r="I164" s="6" t="n"/>
      <c r="J164" s="6" t="n"/>
    </row>
    <row r="165">
      <c r="A165" s="2" t="n"/>
      <c r="B165" s="2" t="n"/>
      <c r="C165" s="2" t="n"/>
      <c r="D165" s="12" t="n"/>
      <c r="E165" s="2" t="n"/>
      <c r="F165" s="13" t="n"/>
      <c r="G165" s="13" t="n"/>
      <c r="H165" s="13">
        <f>IF($B165="","",SUMIFS($F:$F,$B:$B,$B165,$D:$D,"&lt;="&amp;$D165)-SUMIFS($G:$G,$B:$B,$B165,$D:$D,"&lt;="&amp;$D165))</f>
        <v/>
      </c>
      <c r="I165" s="2" t="n"/>
      <c r="J165" s="2" t="n"/>
    </row>
    <row r="166">
      <c r="A166" s="6" t="n"/>
      <c r="B166" s="6" t="n"/>
      <c r="C166" s="6" t="n"/>
      <c r="D166" s="14" t="n"/>
      <c r="E166" s="6" t="n"/>
      <c r="F166" s="15" t="n"/>
      <c r="G166" s="15" t="n"/>
      <c r="H166" s="13">
        <f>IF($B166="","",SUMIFS($F:$F,$B:$B,$B166,$D:$D,"&lt;="&amp;$D166)-SUMIFS($G:$G,$B:$B,$B166,$D:$D,"&lt;="&amp;$D166))</f>
        <v/>
      </c>
      <c r="I166" s="6" t="n"/>
      <c r="J166" s="6" t="n"/>
    </row>
    <row r="167">
      <c r="A167" s="2" t="n"/>
      <c r="B167" s="2" t="n"/>
      <c r="C167" s="2" t="n"/>
      <c r="D167" s="12" t="n"/>
      <c r="E167" s="2" t="n"/>
      <c r="F167" s="13" t="n"/>
      <c r="G167" s="13" t="n"/>
      <c r="H167" s="13">
        <f>IF($B167="","",SUMIFS($F:$F,$B:$B,$B167,$D:$D,"&lt;="&amp;$D167)-SUMIFS($G:$G,$B:$B,$B167,$D:$D,"&lt;="&amp;$D167))</f>
        <v/>
      </c>
      <c r="I167" s="2" t="n"/>
      <c r="J167" s="2" t="n"/>
    </row>
    <row r="168">
      <c r="A168" s="6" t="n"/>
      <c r="B168" s="6" t="n"/>
      <c r="C168" s="6" t="n"/>
      <c r="D168" s="14" t="n"/>
      <c r="E168" s="6" t="n"/>
      <c r="F168" s="15" t="n"/>
      <c r="G168" s="15" t="n"/>
      <c r="H168" s="13">
        <f>IF($B168="","",SUMIFS($F:$F,$B:$B,$B168,$D:$D,"&lt;="&amp;$D168)-SUMIFS($G:$G,$B:$B,$B168,$D:$D,"&lt;="&amp;$D168))</f>
        <v/>
      </c>
      <c r="I168" s="6" t="n"/>
      <c r="J168" s="6" t="n"/>
    </row>
    <row r="169">
      <c r="A169" s="2" t="n"/>
      <c r="B169" s="2" t="n"/>
      <c r="C169" s="2" t="n"/>
      <c r="D169" s="12" t="n"/>
      <c r="E169" s="2" t="n"/>
      <c r="F169" s="13" t="n"/>
      <c r="G169" s="13" t="n"/>
      <c r="H169" s="13">
        <f>IF($B169="","",SUMIFS($F:$F,$B:$B,$B169,$D:$D,"&lt;="&amp;$D169)-SUMIFS($G:$G,$B:$B,$B169,$D:$D,"&lt;="&amp;$D169))</f>
        <v/>
      </c>
      <c r="I169" s="2" t="n"/>
      <c r="J169" s="2" t="n"/>
    </row>
    <row r="170">
      <c r="A170" s="6" t="n"/>
      <c r="B170" s="6" t="n"/>
      <c r="C170" s="6" t="n"/>
      <c r="D170" s="14" t="n"/>
      <c r="E170" s="6" t="n"/>
      <c r="F170" s="15" t="n"/>
      <c r="G170" s="15" t="n"/>
      <c r="H170" s="13">
        <f>IF($B170="","",SUMIFS($F:$F,$B:$B,$B170,$D:$D,"&lt;="&amp;$D170)-SUMIFS($G:$G,$B:$B,$B170,$D:$D,"&lt;="&amp;$D170))</f>
        <v/>
      </c>
      <c r="I170" s="6" t="n"/>
      <c r="J170" s="6" t="n"/>
    </row>
    <row r="171">
      <c r="A171" s="2" t="n"/>
      <c r="B171" s="2" t="n"/>
      <c r="C171" s="2" t="n"/>
      <c r="D171" s="12" t="n"/>
      <c r="E171" s="2" t="n"/>
      <c r="F171" s="13" t="n"/>
      <c r="G171" s="13" t="n"/>
      <c r="H171" s="13">
        <f>IF($B171="","",SUMIFS($F:$F,$B:$B,$B171,$D:$D,"&lt;="&amp;$D171)-SUMIFS($G:$G,$B:$B,$B171,$D:$D,"&lt;="&amp;$D171))</f>
        <v/>
      </c>
      <c r="I171" s="2" t="n"/>
      <c r="J171" s="2" t="n"/>
    </row>
    <row r="172">
      <c r="A172" s="6" t="n"/>
      <c r="B172" s="6" t="n"/>
      <c r="C172" s="6" t="n"/>
      <c r="D172" s="14" t="n"/>
      <c r="E172" s="6" t="n"/>
      <c r="F172" s="15" t="n"/>
      <c r="G172" s="15" t="n"/>
      <c r="H172" s="13">
        <f>IF($B172="","",SUMIFS($F:$F,$B:$B,$B172,$D:$D,"&lt;="&amp;$D172)-SUMIFS($G:$G,$B:$B,$B172,$D:$D,"&lt;="&amp;$D172))</f>
        <v/>
      </c>
      <c r="I172" s="6" t="n"/>
      <c r="J172" s="6" t="n"/>
    </row>
    <row r="173">
      <c r="A173" s="2" t="n"/>
      <c r="B173" s="2" t="n"/>
      <c r="C173" s="2" t="n"/>
      <c r="D173" s="12" t="n"/>
      <c r="E173" s="2" t="n"/>
      <c r="F173" s="13" t="n"/>
      <c r="G173" s="13" t="n"/>
      <c r="H173" s="13">
        <f>IF($B173="","",SUMIFS($F:$F,$B:$B,$B173,$D:$D,"&lt;="&amp;$D173)-SUMIFS($G:$G,$B:$B,$B173,$D:$D,"&lt;="&amp;$D173))</f>
        <v/>
      </c>
      <c r="I173" s="2" t="n"/>
      <c r="J173" s="2" t="n"/>
    </row>
    <row r="174">
      <c r="A174" s="6" t="n"/>
      <c r="B174" s="6" t="n"/>
      <c r="C174" s="6" t="n"/>
      <c r="D174" s="14" t="n"/>
      <c r="E174" s="6" t="n"/>
      <c r="F174" s="15" t="n"/>
      <c r="G174" s="15" t="n"/>
      <c r="H174" s="13">
        <f>IF($B174="","",SUMIFS($F:$F,$B:$B,$B174,$D:$D,"&lt;="&amp;$D174)-SUMIFS($G:$G,$B:$B,$B174,$D:$D,"&lt;="&amp;$D174))</f>
        <v/>
      </c>
      <c r="I174" s="6" t="n"/>
      <c r="J174" s="6" t="n"/>
    </row>
    <row r="175">
      <c r="A175" s="2" t="n"/>
      <c r="B175" s="2" t="n"/>
      <c r="C175" s="2" t="n"/>
      <c r="D175" s="12" t="n"/>
      <c r="E175" s="2" t="n"/>
      <c r="F175" s="13" t="n"/>
      <c r="G175" s="13" t="n"/>
      <c r="H175" s="13">
        <f>IF($B175="","",SUMIFS($F:$F,$B:$B,$B175,$D:$D,"&lt;="&amp;$D175)-SUMIFS($G:$G,$B:$B,$B175,$D:$D,"&lt;="&amp;$D175))</f>
        <v/>
      </c>
      <c r="I175" s="2" t="n"/>
      <c r="J175" s="2" t="n"/>
    </row>
    <row r="176">
      <c r="A176" s="6" t="n"/>
      <c r="B176" s="6" t="n"/>
      <c r="C176" s="6" t="n"/>
      <c r="D176" s="14" t="n"/>
      <c r="E176" s="6" t="n"/>
      <c r="F176" s="15" t="n"/>
      <c r="G176" s="15" t="n"/>
      <c r="H176" s="13">
        <f>IF($B176="","",SUMIFS($F:$F,$B:$B,$B176,$D:$D,"&lt;="&amp;$D176)-SUMIFS($G:$G,$B:$B,$B176,$D:$D,"&lt;="&amp;$D176))</f>
        <v/>
      </c>
      <c r="I176" s="6" t="n"/>
      <c r="J176" s="6" t="n"/>
    </row>
    <row r="177">
      <c r="A177" s="2" t="n"/>
      <c r="B177" s="2" t="n"/>
      <c r="C177" s="2" t="n"/>
      <c r="D177" s="12" t="n"/>
      <c r="E177" s="2" t="n"/>
      <c r="F177" s="13" t="n"/>
      <c r="G177" s="13" t="n"/>
      <c r="H177" s="13">
        <f>IF($B177="","",SUMIFS($F:$F,$B:$B,$B177,$D:$D,"&lt;="&amp;$D177)-SUMIFS($G:$G,$B:$B,$B177,$D:$D,"&lt;="&amp;$D177))</f>
        <v/>
      </c>
      <c r="I177" s="2" t="n"/>
      <c r="J177" s="2" t="n"/>
    </row>
    <row r="178">
      <c r="A178" s="6" t="n"/>
      <c r="B178" s="6" t="n"/>
      <c r="C178" s="6" t="n"/>
      <c r="D178" s="14" t="n"/>
      <c r="E178" s="6" t="n"/>
      <c r="F178" s="15" t="n"/>
      <c r="G178" s="15" t="n"/>
      <c r="H178" s="13">
        <f>IF($B178="","",SUMIFS($F:$F,$B:$B,$B178,$D:$D,"&lt;="&amp;$D178)-SUMIFS($G:$G,$B:$B,$B178,$D:$D,"&lt;="&amp;$D178))</f>
        <v/>
      </c>
      <c r="I178" s="6" t="n"/>
      <c r="J178" s="6" t="n"/>
    </row>
    <row r="179">
      <c r="A179" s="2" t="n"/>
      <c r="B179" s="2" t="n"/>
      <c r="C179" s="2" t="n"/>
      <c r="D179" s="12" t="n"/>
      <c r="E179" s="2" t="n"/>
      <c r="F179" s="13" t="n"/>
      <c r="G179" s="13" t="n"/>
      <c r="H179" s="13">
        <f>IF($B179="","",SUMIFS($F:$F,$B:$B,$B179,$D:$D,"&lt;="&amp;$D179)-SUMIFS($G:$G,$B:$B,$B179,$D:$D,"&lt;="&amp;$D179))</f>
        <v/>
      </c>
      <c r="I179" s="2" t="n"/>
      <c r="J179" s="2" t="n"/>
    </row>
    <row r="180">
      <c r="A180" s="6" t="n"/>
      <c r="B180" s="6" t="n"/>
      <c r="C180" s="6" t="n"/>
      <c r="D180" s="14" t="n"/>
      <c r="E180" s="6" t="n"/>
      <c r="F180" s="15" t="n"/>
      <c r="G180" s="15" t="n"/>
      <c r="H180" s="13">
        <f>IF($B180="","",SUMIFS($F:$F,$B:$B,$B180,$D:$D,"&lt;="&amp;$D180)-SUMIFS($G:$G,$B:$B,$B180,$D:$D,"&lt;="&amp;$D180))</f>
        <v/>
      </c>
      <c r="I180" s="6" t="n"/>
      <c r="J180" s="6" t="n"/>
    </row>
    <row r="181">
      <c r="A181" s="2" t="n"/>
      <c r="B181" s="2" t="n"/>
      <c r="C181" s="2" t="n"/>
      <c r="D181" s="12" t="n"/>
      <c r="E181" s="2" t="n"/>
      <c r="F181" s="13" t="n"/>
      <c r="G181" s="13" t="n"/>
      <c r="H181" s="13">
        <f>IF($B181="","",SUMIFS($F:$F,$B:$B,$B181,$D:$D,"&lt;="&amp;$D181)-SUMIFS($G:$G,$B:$B,$B181,$D:$D,"&lt;="&amp;$D181))</f>
        <v/>
      </c>
      <c r="I181" s="2" t="n"/>
      <c r="J181" s="2" t="n"/>
    </row>
    <row r="182">
      <c r="A182" s="6" t="n"/>
      <c r="B182" s="6" t="n"/>
      <c r="C182" s="6" t="n"/>
      <c r="D182" s="14" t="n"/>
      <c r="E182" s="6" t="n"/>
      <c r="F182" s="15" t="n"/>
      <c r="G182" s="15" t="n"/>
      <c r="H182" s="13">
        <f>IF($B182="","",SUMIFS($F:$F,$B:$B,$B182,$D:$D,"&lt;="&amp;$D182)-SUMIFS($G:$G,$B:$B,$B182,$D:$D,"&lt;="&amp;$D182))</f>
        <v/>
      </c>
      <c r="I182" s="6" t="n"/>
      <c r="J182" s="6" t="n"/>
    </row>
    <row r="183">
      <c r="A183" s="2" t="n"/>
      <c r="B183" s="2" t="n"/>
      <c r="C183" s="2" t="n"/>
      <c r="D183" s="12" t="n"/>
      <c r="E183" s="2" t="n"/>
      <c r="F183" s="13" t="n"/>
      <c r="G183" s="13" t="n"/>
      <c r="H183" s="13">
        <f>IF($B183="","",SUMIFS($F:$F,$B:$B,$B183,$D:$D,"&lt;="&amp;$D183)-SUMIFS($G:$G,$B:$B,$B183,$D:$D,"&lt;="&amp;$D183))</f>
        <v/>
      </c>
      <c r="I183" s="2" t="n"/>
      <c r="J183" s="2" t="n"/>
    </row>
    <row r="184">
      <c r="A184" s="6" t="n"/>
      <c r="B184" s="6" t="n"/>
      <c r="C184" s="6" t="n"/>
      <c r="D184" s="14" t="n"/>
      <c r="E184" s="6" t="n"/>
      <c r="F184" s="15" t="n"/>
      <c r="G184" s="15" t="n"/>
      <c r="H184" s="13">
        <f>IF($B184="","",SUMIFS($F:$F,$B:$B,$B184,$D:$D,"&lt;="&amp;$D184)-SUMIFS($G:$G,$B:$B,$B184,$D:$D,"&lt;="&amp;$D184))</f>
        <v/>
      </c>
      <c r="I184" s="6" t="n"/>
      <c r="J184" s="6" t="n"/>
    </row>
    <row r="185">
      <c r="A185" s="2" t="n"/>
      <c r="B185" s="2" t="n"/>
      <c r="C185" s="2" t="n"/>
      <c r="D185" s="12" t="n"/>
      <c r="E185" s="2" t="n"/>
      <c r="F185" s="13" t="n"/>
      <c r="G185" s="13" t="n"/>
      <c r="H185" s="13">
        <f>IF($B185="","",SUMIFS($F:$F,$B:$B,$B185,$D:$D,"&lt;="&amp;$D185)-SUMIFS($G:$G,$B:$B,$B185,$D:$D,"&lt;="&amp;$D185))</f>
        <v/>
      </c>
      <c r="I185" s="2" t="n"/>
      <c r="J185" s="2" t="n"/>
    </row>
    <row r="186">
      <c r="A186" s="6" t="n"/>
      <c r="B186" s="6" t="n"/>
      <c r="C186" s="6" t="n"/>
      <c r="D186" s="14" t="n"/>
      <c r="E186" s="6" t="n"/>
      <c r="F186" s="15" t="n"/>
      <c r="G186" s="15" t="n"/>
      <c r="H186" s="13">
        <f>IF($B186="","",SUMIFS($F:$F,$B:$B,$B186,$D:$D,"&lt;="&amp;$D186)-SUMIFS($G:$G,$B:$B,$B186,$D:$D,"&lt;="&amp;$D186))</f>
        <v/>
      </c>
      <c r="I186" s="6" t="n"/>
      <c r="J186" s="6" t="n"/>
    </row>
    <row r="187">
      <c r="A187" s="2" t="n"/>
      <c r="B187" s="2" t="n"/>
      <c r="C187" s="2" t="n"/>
      <c r="D187" s="12" t="n"/>
      <c r="E187" s="2" t="n"/>
      <c r="F187" s="13" t="n"/>
      <c r="G187" s="13" t="n"/>
      <c r="H187" s="13">
        <f>IF($B187="","",SUMIFS($F:$F,$B:$B,$B187,$D:$D,"&lt;="&amp;$D187)-SUMIFS($G:$G,$B:$B,$B187,$D:$D,"&lt;="&amp;$D187))</f>
        <v/>
      </c>
      <c r="I187" s="2" t="n"/>
      <c r="J187" s="2" t="n"/>
    </row>
    <row r="188">
      <c r="A188" s="6" t="n"/>
      <c r="B188" s="6" t="n"/>
      <c r="C188" s="6" t="n"/>
      <c r="D188" s="14" t="n"/>
      <c r="E188" s="6" t="n"/>
      <c r="F188" s="15" t="n"/>
      <c r="G188" s="15" t="n"/>
      <c r="H188" s="13">
        <f>IF($B188="","",SUMIFS($F:$F,$B:$B,$B188,$D:$D,"&lt;="&amp;$D188)-SUMIFS($G:$G,$B:$B,$B188,$D:$D,"&lt;="&amp;$D188))</f>
        <v/>
      </c>
      <c r="I188" s="6" t="n"/>
      <c r="J188" s="6" t="n"/>
    </row>
    <row r="189">
      <c r="A189" s="2" t="n"/>
      <c r="B189" s="2" t="n"/>
      <c r="C189" s="2" t="n"/>
      <c r="D189" s="12" t="n"/>
      <c r="E189" s="2" t="n"/>
      <c r="F189" s="13" t="n"/>
      <c r="G189" s="13" t="n"/>
      <c r="H189" s="13">
        <f>IF($B189="","",SUMIFS($F:$F,$B:$B,$B189,$D:$D,"&lt;="&amp;$D189)-SUMIFS($G:$G,$B:$B,$B189,$D:$D,"&lt;="&amp;$D189))</f>
        <v/>
      </c>
      <c r="I189" s="2" t="n"/>
      <c r="J189" s="2" t="n"/>
    </row>
    <row r="190">
      <c r="A190" s="6" t="n"/>
      <c r="B190" s="6" t="n"/>
      <c r="C190" s="6" t="n"/>
      <c r="D190" s="14" t="n"/>
      <c r="E190" s="6" t="n"/>
      <c r="F190" s="15" t="n"/>
      <c r="G190" s="15" t="n"/>
      <c r="H190" s="13">
        <f>IF($B190="","",SUMIFS($F:$F,$B:$B,$B190,$D:$D,"&lt;="&amp;$D190)-SUMIFS($G:$G,$B:$B,$B190,$D:$D,"&lt;="&amp;$D190))</f>
        <v/>
      </c>
      <c r="I190" s="6" t="n"/>
      <c r="J190" s="6" t="n"/>
    </row>
    <row r="191">
      <c r="A191" s="2" t="n"/>
      <c r="B191" s="2" t="n"/>
      <c r="C191" s="2" t="n"/>
      <c r="D191" s="12" t="n"/>
      <c r="E191" s="2" t="n"/>
      <c r="F191" s="13" t="n"/>
      <c r="G191" s="13" t="n"/>
      <c r="H191" s="13">
        <f>IF($B191="","",SUMIFS($F:$F,$B:$B,$B191,$D:$D,"&lt;="&amp;$D191)-SUMIFS($G:$G,$B:$B,$B191,$D:$D,"&lt;="&amp;$D191))</f>
        <v/>
      </c>
      <c r="I191" s="2" t="n"/>
      <c r="J191" s="2" t="n"/>
    </row>
    <row r="192">
      <c r="A192" s="6" t="n"/>
      <c r="B192" s="6" t="n"/>
      <c r="C192" s="6" t="n"/>
      <c r="D192" s="14" t="n"/>
      <c r="E192" s="6" t="n"/>
      <c r="F192" s="15" t="n"/>
      <c r="G192" s="15" t="n"/>
      <c r="H192" s="13">
        <f>IF($B192="","",SUMIFS($F:$F,$B:$B,$B192,$D:$D,"&lt;="&amp;$D192)-SUMIFS($G:$G,$B:$B,$B192,$D:$D,"&lt;="&amp;$D192))</f>
        <v/>
      </c>
      <c r="I192" s="6" t="n"/>
      <c r="J192" s="6" t="n"/>
    </row>
    <row r="193">
      <c r="A193" s="2" t="n"/>
      <c r="B193" s="2" t="n"/>
      <c r="C193" s="2" t="n"/>
      <c r="D193" s="12" t="n"/>
      <c r="E193" s="2" t="n"/>
      <c r="F193" s="13" t="n"/>
      <c r="G193" s="13" t="n"/>
      <c r="H193" s="13">
        <f>IF($B193="","",SUMIFS($F:$F,$B:$B,$B193,$D:$D,"&lt;="&amp;$D193)-SUMIFS($G:$G,$B:$B,$B193,$D:$D,"&lt;="&amp;$D193))</f>
        <v/>
      </c>
      <c r="I193" s="2" t="n"/>
      <c r="J193" s="2" t="n"/>
    </row>
    <row r="194">
      <c r="A194" s="6" t="n"/>
      <c r="B194" s="6" t="n"/>
      <c r="C194" s="6" t="n"/>
      <c r="D194" s="14" t="n"/>
      <c r="E194" s="6" t="n"/>
      <c r="F194" s="15" t="n"/>
      <c r="G194" s="15" t="n"/>
      <c r="H194" s="13">
        <f>IF($B194="","",SUMIFS($F:$F,$B:$B,$B194,$D:$D,"&lt;="&amp;$D194)-SUMIFS($G:$G,$B:$B,$B194,$D:$D,"&lt;="&amp;$D194))</f>
        <v/>
      </c>
      <c r="I194" s="6" t="n"/>
      <c r="J194" s="6" t="n"/>
    </row>
    <row r="195">
      <c r="A195" s="2" t="n"/>
      <c r="B195" s="2" t="n"/>
      <c r="C195" s="2" t="n"/>
      <c r="D195" s="12" t="n"/>
      <c r="E195" s="2" t="n"/>
      <c r="F195" s="13" t="n"/>
      <c r="G195" s="13" t="n"/>
      <c r="H195" s="13">
        <f>IF($B195="","",SUMIFS($F:$F,$B:$B,$B195,$D:$D,"&lt;="&amp;$D195)-SUMIFS($G:$G,$B:$B,$B195,$D:$D,"&lt;="&amp;$D195))</f>
        <v/>
      </c>
      <c r="I195" s="2" t="n"/>
      <c r="J195" s="2" t="n"/>
    </row>
    <row r="196">
      <c r="A196" s="6" t="n"/>
      <c r="B196" s="6" t="n"/>
      <c r="C196" s="6" t="n"/>
      <c r="D196" s="14" t="n"/>
      <c r="E196" s="6" t="n"/>
      <c r="F196" s="15" t="n"/>
      <c r="G196" s="15" t="n"/>
      <c r="H196" s="13">
        <f>IF($B196="","",SUMIFS($F:$F,$B:$B,$B196,$D:$D,"&lt;="&amp;$D196)-SUMIFS($G:$G,$B:$B,$B196,$D:$D,"&lt;="&amp;$D196))</f>
        <v/>
      </c>
      <c r="I196" s="6" t="n"/>
      <c r="J196" s="6" t="n"/>
    </row>
    <row r="197">
      <c r="A197" s="2" t="n"/>
      <c r="B197" s="2" t="n"/>
      <c r="C197" s="2" t="n"/>
      <c r="D197" s="12" t="n"/>
      <c r="E197" s="2" t="n"/>
      <c r="F197" s="13" t="n"/>
      <c r="G197" s="13" t="n"/>
      <c r="H197" s="13">
        <f>IF($B197="","",SUMIFS($F:$F,$B:$B,$B197,$D:$D,"&lt;="&amp;$D197)-SUMIFS($G:$G,$B:$B,$B197,$D:$D,"&lt;="&amp;$D197))</f>
        <v/>
      </c>
      <c r="I197" s="2" t="n"/>
      <c r="J197" s="2" t="n"/>
    </row>
    <row r="198">
      <c r="A198" s="6" t="n"/>
      <c r="B198" s="6" t="n"/>
      <c r="C198" s="6" t="n"/>
      <c r="D198" s="14" t="n"/>
      <c r="E198" s="6" t="n"/>
      <c r="F198" s="15" t="n"/>
      <c r="G198" s="15" t="n"/>
      <c r="H198" s="13">
        <f>IF($B198="","",SUMIFS($F:$F,$B:$B,$B198,$D:$D,"&lt;="&amp;$D198)-SUMIFS($G:$G,$B:$B,$B198,$D:$D,"&lt;="&amp;$D198))</f>
        <v/>
      </c>
      <c r="I198" s="6" t="n"/>
      <c r="J198" s="6" t="n"/>
    </row>
    <row r="199">
      <c r="A199" s="2" t="n"/>
      <c r="B199" s="2" t="n"/>
      <c r="C199" s="2" t="n"/>
      <c r="D199" s="12" t="n"/>
      <c r="E199" s="2" t="n"/>
      <c r="F199" s="13" t="n"/>
      <c r="G199" s="13" t="n"/>
      <c r="H199" s="13">
        <f>IF($B199="","",SUMIFS($F:$F,$B:$B,$B199,$D:$D,"&lt;="&amp;$D199)-SUMIFS($G:$G,$B:$B,$B199,$D:$D,"&lt;="&amp;$D199))</f>
        <v/>
      </c>
      <c r="I199" s="2" t="n"/>
      <c r="J199" s="2" t="n"/>
    </row>
    <row r="200">
      <c r="A200" s="6" t="n"/>
      <c r="B200" s="6" t="n"/>
      <c r="C200" s="6" t="n"/>
      <c r="D200" s="14" t="n"/>
      <c r="E200" s="6" t="n"/>
      <c r="F200" s="15" t="n"/>
      <c r="G200" s="15" t="n"/>
      <c r="H200" s="13">
        <f>IF($B200="","",SUMIFS($F:$F,$B:$B,$B200,$D:$D,"&lt;="&amp;$D200)-SUMIFS($G:$G,$B:$B,$B200,$D:$D,"&lt;="&amp;$D200))</f>
        <v/>
      </c>
      <c r="I200" s="6" t="n"/>
      <c r="J200" s="6" t="n"/>
    </row>
    <row r="201">
      <c r="A201" s="2" t="n"/>
      <c r="B201" s="2" t="n"/>
      <c r="C201" s="2" t="n"/>
      <c r="D201" s="12" t="n"/>
      <c r="E201" s="2" t="n"/>
      <c r="F201" s="13" t="n"/>
      <c r="G201" s="13" t="n"/>
      <c r="H201" s="13">
        <f>IF($B201="","",SUMIFS($F:$F,$B:$B,$B201,$D:$D,"&lt;="&amp;$D201)-SUMIFS($G:$G,$B:$B,$B201,$D:$D,"&lt;="&amp;$D201))</f>
        <v/>
      </c>
      <c r="I201" s="2" t="n"/>
      <c r="J201" s="2" t="n"/>
    </row>
    <row r="202">
      <c r="A202" s="6" t="n"/>
      <c r="B202" s="6" t="n"/>
      <c r="C202" s="6" t="n"/>
      <c r="D202" s="14" t="n"/>
      <c r="E202" s="6" t="n"/>
      <c r="F202" s="15" t="n"/>
      <c r="G202" s="15" t="n"/>
      <c r="H202" s="13">
        <f>IF($B202="","",SUMIFS($F:$F,$B:$B,$B202,$D:$D,"&lt;="&amp;$D202)-SUMIFS($G:$G,$B:$B,$B202,$D:$D,"&lt;="&amp;$D202))</f>
        <v/>
      </c>
      <c r="I202" s="6" t="n"/>
      <c r="J202" s="6" t="n"/>
    </row>
    <row r="203">
      <c r="A203" s="2" t="n"/>
      <c r="B203" s="2" t="n"/>
      <c r="C203" s="2" t="n"/>
      <c r="D203" s="12" t="n"/>
      <c r="E203" s="2" t="n"/>
      <c r="F203" s="13" t="n"/>
      <c r="G203" s="13" t="n"/>
      <c r="H203" s="13">
        <f>IF($B203="","",SUMIFS($F:$F,$B:$B,$B203,$D:$D,"&lt;="&amp;$D203)-SUMIFS($G:$G,$B:$B,$B203,$D:$D,"&lt;="&amp;$D203))</f>
        <v/>
      </c>
      <c r="I203" s="2" t="n"/>
      <c r="J203" s="2" t="n"/>
    </row>
    <row r="204">
      <c r="A204" s="6" t="n"/>
      <c r="B204" s="6" t="n"/>
      <c r="C204" s="6" t="n"/>
      <c r="D204" s="14" t="n"/>
      <c r="E204" s="6" t="n"/>
      <c r="F204" s="15" t="n"/>
      <c r="G204" s="15" t="n"/>
      <c r="H204" s="13">
        <f>IF($B204="","",SUMIFS($F:$F,$B:$B,$B204,$D:$D,"&lt;="&amp;$D204)-SUMIFS($G:$G,$B:$B,$B204,$D:$D,"&lt;="&amp;$D204))</f>
        <v/>
      </c>
      <c r="I204" s="6" t="n"/>
      <c r="J204" s="6" t="n"/>
    </row>
    <row r="205">
      <c r="A205" s="2" t="n"/>
      <c r="B205" s="2" t="n"/>
      <c r="C205" s="2" t="n"/>
      <c r="D205" s="12" t="n"/>
      <c r="E205" s="2" t="n"/>
      <c r="F205" s="13" t="n"/>
      <c r="G205" s="13" t="n"/>
      <c r="H205" s="13">
        <f>IF($B205="","",SUMIFS($F:$F,$B:$B,$B205,$D:$D,"&lt;="&amp;$D205)-SUMIFS($G:$G,$B:$B,$B205,$D:$D,"&lt;="&amp;$D205))</f>
        <v/>
      </c>
      <c r="I205" s="2" t="n"/>
      <c r="J205" s="2" t="n"/>
    </row>
    <row r="206">
      <c r="A206" s="6" t="n"/>
      <c r="B206" s="6" t="n"/>
      <c r="C206" s="6" t="n"/>
      <c r="D206" s="14" t="n"/>
      <c r="E206" s="6" t="n"/>
      <c r="F206" s="15" t="n"/>
      <c r="G206" s="15" t="n"/>
      <c r="H206" s="13">
        <f>IF($B206="","",SUMIFS($F:$F,$B:$B,$B206,$D:$D,"&lt;="&amp;$D206)-SUMIFS($G:$G,$B:$B,$B206,$D:$D,"&lt;="&amp;$D206))</f>
        <v/>
      </c>
      <c r="I206" s="6" t="n"/>
      <c r="J206" s="6" t="n"/>
    </row>
    <row r="207">
      <c r="A207" s="2" t="n"/>
      <c r="B207" s="2" t="n"/>
      <c r="C207" s="2" t="n"/>
      <c r="D207" s="12" t="n"/>
      <c r="E207" s="2" t="n"/>
      <c r="F207" s="13" t="n"/>
      <c r="G207" s="13" t="n"/>
      <c r="H207" s="13">
        <f>IF($B207="","",SUMIFS($F:$F,$B:$B,$B207,$D:$D,"&lt;="&amp;$D207)-SUMIFS($G:$G,$B:$B,$B207,$D:$D,"&lt;="&amp;$D207))</f>
        <v/>
      </c>
      <c r="I207" s="2" t="n"/>
      <c r="J207" s="2" t="n"/>
    </row>
    <row r="208">
      <c r="A208" s="6" t="n"/>
      <c r="B208" s="6" t="n"/>
      <c r="C208" s="6" t="n"/>
      <c r="D208" s="14" t="n"/>
      <c r="E208" s="6" t="n"/>
      <c r="F208" s="15" t="n"/>
      <c r="G208" s="15" t="n"/>
      <c r="H208" s="13">
        <f>IF($B208="","",SUMIFS($F:$F,$B:$B,$B208,$D:$D,"&lt;="&amp;$D208)-SUMIFS($G:$G,$B:$B,$B208,$D:$D,"&lt;="&amp;$D208))</f>
        <v/>
      </c>
      <c r="I208" s="6" t="n"/>
      <c r="J208" s="6" t="n"/>
    </row>
    <row r="209">
      <c r="A209" s="2" t="n"/>
      <c r="B209" s="2" t="n"/>
      <c r="C209" s="2" t="n"/>
      <c r="D209" s="12" t="n"/>
      <c r="E209" s="2" t="n"/>
      <c r="F209" s="13" t="n"/>
      <c r="G209" s="13" t="n"/>
      <c r="H209" s="13">
        <f>IF($B209="","",SUMIFS($F:$F,$B:$B,$B209,$D:$D,"&lt;="&amp;$D209)-SUMIFS($G:$G,$B:$B,$B209,$D:$D,"&lt;="&amp;$D209))</f>
        <v/>
      </c>
      <c r="I209" s="2" t="n"/>
      <c r="J209" s="2" t="n"/>
    </row>
    <row r="210">
      <c r="A210" s="6" t="n"/>
      <c r="B210" s="6" t="n"/>
      <c r="C210" s="6" t="n"/>
      <c r="D210" s="14" t="n"/>
      <c r="E210" s="6" t="n"/>
      <c r="F210" s="15" t="n"/>
      <c r="G210" s="15" t="n"/>
      <c r="H210" s="13">
        <f>IF($B210="","",SUMIFS($F:$F,$B:$B,$B210,$D:$D,"&lt;="&amp;$D210)-SUMIFS($G:$G,$B:$B,$B210,$D:$D,"&lt;="&amp;$D210))</f>
        <v/>
      </c>
      <c r="I210" s="6" t="n"/>
      <c r="J210" s="6" t="n"/>
    </row>
    <row r="211">
      <c r="A211" s="2" t="n"/>
      <c r="B211" s="2" t="n"/>
      <c r="C211" s="2" t="n"/>
      <c r="D211" s="12" t="n"/>
      <c r="E211" s="2" t="n"/>
      <c r="F211" s="13" t="n"/>
      <c r="G211" s="13" t="n"/>
      <c r="H211" s="13">
        <f>IF($B211="","",SUMIFS($F:$F,$B:$B,$B211,$D:$D,"&lt;="&amp;$D211)-SUMIFS($G:$G,$B:$B,$B211,$D:$D,"&lt;="&amp;$D211))</f>
        <v/>
      </c>
      <c r="I211" s="2" t="n"/>
      <c r="J211" s="2" t="n"/>
    </row>
    <row r="212">
      <c r="A212" s="6" t="n"/>
      <c r="B212" s="6" t="n"/>
      <c r="C212" s="6" t="n"/>
      <c r="D212" s="14" t="n"/>
      <c r="E212" s="6" t="n"/>
      <c r="F212" s="15" t="n"/>
      <c r="G212" s="15" t="n"/>
      <c r="H212" s="13">
        <f>IF($B212="","",SUMIFS($F:$F,$B:$B,$B212,$D:$D,"&lt;="&amp;$D212)-SUMIFS($G:$G,$B:$B,$B212,$D:$D,"&lt;="&amp;$D212))</f>
        <v/>
      </c>
      <c r="I212" s="6" t="n"/>
      <c r="J212" s="6" t="n"/>
    </row>
    <row r="213">
      <c r="A213" s="2" t="n"/>
      <c r="B213" s="2" t="n"/>
      <c r="C213" s="2" t="n"/>
      <c r="D213" s="12" t="n"/>
      <c r="E213" s="2" t="n"/>
      <c r="F213" s="13" t="n"/>
      <c r="G213" s="13" t="n"/>
      <c r="H213" s="13">
        <f>IF($B213="","",SUMIFS($F:$F,$B:$B,$B213,$D:$D,"&lt;="&amp;$D213)-SUMIFS($G:$G,$B:$B,$B213,$D:$D,"&lt;="&amp;$D213))</f>
        <v/>
      </c>
      <c r="I213" s="2" t="n"/>
      <c r="J213" s="2" t="n"/>
    </row>
    <row r="214">
      <c r="A214" s="6" t="n"/>
      <c r="B214" s="6" t="n"/>
      <c r="C214" s="6" t="n"/>
      <c r="D214" s="14" t="n"/>
      <c r="E214" s="6" t="n"/>
      <c r="F214" s="15" t="n"/>
      <c r="G214" s="15" t="n"/>
      <c r="H214" s="13">
        <f>IF($B214="","",SUMIFS($F:$F,$B:$B,$B214,$D:$D,"&lt;="&amp;$D214)-SUMIFS($G:$G,$B:$B,$B214,$D:$D,"&lt;="&amp;$D214))</f>
        <v/>
      </c>
      <c r="I214" s="6" t="n"/>
      <c r="J214" s="6" t="n"/>
    </row>
    <row r="215">
      <c r="A215" s="2" t="n"/>
      <c r="B215" s="2" t="n"/>
      <c r="C215" s="2" t="n"/>
      <c r="D215" s="12" t="n"/>
      <c r="E215" s="2" t="n"/>
      <c r="F215" s="13" t="n"/>
      <c r="G215" s="13" t="n"/>
      <c r="H215" s="13">
        <f>IF($B215="","",SUMIFS($F:$F,$B:$B,$B215,$D:$D,"&lt;="&amp;$D215)-SUMIFS($G:$G,$B:$B,$B215,$D:$D,"&lt;="&amp;$D215))</f>
        <v/>
      </c>
      <c r="I215" s="2" t="n"/>
      <c r="J215" s="2" t="n"/>
    </row>
    <row r="216">
      <c r="A216" s="6" t="n"/>
      <c r="B216" s="6" t="n"/>
      <c r="C216" s="6" t="n"/>
      <c r="D216" s="14" t="n"/>
      <c r="E216" s="6" t="n"/>
      <c r="F216" s="15" t="n"/>
      <c r="G216" s="15" t="n"/>
      <c r="H216" s="13">
        <f>IF($B216="","",SUMIFS($F:$F,$B:$B,$B216,$D:$D,"&lt;="&amp;$D216)-SUMIFS($G:$G,$B:$B,$B216,$D:$D,"&lt;="&amp;$D216))</f>
        <v/>
      </c>
      <c r="I216" s="6" t="n"/>
      <c r="J216" s="6" t="n"/>
    </row>
    <row r="217">
      <c r="A217" s="2" t="n"/>
      <c r="B217" s="2" t="n"/>
      <c r="C217" s="2" t="n"/>
      <c r="D217" s="12" t="n"/>
      <c r="E217" s="2" t="n"/>
      <c r="F217" s="13" t="n"/>
      <c r="G217" s="13" t="n"/>
      <c r="H217" s="13">
        <f>IF($B217="","",SUMIFS($F:$F,$B:$B,$B217,$D:$D,"&lt;="&amp;$D217)-SUMIFS($G:$G,$B:$B,$B217,$D:$D,"&lt;="&amp;$D217))</f>
        <v/>
      </c>
      <c r="I217" s="2" t="n"/>
      <c r="J217" s="2" t="n"/>
    </row>
    <row r="218">
      <c r="A218" s="6" t="n"/>
      <c r="B218" s="6" t="n"/>
      <c r="C218" s="6" t="n"/>
      <c r="D218" s="14" t="n"/>
      <c r="E218" s="6" t="n"/>
      <c r="F218" s="15" t="n"/>
      <c r="G218" s="15" t="n"/>
      <c r="H218" s="13">
        <f>IF($B218="","",SUMIFS($F:$F,$B:$B,$B218,$D:$D,"&lt;="&amp;$D218)-SUMIFS($G:$G,$B:$B,$B218,$D:$D,"&lt;="&amp;$D218))</f>
        <v/>
      </c>
      <c r="I218" s="6" t="n"/>
      <c r="J218" s="6" t="n"/>
    </row>
    <row r="219">
      <c r="A219" s="2" t="n"/>
      <c r="B219" s="2" t="n"/>
      <c r="C219" s="2" t="n"/>
      <c r="D219" s="12" t="n"/>
      <c r="E219" s="2" t="n"/>
      <c r="F219" s="13" t="n"/>
      <c r="G219" s="13" t="n"/>
      <c r="H219" s="13">
        <f>IF($B219="","",SUMIFS($F:$F,$B:$B,$B219,$D:$D,"&lt;="&amp;$D219)-SUMIFS($G:$G,$B:$B,$B219,$D:$D,"&lt;="&amp;$D219))</f>
        <v/>
      </c>
      <c r="I219" s="2" t="n"/>
      <c r="J219" s="2" t="n"/>
    </row>
    <row r="220">
      <c r="A220" s="6" t="n"/>
      <c r="B220" s="6" t="n"/>
      <c r="C220" s="6" t="n"/>
      <c r="D220" s="14" t="n"/>
      <c r="E220" s="6" t="n"/>
      <c r="F220" s="15" t="n"/>
      <c r="G220" s="15" t="n"/>
      <c r="H220" s="13">
        <f>IF($B220="","",SUMIFS($F:$F,$B:$B,$B220,$D:$D,"&lt;="&amp;$D220)-SUMIFS($G:$G,$B:$B,$B220,$D:$D,"&lt;="&amp;$D220))</f>
        <v/>
      </c>
      <c r="I220" s="6" t="n"/>
      <c r="J220" s="6" t="n"/>
    </row>
    <row r="221">
      <c r="A221" s="2" t="n"/>
      <c r="B221" s="2" t="n"/>
      <c r="C221" s="2" t="n"/>
      <c r="D221" s="12" t="n"/>
      <c r="E221" s="2" t="n"/>
      <c r="F221" s="13" t="n"/>
      <c r="G221" s="13" t="n"/>
      <c r="H221" s="13">
        <f>IF($B221="","",SUMIFS($F:$F,$B:$B,$B221,$D:$D,"&lt;="&amp;$D221)-SUMIFS($G:$G,$B:$B,$B221,$D:$D,"&lt;="&amp;$D221))</f>
        <v/>
      </c>
      <c r="I221" s="2" t="n"/>
      <c r="J221" s="2" t="n"/>
    </row>
    <row r="222">
      <c r="A222" s="6" t="n"/>
      <c r="B222" s="6" t="n"/>
      <c r="C222" s="6" t="n"/>
      <c r="D222" s="14" t="n"/>
      <c r="E222" s="6" t="n"/>
      <c r="F222" s="15" t="n"/>
      <c r="G222" s="15" t="n"/>
      <c r="H222" s="13">
        <f>IF($B222="","",SUMIFS($F:$F,$B:$B,$B222,$D:$D,"&lt;="&amp;$D222)-SUMIFS($G:$G,$B:$B,$B222,$D:$D,"&lt;="&amp;$D222))</f>
        <v/>
      </c>
      <c r="I222" s="6" t="n"/>
      <c r="J222" s="6" t="n"/>
    </row>
    <row r="223">
      <c r="A223" s="2" t="n"/>
      <c r="B223" s="2" t="n"/>
      <c r="C223" s="2" t="n"/>
      <c r="D223" s="12" t="n"/>
      <c r="E223" s="2" t="n"/>
      <c r="F223" s="13" t="n"/>
      <c r="G223" s="13" t="n"/>
      <c r="H223" s="13">
        <f>IF($B223="","",SUMIFS($F:$F,$B:$B,$B223,$D:$D,"&lt;="&amp;$D223)-SUMIFS($G:$G,$B:$B,$B223,$D:$D,"&lt;="&amp;$D223))</f>
        <v/>
      </c>
      <c r="I223" s="2" t="n"/>
      <c r="J223" s="2" t="n"/>
    </row>
    <row r="224">
      <c r="A224" s="6" t="n"/>
      <c r="B224" s="6" t="n"/>
      <c r="C224" s="6" t="n"/>
      <c r="D224" s="14" t="n"/>
      <c r="E224" s="6" t="n"/>
      <c r="F224" s="15" t="n"/>
      <c r="G224" s="15" t="n"/>
      <c r="H224" s="13">
        <f>IF($B224="","",SUMIFS($F:$F,$B:$B,$B224,$D:$D,"&lt;="&amp;$D224)-SUMIFS($G:$G,$B:$B,$B224,$D:$D,"&lt;="&amp;$D224))</f>
        <v/>
      </c>
      <c r="I224" s="6" t="n"/>
      <c r="J224" s="6" t="n"/>
    </row>
    <row r="225">
      <c r="A225" s="2" t="n"/>
      <c r="B225" s="2" t="n"/>
      <c r="C225" s="2" t="n"/>
      <c r="D225" s="12" t="n"/>
      <c r="E225" s="2" t="n"/>
      <c r="F225" s="13" t="n"/>
      <c r="G225" s="13" t="n"/>
      <c r="H225" s="13">
        <f>IF($B225="","",SUMIFS($F:$F,$B:$B,$B225,$D:$D,"&lt;="&amp;$D225)-SUMIFS($G:$G,$B:$B,$B225,$D:$D,"&lt;="&amp;$D225))</f>
        <v/>
      </c>
      <c r="I225" s="2" t="n"/>
      <c r="J225" s="2" t="n"/>
    </row>
    <row r="226">
      <c r="A226" s="6" t="n"/>
      <c r="B226" s="6" t="n"/>
      <c r="C226" s="6" t="n"/>
      <c r="D226" s="14" t="n"/>
      <c r="E226" s="6" t="n"/>
      <c r="F226" s="15" t="n"/>
      <c r="G226" s="15" t="n"/>
      <c r="H226" s="13">
        <f>IF($B226="","",SUMIFS($F:$F,$B:$B,$B226,$D:$D,"&lt;="&amp;$D226)-SUMIFS($G:$G,$B:$B,$B226,$D:$D,"&lt;="&amp;$D226))</f>
        <v/>
      </c>
      <c r="I226" s="6" t="n"/>
      <c r="J226" s="6" t="n"/>
    </row>
    <row r="227">
      <c r="A227" s="2" t="n"/>
      <c r="B227" s="2" t="n"/>
      <c r="C227" s="2" t="n"/>
      <c r="D227" s="12" t="n"/>
      <c r="E227" s="2" t="n"/>
      <c r="F227" s="13" t="n"/>
      <c r="G227" s="13" t="n"/>
      <c r="H227" s="13">
        <f>IF($B227="","",SUMIFS($F:$F,$B:$B,$B227,$D:$D,"&lt;="&amp;$D227)-SUMIFS($G:$G,$B:$B,$B227,$D:$D,"&lt;="&amp;$D227))</f>
        <v/>
      </c>
      <c r="I227" s="2" t="n"/>
      <c r="J227" s="2" t="n"/>
    </row>
    <row r="228">
      <c r="A228" s="6" t="n"/>
      <c r="B228" s="6" t="n"/>
      <c r="C228" s="6" t="n"/>
      <c r="D228" s="14" t="n"/>
      <c r="E228" s="6" t="n"/>
      <c r="F228" s="15" t="n"/>
      <c r="G228" s="15" t="n"/>
      <c r="H228" s="13">
        <f>IF($B228="","",SUMIFS($F:$F,$B:$B,$B228,$D:$D,"&lt;="&amp;$D228)-SUMIFS($G:$G,$B:$B,$B228,$D:$D,"&lt;="&amp;$D228))</f>
        <v/>
      </c>
      <c r="I228" s="6" t="n"/>
      <c r="J228" s="6" t="n"/>
    </row>
    <row r="229">
      <c r="A229" s="2" t="n"/>
      <c r="B229" s="2" t="n"/>
      <c r="C229" s="2" t="n"/>
      <c r="D229" s="12" t="n"/>
      <c r="E229" s="2" t="n"/>
      <c r="F229" s="13" t="n"/>
      <c r="G229" s="13" t="n"/>
      <c r="H229" s="13">
        <f>IF($B229="","",SUMIFS($F:$F,$B:$B,$B229,$D:$D,"&lt;="&amp;$D229)-SUMIFS($G:$G,$B:$B,$B229,$D:$D,"&lt;="&amp;$D229))</f>
        <v/>
      </c>
      <c r="I229" s="2" t="n"/>
      <c r="J229" s="2" t="n"/>
    </row>
    <row r="230">
      <c r="A230" s="6" t="n"/>
      <c r="B230" s="6" t="n"/>
      <c r="C230" s="6" t="n"/>
      <c r="D230" s="14" t="n"/>
      <c r="E230" s="6" t="n"/>
      <c r="F230" s="15" t="n"/>
      <c r="G230" s="15" t="n"/>
      <c r="H230" s="13">
        <f>IF($B230="","",SUMIFS($F:$F,$B:$B,$B230,$D:$D,"&lt;="&amp;$D230)-SUMIFS($G:$G,$B:$B,$B230,$D:$D,"&lt;="&amp;$D230))</f>
        <v/>
      </c>
      <c r="I230" s="6" t="n"/>
      <c r="J230" s="6" t="n"/>
    </row>
    <row r="231">
      <c r="A231" s="2" t="n"/>
      <c r="B231" s="2" t="n"/>
      <c r="C231" s="2" t="n"/>
      <c r="D231" s="12" t="n"/>
      <c r="E231" s="2" t="n"/>
      <c r="F231" s="13" t="n"/>
      <c r="G231" s="13" t="n"/>
      <c r="H231" s="13">
        <f>IF($B231="","",SUMIFS($F:$F,$B:$B,$B231,$D:$D,"&lt;="&amp;$D231)-SUMIFS($G:$G,$B:$B,$B231,$D:$D,"&lt;="&amp;$D231))</f>
        <v/>
      </c>
      <c r="I231" s="2" t="n"/>
      <c r="J231" s="2" t="n"/>
    </row>
    <row r="232">
      <c r="A232" s="6" t="n"/>
      <c r="B232" s="6" t="n"/>
      <c r="C232" s="6" t="n"/>
      <c r="D232" s="14" t="n"/>
      <c r="E232" s="6" t="n"/>
      <c r="F232" s="15" t="n"/>
      <c r="G232" s="15" t="n"/>
      <c r="H232" s="13">
        <f>IF($B232="","",SUMIFS($F:$F,$B:$B,$B232,$D:$D,"&lt;="&amp;$D232)-SUMIFS($G:$G,$B:$B,$B232,$D:$D,"&lt;="&amp;$D232))</f>
        <v/>
      </c>
      <c r="I232" s="6" t="n"/>
      <c r="J232" s="6" t="n"/>
    </row>
    <row r="233">
      <c r="A233" s="2" t="n"/>
      <c r="B233" s="2" t="n"/>
      <c r="C233" s="2" t="n"/>
      <c r="D233" s="12" t="n"/>
      <c r="E233" s="2" t="n"/>
      <c r="F233" s="13" t="n"/>
      <c r="G233" s="13" t="n"/>
      <c r="H233" s="13">
        <f>IF($B233="","",SUMIFS($F:$F,$B:$B,$B233,$D:$D,"&lt;="&amp;$D233)-SUMIFS($G:$G,$B:$B,$B233,$D:$D,"&lt;="&amp;$D233))</f>
        <v/>
      </c>
      <c r="I233" s="2" t="n"/>
      <c r="J233" s="2" t="n"/>
    </row>
    <row r="234">
      <c r="A234" s="6" t="n"/>
      <c r="B234" s="6" t="n"/>
      <c r="C234" s="6" t="n"/>
      <c r="D234" s="14" t="n"/>
      <c r="E234" s="6" t="n"/>
      <c r="F234" s="15" t="n"/>
      <c r="G234" s="15" t="n"/>
      <c r="H234" s="13">
        <f>IF($B234="","",SUMIFS($F:$F,$B:$B,$B234,$D:$D,"&lt;="&amp;$D234)-SUMIFS($G:$G,$B:$B,$B234,$D:$D,"&lt;="&amp;$D234))</f>
        <v/>
      </c>
      <c r="I234" s="6" t="n"/>
      <c r="J234" s="6" t="n"/>
    </row>
    <row r="235">
      <c r="A235" s="2" t="n"/>
      <c r="B235" s="2" t="n"/>
      <c r="C235" s="2" t="n"/>
      <c r="D235" s="12" t="n"/>
      <c r="E235" s="2" t="n"/>
      <c r="F235" s="13" t="n"/>
      <c r="G235" s="13" t="n"/>
      <c r="H235" s="13">
        <f>IF($B235="","",SUMIFS($F:$F,$B:$B,$B235,$D:$D,"&lt;="&amp;$D235)-SUMIFS($G:$G,$B:$B,$B235,$D:$D,"&lt;="&amp;$D235))</f>
        <v/>
      </c>
      <c r="I235" s="2" t="n"/>
      <c r="J235" s="2" t="n"/>
    </row>
    <row r="236">
      <c r="A236" s="6" t="n"/>
      <c r="B236" s="6" t="n"/>
      <c r="C236" s="6" t="n"/>
      <c r="D236" s="14" t="n"/>
      <c r="E236" s="6" t="n"/>
      <c r="F236" s="15" t="n"/>
      <c r="G236" s="15" t="n"/>
      <c r="H236" s="13">
        <f>IF($B236="","",SUMIFS($F:$F,$B:$B,$B236,$D:$D,"&lt;="&amp;$D236)-SUMIFS($G:$G,$B:$B,$B236,$D:$D,"&lt;="&amp;$D236))</f>
        <v/>
      </c>
      <c r="I236" s="6" t="n"/>
      <c r="J236" s="6" t="n"/>
    </row>
    <row r="237">
      <c r="A237" s="2" t="n"/>
      <c r="B237" s="2" t="n"/>
      <c r="C237" s="2" t="n"/>
      <c r="D237" s="12" t="n"/>
      <c r="E237" s="2" t="n"/>
      <c r="F237" s="13" t="n"/>
      <c r="G237" s="13" t="n"/>
      <c r="H237" s="13">
        <f>IF($B237="","",SUMIFS($F:$F,$B:$B,$B237,$D:$D,"&lt;="&amp;$D237)-SUMIFS($G:$G,$B:$B,$B237,$D:$D,"&lt;="&amp;$D237))</f>
        <v/>
      </c>
      <c r="I237" s="2" t="n"/>
      <c r="J237" s="2" t="n"/>
    </row>
    <row r="238">
      <c r="A238" s="6" t="n"/>
      <c r="B238" s="6" t="n"/>
      <c r="C238" s="6" t="n"/>
      <c r="D238" s="14" t="n"/>
      <c r="E238" s="6" t="n"/>
      <c r="F238" s="15" t="n"/>
      <c r="G238" s="15" t="n"/>
      <c r="H238" s="13">
        <f>IF($B238="","",SUMIFS($F:$F,$B:$B,$B238,$D:$D,"&lt;="&amp;$D238)-SUMIFS($G:$G,$B:$B,$B238,$D:$D,"&lt;="&amp;$D238))</f>
        <v/>
      </c>
      <c r="I238" s="6" t="n"/>
      <c r="J238" s="6" t="n"/>
    </row>
    <row r="239">
      <c r="A239" s="2" t="n"/>
      <c r="B239" s="2" t="n"/>
      <c r="C239" s="2" t="n"/>
      <c r="D239" s="12" t="n"/>
      <c r="E239" s="2" t="n"/>
      <c r="F239" s="13" t="n"/>
      <c r="G239" s="13" t="n"/>
      <c r="H239" s="13">
        <f>IF($B239="","",SUMIFS($F:$F,$B:$B,$B239,$D:$D,"&lt;="&amp;$D239)-SUMIFS($G:$G,$B:$B,$B239,$D:$D,"&lt;="&amp;$D239))</f>
        <v/>
      </c>
      <c r="I239" s="2" t="n"/>
      <c r="J239" s="2" t="n"/>
    </row>
    <row r="240">
      <c r="A240" s="6" t="n"/>
      <c r="B240" s="6" t="n"/>
      <c r="C240" s="6" t="n"/>
      <c r="D240" s="14" t="n"/>
      <c r="E240" s="6" t="n"/>
      <c r="F240" s="15" t="n"/>
      <c r="G240" s="15" t="n"/>
      <c r="H240" s="13">
        <f>IF($B240="","",SUMIFS($F:$F,$B:$B,$B240,$D:$D,"&lt;="&amp;$D240)-SUMIFS($G:$G,$B:$B,$B240,$D:$D,"&lt;="&amp;$D240))</f>
        <v/>
      </c>
      <c r="I240" s="6" t="n"/>
      <c r="J240" s="6" t="n"/>
    </row>
    <row r="241">
      <c r="A241" s="2" t="n"/>
      <c r="B241" s="2" t="n"/>
      <c r="C241" s="2" t="n"/>
      <c r="D241" s="12" t="n"/>
      <c r="E241" s="2" t="n"/>
      <c r="F241" s="13" t="n"/>
      <c r="G241" s="13" t="n"/>
      <c r="H241" s="13">
        <f>IF($B241="","",SUMIFS($F:$F,$B:$B,$B241,$D:$D,"&lt;="&amp;$D241)-SUMIFS($G:$G,$B:$B,$B241,$D:$D,"&lt;="&amp;$D241))</f>
        <v/>
      </c>
      <c r="I241" s="2" t="n"/>
      <c r="J241" s="2" t="n"/>
    </row>
    <row r="242">
      <c r="A242" s="6" t="n"/>
      <c r="B242" s="6" t="n"/>
      <c r="C242" s="6" t="n"/>
      <c r="D242" s="14" t="n"/>
      <c r="E242" s="6" t="n"/>
      <c r="F242" s="15" t="n"/>
      <c r="G242" s="15" t="n"/>
      <c r="H242" s="13">
        <f>IF($B242="","",SUMIFS($F:$F,$B:$B,$B242,$D:$D,"&lt;="&amp;$D242)-SUMIFS($G:$G,$B:$B,$B242,$D:$D,"&lt;="&amp;$D242))</f>
        <v/>
      </c>
      <c r="I242" s="6" t="n"/>
      <c r="J242" s="6" t="n"/>
    </row>
    <row r="243">
      <c r="A243" s="2" t="n"/>
      <c r="B243" s="2" t="n"/>
      <c r="C243" s="2" t="n"/>
      <c r="D243" s="12" t="n"/>
      <c r="E243" s="2" t="n"/>
      <c r="F243" s="13" t="n"/>
      <c r="G243" s="13" t="n"/>
      <c r="H243" s="13">
        <f>IF($B243="","",SUMIFS($F:$F,$B:$B,$B243,$D:$D,"&lt;="&amp;$D243)-SUMIFS($G:$G,$B:$B,$B243,$D:$D,"&lt;="&amp;$D243))</f>
        <v/>
      </c>
      <c r="I243" s="2" t="n"/>
      <c r="J243" s="2" t="n"/>
    </row>
    <row r="244">
      <c r="A244" s="6" t="n"/>
      <c r="B244" s="6" t="n"/>
      <c r="C244" s="6" t="n"/>
      <c r="D244" s="14" t="n"/>
      <c r="E244" s="6" t="n"/>
      <c r="F244" s="15" t="n"/>
      <c r="G244" s="15" t="n"/>
      <c r="H244" s="13">
        <f>IF($B244="","",SUMIFS($F:$F,$B:$B,$B244,$D:$D,"&lt;="&amp;$D244)-SUMIFS($G:$G,$B:$B,$B244,$D:$D,"&lt;="&amp;$D244))</f>
        <v/>
      </c>
      <c r="I244" s="6" t="n"/>
      <c r="J244" s="6" t="n"/>
    </row>
    <row r="245">
      <c r="A245" s="2" t="n"/>
      <c r="B245" s="2" t="n"/>
      <c r="C245" s="2" t="n"/>
      <c r="D245" s="12" t="n"/>
      <c r="E245" s="2" t="n"/>
      <c r="F245" s="13" t="n"/>
      <c r="G245" s="13" t="n"/>
      <c r="H245" s="13">
        <f>IF($B245="","",SUMIFS($F:$F,$B:$B,$B245,$D:$D,"&lt;="&amp;$D245)-SUMIFS($G:$G,$B:$B,$B245,$D:$D,"&lt;="&amp;$D245))</f>
        <v/>
      </c>
      <c r="I245" s="2" t="n"/>
      <c r="J245" s="2" t="n"/>
    </row>
    <row r="246">
      <c r="A246" s="6" t="n"/>
      <c r="B246" s="6" t="n"/>
      <c r="C246" s="6" t="n"/>
      <c r="D246" s="14" t="n"/>
      <c r="E246" s="6" t="n"/>
      <c r="F246" s="15" t="n"/>
      <c r="G246" s="15" t="n"/>
      <c r="H246" s="13">
        <f>IF($B246="","",SUMIFS($F:$F,$B:$B,$B246,$D:$D,"&lt;="&amp;$D246)-SUMIFS($G:$G,$B:$B,$B246,$D:$D,"&lt;="&amp;$D246))</f>
        <v/>
      </c>
      <c r="I246" s="6" t="n"/>
      <c r="J246" s="6" t="n"/>
    </row>
    <row r="247">
      <c r="A247" s="2" t="n"/>
      <c r="B247" s="2" t="n"/>
      <c r="C247" s="2" t="n"/>
      <c r="D247" s="12" t="n"/>
      <c r="E247" s="2" t="n"/>
      <c r="F247" s="13" t="n"/>
      <c r="G247" s="13" t="n"/>
      <c r="H247" s="13">
        <f>IF($B247="","",SUMIFS($F:$F,$B:$B,$B247,$D:$D,"&lt;="&amp;$D247)-SUMIFS($G:$G,$B:$B,$B247,$D:$D,"&lt;="&amp;$D247))</f>
        <v/>
      </c>
      <c r="I247" s="2" t="n"/>
      <c r="J247" s="2" t="n"/>
    </row>
    <row r="248">
      <c r="A248" s="6" t="n"/>
      <c r="B248" s="6" t="n"/>
      <c r="C248" s="6" t="n"/>
      <c r="D248" s="14" t="n"/>
      <c r="E248" s="6" t="n"/>
      <c r="F248" s="15" t="n"/>
      <c r="G248" s="15" t="n"/>
      <c r="H248" s="13">
        <f>IF($B248="","",SUMIFS($F:$F,$B:$B,$B248,$D:$D,"&lt;="&amp;$D248)-SUMIFS($G:$G,$B:$B,$B248,$D:$D,"&lt;="&amp;$D248))</f>
        <v/>
      </c>
      <c r="I248" s="6" t="n"/>
      <c r="J248" s="6" t="n"/>
    </row>
    <row r="249">
      <c r="A249" s="2" t="n"/>
      <c r="B249" s="2" t="n"/>
      <c r="C249" s="2" t="n"/>
      <c r="D249" s="12" t="n"/>
      <c r="E249" s="2" t="n"/>
      <c r="F249" s="13" t="n"/>
      <c r="G249" s="13" t="n"/>
      <c r="H249" s="13">
        <f>IF($B249="","",SUMIFS($F:$F,$B:$B,$B249,$D:$D,"&lt;="&amp;$D249)-SUMIFS($G:$G,$B:$B,$B249,$D:$D,"&lt;="&amp;$D249))</f>
        <v/>
      </c>
      <c r="I249" s="2" t="n"/>
      <c r="J249" s="2" t="n"/>
    </row>
    <row r="250">
      <c r="A250" s="6" t="n"/>
      <c r="B250" s="6" t="n"/>
      <c r="C250" s="6" t="n"/>
      <c r="D250" s="14" t="n"/>
      <c r="E250" s="6" t="n"/>
      <c r="F250" s="15" t="n"/>
      <c r="G250" s="15" t="n"/>
      <c r="H250" s="13">
        <f>IF($B250="","",SUMIFS($F:$F,$B:$B,$B250,$D:$D,"&lt;="&amp;$D250)-SUMIFS($G:$G,$B:$B,$B250,$D:$D,"&lt;="&amp;$D250))</f>
        <v/>
      </c>
      <c r="I250" s="6" t="n"/>
      <c r="J250" s="6" t="n"/>
    </row>
    <row r="251">
      <c r="A251" s="2" t="n"/>
      <c r="B251" s="2" t="n"/>
      <c r="C251" s="2" t="n"/>
      <c r="D251" s="12" t="n"/>
      <c r="E251" s="2" t="n"/>
      <c r="F251" s="13" t="n"/>
      <c r="G251" s="13" t="n"/>
      <c r="H251" s="13">
        <f>IF($B251="","",SUMIFS($F:$F,$B:$B,$B251,$D:$D,"&lt;="&amp;$D251)-SUMIFS($G:$G,$B:$B,$B251,$D:$D,"&lt;="&amp;$D251))</f>
        <v/>
      </c>
      <c r="I251" s="2" t="n"/>
      <c r="J251" s="2" t="n"/>
    </row>
    <row r="252">
      <c r="A252" s="6" t="n"/>
      <c r="B252" s="6" t="n"/>
      <c r="C252" s="6" t="n"/>
      <c r="D252" s="14" t="n"/>
      <c r="E252" s="6" t="n"/>
      <c r="F252" s="15" t="n"/>
      <c r="G252" s="15" t="n"/>
      <c r="H252" s="13">
        <f>IF($B252="","",SUMIFS($F:$F,$B:$B,$B252,$D:$D,"&lt;="&amp;$D252)-SUMIFS($G:$G,$B:$B,$B252,$D:$D,"&lt;="&amp;$D252))</f>
        <v/>
      </c>
      <c r="I252" s="6" t="n"/>
      <c r="J252" s="6" t="n"/>
    </row>
    <row r="253">
      <c r="A253" s="2" t="n"/>
      <c r="B253" s="2" t="n"/>
      <c r="C253" s="2" t="n"/>
      <c r="D253" s="12" t="n"/>
      <c r="E253" s="2" t="n"/>
      <c r="F253" s="13" t="n"/>
      <c r="G253" s="13" t="n"/>
      <c r="H253" s="13">
        <f>IF($B253="","",SUMIFS($F:$F,$B:$B,$B253,$D:$D,"&lt;="&amp;$D253)-SUMIFS($G:$G,$B:$B,$B253,$D:$D,"&lt;="&amp;$D253))</f>
        <v/>
      </c>
      <c r="I253" s="2" t="n"/>
      <c r="J253" s="2" t="n"/>
    </row>
    <row r="254">
      <c r="A254" s="6" t="n"/>
      <c r="B254" s="6" t="n"/>
      <c r="C254" s="6" t="n"/>
      <c r="D254" s="14" t="n"/>
      <c r="E254" s="6" t="n"/>
      <c r="F254" s="15" t="n"/>
      <c r="G254" s="15" t="n"/>
      <c r="H254" s="13">
        <f>IF($B254="","",SUMIFS($F:$F,$B:$B,$B254,$D:$D,"&lt;="&amp;$D254)-SUMIFS($G:$G,$B:$B,$B254,$D:$D,"&lt;="&amp;$D254))</f>
        <v/>
      </c>
      <c r="I254" s="6" t="n"/>
      <c r="J254" s="6" t="n"/>
    </row>
    <row r="255">
      <c r="A255" s="2" t="n"/>
      <c r="B255" s="2" t="n"/>
      <c r="C255" s="2" t="n"/>
      <c r="D255" s="12" t="n"/>
      <c r="E255" s="2" t="n"/>
      <c r="F255" s="13" t="n"/>
      <c r="G255" s="13" t="n"/>
      <c r="H255" s="13">
        <f>IF($B255="","",SUMIFS($F:$F,$B:$B,$B255,$D:$D,"&lt;="&amp;$D255)-SUMIFS($G:$G,$B:$B,$B255,$D:$D,"&lt;="&amp;$D255))</f>
        <v/>
      </c>
      <c r="I255" s="2" t="n"/>
      <c r="J255" s="2" t="n"/>
    </row>
    <row r="256">
      <c r="A256" s="6" t="n"/>
      <c r="B256" s="6" t="n"/>
      <c r="C256" s="6" t="n"/>
      <c r="D256" s="14" t="n"/>
      <c r="E256" s="6" t="n"/>
      <c r="F256" s="15" t="n"/>
      <c r="G256" s="15" t="n"/>
      <c r="H256" s="13">
        <f>IF($B256="","",SUMIFS($F:$F,$B:$B,$B256,$D:$D,"&lt;="&amp;$D256)-SUMIFS($G:$G,$B:$B,$B256,$D:$D,"&lt;="&amp;$D256))</f>
        <v/>
      </c>
      <c r="I256" s="6" t="n"/>
      <c r="J256" s="6" t="n"/>
    </row>
    <row r="257">
      <c r="A257" s="2" t="n"/>
      <c r="B257" s="2" t="n"/>
      <c r="C257" s="2" t="n"/>
      <c r="D257" s="12" t="n"/>
      <c r="E257" s="2" t="n"/>
      <c r="F257" s="13" t="n"/>
      <c r="G257" s="13" t="n"/>
      <c r="H257" s="13">
        <f>IF($B257="","",SUMIFS($F:$F,$B:$B,$B257,$D:$D,"&lt;="&amp;$D257)-SUMIFS($G:$G,$B:$B,$B257,$D:$D,"&lt;="&amp;$D257))</f>
        <v/>
      </c>
      <c r="I257" s="2" t="n"/>
      <c r="J257" s="2" t="n"/>
    </row>
    <row r="258">
      <c r="A258" s="6" t="n"/>
      <c r="B258" s="6" t="n"/>
      <c r="C258" s="6" t="n"/>
      <c r="D258" s="14" t="n"/>
      <c r="E258" s="6" t="n"/>
      <c r="F258" s="15" t="n"/>
      <c r="G258" s="15" t="n"/>
      <c r="H258" s="13">
        <f>IF($B258="","",SUMIFS($F:$F,$B:$B,$B258,$D:$D,"&lt;="&amp;$D258)-SUMIFS($G:$G,$B:$B,$B258,$D:$D,"&lt;="&amp;$D258))</f>
        <v/>
      </c>
      <c r="I258" s="6" t="n"/>
      <c r="J258" s="6" t="n"/>
    </row>
    <row r="259">
      <c r="A259" s="2" t="n"/>
      <c r="B259" s="2" t="n"/>
      <c r="C259" s="2" t="n"/>
      <c r="D259" s="12" t="n"/>
      <c r="E259" s="2" t="n"/>
      <c r="F259" s="13" t="n"/>
      <c r="G259" s="13" t="n"/>
      <c r="H259" s="13">
        <f>IF($B259="","",SUMIFS($F:$F,$B:$B,$B259,$D:$D,"&lt;="&amp;$D259)-SUMIFS($G:$G,$B:$B,$B259,$D:$D,"&lt;="&amp;$D259))</f>
        <v/>
      </c>
      <c r="I259" s="2" t="n"/>
      <c r="J259" s="2" t="n"/>
    </row>
    <row r="260">
      <c r="A260" s="6" t="n"/>
      <c r="B260" s="6" t="n"/>
      <c r="C260" s="6" t="n"/>
      <c r="D260" s="14" t="n"/>
      <c r="E260" s="6" t="n"/>
      <c r="F260" s="15" t="n"/>
      <c r="G260" s="15" t="n"/>
      <c r="H260" s="13">
        <f>IF($B260="","",SUMIFS($F:$F,$B:$B,$B260,$D:$D,"&lt;="&amp;$D260)-SUMIFS($G:$G,$B:$B,$B260,$D:$D,"&lt;="&amp;$D260))</f>
        <v/>
      </c>
      <c r="I260" s="6" t="n"/>
      <c r="J260" s="6" t="n"/>
    </row>
    <row r="261">
      <c r="A261" s="2" t="n"/>
      <c r="B261" s="2" t="n"/>
      <c r="C261" s="2" t="n"/>
      <c r="D261" s="12" t="n"/>
      <c r="E261" s="2" t="n"/>
      <c r="F261" s="13" t="n"/>
      <c r="G261" s="13" t="n"/>
      <c r="H261" s="13">
        <f>IF($B261="","",SUMIFS($F:$F,$B:$B,$B261,$D:$D,"&lt;="&amp;$D261)-SUMIFS($G:$G,$B:$B,$B261,$D:$D,"&lt;="&amp;$D261))</f>
        <v/>
      </c>
      <c r="I261" s="2" t="n"/>
      <c r="J261" s="2" t="n"/>
    </row>
    <row r="262">
      <c r="A262" s="6" t="n"/>
      <c r="B262" s="6" t="n"/>
      <c r="C262" s="6" t="n"/>
      <c r="D262" s="14" t="n"/>
      <c r="E262" s="6" t="n"/>
      <c r="F262" s="15" t="n"/>
      <c r="G262" s="15" t="n"/>
      <c r="H262" s="13">
        <f>IF($B262="","",SUMIFS($F:$F,$B:$B,$B262,$D:$D,"&lt;="&amp;$D262)-SUMIFS($G:$G,$B:$B,$B262,$D:$D,"&lt;="&amp;$D262))</f>
        <v/>
      </c>
      <c r="I262" s="6" t="n"/>
      <c r="J262" s="6" t="n"/>
    </row>
    <row r="263">
      <c r="A263" s="2" t="n"/>
      <c r="B263" s="2" t="n"/>
      <c r="C263" s="2" t="n"/>
      <c r="D263" s="12" t="n"/>
      <c r="E263" s="2" t="n"/>
      <c r="F263" s="13" t="n"/>
      <c r="G263" s="13" t="n"/>
      <c r="H263" s="13">
        <f>IF($B263="","",SUMIFS($F:$F,$B:$B,$B263,$D:$D,"&lt;="&amp;$D263)-SUMIFS($G:$G,$B:$B,$B263,$D:$D,"&lt;="&amp;$D263))</f>
        <v/>
      </c>
      <c r="I263" s="2" t="n"/>
      <c r="J263" s="2" t="n"/>
    </row>
    <row r="264">
      <c r="A264" s="6" t="n"/>
      <c r="B264" s="6" t="n"/>
      <c r="C264" s="6" t="n"/>
      <c r="D264" s="14" t="n"/>
      <c r="E264" s="6" t="n"/>
      <c r="F264" s="15" t="n"/>
      <c r="G264" s="15" t="n"/>
      <c r="H264" s="13">
        <f>IF($B264="","",SUMIFS($F:$F,$B:$B,$B264,$D:$D,"&lt;="&amp;$D264)-SUMIFS($G:$G,$B:$B,$B264,$D:$D,"&lt;="&amp;$D264))</f>
        <v/>
      </c>
      <c r="I264" s="6" t="n"/>
      <c r="J264" s="6" t="n"/>
    </row>
    <row r="265">
      <c r="A265" s="2" t="n"/>
      <c r="B265" s="2" t="n"/>
      <c r="C265" s="2" t="n"/>
      <c r="D265" s="12" t="n"/>
      <c r="E265" s="2" t="n"/>
      <c r="F265" s="13" t="n"/>
      <c r="G265" s="13" t="n"/>
      <c r="H265" s="13">
        <f>IF($B265="","",SUMIFS($F:$F,$B:$B,$B265,$D:$D,"&lt;="&amp;$D265)-SUMIFS($G:$G,$B:$B,$B265,$D:$D,"&lt;="&amp;$D265))</f>
        <v/>
      </c>
      <c r="I265" s="2" t="n"/>
      <c r="J265" s="2" t="n"/>
    </row>
    <row r="266">
      <c r="A266" s="6" t="n"/>
      <c r="B266" s="6" t="n"/>
      <c r="C266" s="6" t="n"/>
      <c r="D266" s="14" t="n"/>
      <c r="E266" s="6" t="n"/>
      <c r="F266" s="15" t="n"/>
      <c r="G266" s="15" t="n"/>
      <c r="H266" s="13">
        <f>IF($B266="","",SUMIFS($F:$F,$B:$B,$B266,$D:$D,"&lt;="&amp;$D266)-SUMIFS($G:$G,$B:$B,$B266,$D:$D,"&lt;="&amp;$D266))</f>
        <v/>
      </c>
      <c r="I266" s="6" t="n"/>
      <c r="J266" s="6" t="n"/>
    </row>
    <row r="267">
      <c r="A267" s="2" t="n"/>
      <c r="B267" s="2" t="n"/>
      <c r="C267" s="2" t="n"/>
      <c r="D267" s="12" t="n"/>
      <c r="E267" s="2" t="n"/>
      <c r="F267" s="13" t="n"/>
      <c r="G267" s="13" t="n"/>
      <c r="H267" s="13">
        <f>IF($B267="","",SUMIFS($F:$F,$B:$B,$B267,$D:$D,"&lt;="&amp;$D267)-SUMIFS($G:$G,$B:$B,$B267,$D:$D,"&lt;="&amp;$D267))</f>
        <v/>
      </c>
      <c r="I267" s="2" t="n"/>
      <c r="J267" s="2" t="n"/>
    </row>
    <row r="268">
      <c r="A268" s="6" t="n"/>
      <c r="B268" s="6" t="n"/>
      <c r="C268" s="6" t="n"/>
      <c r="D268" s="14" t="n"/>
      <c r="E268" s="6" t="n"/>
      <c r="F268" s="15" t="n"/>
      <c r="G268" s="15" t="n"/>
      <c r="H268" s="13">
        <f>IF($B268="","",SUMIFS($F:$F,$B:$B,$B268,$D:$D,"&lt;="&amp;$D268)-SUMIFS($G:$G,$B:$B,$B268,$D:$D,"&lt;="&amp;$D268))</f>
        <v/>
      </c>
      <c r="I268" s="6" t="n"/>
      <c r="J268" s="6" t="n"/>
    </row>
    <row r="269">
      <c r="A269" s="2" t="n"/>
      <c r="B269" s="2" t="n"/>
      <c r="C269" s="2" t="n"/>
      <c r="D269" s="12" t="n"/>
      <c r="E269" s="2" t="n"/>
      <c r="F269" s="13" t="n"/>
      <c r="G269" s="13" t="n"/>
      <c r="H269" s="13">
        <f>IF($B269="","",SUMIFS($F:$F,$B:$B,$B269,$D:$D,"&lt;="&amp;$D269)-SUMIFS($G:$G,$B:$B,$B269,$D:$D,"&lt;="&amp;$D269))</f>
        <v/>
      </c>
      <c r="I269" s="2" t="n"/>
      <c r="J269" s="2" t="n"/>
    </row>
    <row r="270">
      <c r="A270" s="6" t="n"/>
      <c r="B270" s="6" t="n"/>
      <c r="C270" s="6" t="n"/>
      <c r="D270" s="14" t="n"/>
      <c r="E270" s="6" t="n"/>
      <c r="F270" s="15" t="n"/>
      <c r="G270" s="15" t="n"/>
      <c r="H270" s="13">
        <f>IF($B270="","",SUMIFS($F:$F,$B:$B,$B270,$D:$D,"&lt;="&amp;$D270)-SUMIFS($G:$G,$B:$B,$B270,$D:$D,"&lt;="&amp;$D270))</f>
        <v/>
      </c>
      <c r="I270" s="6" t="n"/>
      <c r="J270" s="6" t="n"/>
    </row>
    <row r="271">
      <c r="A271" s="2" t="n"/>
      <c r="B271" s="2" t="n"/>
      <c r="C271" s="2" t="n"/>
      <c r="D271" s="12" t="n"/>
      <c r="E271" s="2" t="n"/>
      <c r="F271" s="13" t="n"/>
      <c r="G271" s="13" t="n"/>
      <c r="H271" s="13">
        <f>IF($B271="","",SUMIFS($F:$F,$B:$B,$B271,$D:$D,"&lt;="&amp;$D271)-SUMIFS($G:$G,$B:$B,$B271,$D:$D,"&lt;="&amp;$D271))</f>
        <v/>
      </c>
      <c r="I271" s="2" t="n"/>
      <c r="J271" s="2" t="n"/>
    </row>
    <row r="272">
      <c r="A272" s="6" t="n"/>
      <c r="B272" s="6" t="n"/>
      <c r="C272" s="6" t="n"/>
      <c r="D272" s="14" t="n"/>
      <c r="E272" s="6" t="n"/>
      <c r="F272" s="15" t="n"/>
      <c r="G272" s="15" t="n"/>
      <c r="H272" s="13">
        <f>IF($B272="","",SUMIFS($F:$F,$B:$B,$B272,$D:$D,"&lt;="&amp;$D272)-SUMIFS($G:$G,$B:$B,$B272,$D:$D,"&lt;="&amp;$D272))</f>
        <v/>
      </c>
      <c r="I272" s="6" t="n"/>
      <c r="J272" s="6" t="n"/>
    </row>
    <row r="273">
      <c r="A273" s="2" t="n"/>
      <c r="B273" s="2" t="n"/>
      <c r="C273" s="2" t="n"/>
      <c r="D273" s="12" t="n"/>
      <c r="E273" s="2" t="n"/>
      <c r="F273" s="13" t="n"/>
      <c r="G273" s="13" t="n"/>
      <c r="H273" s="13">
        <f>IF($B273="","",SUMIFS($F:$F,$B:$B,$B273,$D:$D,"&lt;="&amp;$D273)-SUMIFS($G:$G,$B:$B,$B273,$D:$D,"&lt;="&amp;$D273))</f>
        <v/>
      </c>
      <c r="I273" s="2" t="n"/>
      <c r="J273" s="2" t="n"/>
    </row>
    <row r="274">
      <c r="A274" s="6" t="n"/>
      <c r="B274" s="6" t="n"/>
      <c r="C274" s="6" t="n"/>
      <c r="D274" s="14" t="n"/>
      <c r="E274" s="6" t="n"/>
      <c r="F274" s="15" t="n"/>
      <c r="G274" s="15" t="n"/>
      <c r="H274" s="13">
        <f>IF($B274="","",SUMIFS($F:$F,$B:$B,$B274,$D:$D,"&lt;="&amp;$D274)-SUMIFS($G:$G,$B:$B,$B274,$D:$D,"&lt;="&amp;$D274))</f>
        <v/>
      </c>
      <c r="I274" s="6" t="n"/>
      <c r="J274" s="6" t="n"/>
    </row>
    <row r="275">
      <c r="A275" s="2" t="n"/>
      <c r="B275" s="2" t="n"/>
      <c r="C275" s="2" t="n"/>
      <c r="D275" s="12" t="n"/>
      <c r="E275" s="2" t="n"/>
      <c r="F275" s="13" t="n"/>
      <c r="G275" s="13" t="n"/>
      <c r="H275" s="13">
        <f>IF($B275="","",SUMIFS($F:$F,$B:$B,$B275,$D:$D,"&lt;="&amp;$D275)-SUMIFS($G:$G,$B:$B,$B275,$D:$D,"&lt;="&amp;$D275))</f>
        <v/>
      </c>
      <c r="I275" s="2" t="n"/>
      <c r="J275" s="2" t="n"/>
    </row>
    <row r="276">
      <c r="A276" s="6" t="n"/>
      <c r="B276" s="6" t="n"/>
      <c r="C276" s="6" t="n"/>
      <c r="D276" s="14" t="n"/>
      <c r="E276" s="6" t="n"/>
      <c r="F276" s="15" t="n"/>
      <c r="G276" s="15" t="n"/>
      <c r="H276" s="13">
        <f>IF($B276="","",SUMIFS($F:$F,$B:$B,$B276,$D:$D,"&lt;="&amp;$D276)-SUMIFS($G:$G,$B:$B,$B276,$D:$D,"&lt;="&amp;$D276))</f>
        <v/>
      </c>
      <c r="I276" s="6" t="n"/>
      <c r="J276" s="6" t="n"/>
    </row>
    <row r="277">
      <c r="A277" s="2" t="n"/>
      <c r="B277" s="2" t="n"/>
      <c r="C277" s="2" t="n"/>
      <c r="D277" s="12" t="n"/>
      <c r="E277" s="2" t="n"/>
      <c r="F277" s="13" t="n"/>
      <c r="G277" s="13" t="n"/>
      <c r="H277" s="13">
        <f>IF($B277="","",SUMIFS($F:$F,$B:$B,$B277,$D:$D,"&lt;="&amp;$D277)-SUMIFS($G:$G,$B:$B,$B277,$D:$D,"&lt;="&amp;$D277))</f>
        <v/>
      </c>
      <c r="I277" s="2" t="n"/>
      <c r="J277" s="2" t="n"/>
    </row>
    <row r="278">
      <c r="A278" s="6" t="n"/>
      <c r="B278" s="6" t="n"/>
      <c r="C278" s="6" t="n"/>
      <c r="D278" s="14" t="n"/>
      <c r="E278" s="6" t="n"/>
      <c r="F278" s="15" t="n"/>
      <c r="G278" s="15" t="n"/>
      <c r="H278" s="13">
        <f>IF($B278="","",SUMIFS($F:$F,$B:$B,$B278,$D:$D,"&lt;="&amp;$D278)-SUMIFS($G:$G,$B:$B,$B278,$D:$D,"&lt;="&amp;$D278))</f>
        <v/>
      </c>
      <c r="I278" s="6" t="n"/>
      <c r="J278" s="6" t="n"/>
    </row>
    <row r="279">
      <c r="A279" s="2" t="n"/>
      <c r="B279" s="2" t="n"/>
      <c r="C279" s="2" t="n"/>
      <c r="D279" s="12" t="n"/>
      <c r="E279" s="2" t="n"/>
      <c r="F279" s="13" t="n"/>
      <c r="G279" s="13" t="n"/>
      <c r="H279" s="13">
        <f>IF($B279="","",SUMIFS($F:$F,$B:$B,$B279,$D:$D,"&lt;="&amp;$D279)-SUMIFS($G:$G,$B:$B,$B279,$D:$D,"&lt;="&amp;$D279))</f>
        <v/>
      </c>
      <c r="I279" s="2" t="n"/>
      <c r="J279" s="2" t="n"/>
    </row>
    <row r="280">
      <c r="A280" s="6" t="n"/>
      <c r="B280" s="6" t="n"/>
      <c r="C280" s="6" t="n"/>
      <c r="D280" s="14" t="n"/>
      <c r="E280" s="6" t="n"/>
      <c r="F280" s="15" t="n"/>
      <c r="G280" s="15" t="n"/>
      <c r="H280" s="13">
        <f>IF($B280="","",SUMIFS($F:$F,$B:$B,$B280,$D:$D,"&lt;="&amp;$D280)-SUMIFS($G:$G,$B:$B,$B280,$D:$D,"&lt;="&amp;$D280))</f>
        <v/>
      </c>
      <c r="I280" s="6" t="n"/>
      <c r="J280" s="6" t="n"/>
    </row>
    <row r="281">
      <c r="A281" s="2" t="n"/>
      <c r="B281" s="2" t="n"/>
      <c r="C281" s="2" t="n"/>
      <c r="D281" s="12" t="n"/>
      <c r="E281" s="2" t="n"/>
      <c r="F281" s="13" t="n"/>
      <c r="G281" s="13" t="n"/>
      <c r="H281" s="13">
        <f>IF($B281="","",SUMIFS($F:$F,$B:$B,$B281,$D:$D,"&lt;="&amp;$D281)-SUMIFS($G:$G,$B:$B,$B281,$D:$D,"&lt;="&amp;$D281))</f>
        <v/>
      </c>
      <c r="I281" s="2" t="n"/>
      <c r="J281" s="2" t="n"/>
    </row>
    <row r="282">
      <c r="A282" s="6" t="n"/>
      <c r="B282" s="6" t="n"/>
      <c r="C282" s="6" t="n"/>
      <c r="D282" s="14" t="n"/>
      <c r="E282" s="6" t="n"/>
      <c r="F282" s="15" t="n"/>
      <c r="G282" s="15" t="n"/>
      <c r="H282" s="13">
        <f>IF($B282="","",SUMIFS($F:$F,$B:$B,$B282,$D:$D,"&lt;="&amp;$D282)-SUMIFS($G:$G,$B:$B,$B282,$D:$D,"&lt;="&amp;$D282))</f>
        <v/>
      </c>
      <c r="I282" s="6" t="n"/>
      <c r="J282" s="6" t="n"/>
    </row>
    <row r="283">
      <c r="A283" s="2" t="n"/>
      <c r="B283" s="2" t="n"/>
      <c r="C283" s="2" t="n"/>
      <c r="D283" s="12" t="n"/>
      <c r="E283" s="2" t="n"/>
      <c r="F283" s="13" t="n"/>
      <c r="G283" s="13" t="n"/>
      <c r="H283" s="13">
        <f>IF($B283="","",SUMIFS($F:$F,$B:$B,$B283,$D:$D,"&lt;="&amp;$D283)-SUMIFS($G:$G,$B:$B,$B283,$D:$D,"&lt;="&amp;$D283))</f>
        <v/>
      </c>
      <c r="I283" s="2" t="n"/>
      <c r="J283" s="2" t="n"/>
    </row>
    <row r="284">
      <c r="A284" s="6" t="n"/>
      <c r="B284" s="6" t="n"/>
      <c r="C284" s="6" t="n"/>
      <c r="D284" s="14" t="n"/>
      <c r="E284" s="6" t="n"/>
      <c r="F284" s="15" t="n"/>
      <c r="G284" s="15" t="n"/>
      <c r="H284" s="13">
        <f>IF($B284="","",SUMIFS($F:$F,$B:$B,$B284,$D:$D,"&lt;="&amp;$D284)-SUMIFS($G:$G,$B:$B,$B284,$D:$D,"&lt;="&amp;$D284))</f>
        <v/>
      </c>
      <c r="I284" s="6" t="n"/>
      <c r="J284" s="6" t="n"/>
    </row>
    <row r="285">
      <c r="A285" s="2" t="n"/>
      <c r="B285" s="2" t="n"/>
      <c r="C285" s="2" t="n"/>
      <c r="D285" s="12" t="n"/>
      <c r="E285" s="2" t="n"/>
      <c r="F285" s="13" t="n"/>
      <c r="G285" s="13" t="n"/>
      <c r="H285" s="13">
        <f>IF($B285="","",SUMIFS($F:$F,$B:$B,$B285,$D:$D,"&lt;="&amp;$D285)-SUMIFS($G:$G,$B:$B,$B285,$D:$D,"&lt;="&amp;$D285))</f>
        <v/>
      </c>
      <c r="I285" s="2" t="n"/>
      <c r="J285" s="2" t="n"/>
    </row>
    <row r="286">
      <c r="A286" s="6" t="n"/>
      <c r="B286" s="6" t="n"/>
      <c r="C286" s="6" t="n"/>
      <c r="D286" s="14" t="n"/>
      <c r="E286" s="6" t="n"/>
      <c r="F286" s="15" t="n"/>
      <c r="G286" s="15" t="n"/>
      <c r="H286" s="13">
        <f>IF($B286="","",SUMIFS($F:$F,$B:$B,$B286,$D:$D,"&lt;="&amp;$D286)-SUMIFS($G:$G,$B:$B,$B286,$D:$D,"&lt;="&amp;$D286))</f>
        <v/>
      </c>
      <c r="I286" s="6" t="n"/>
      <c r="J286" s="6" t="n"/>
    </row>
    <row r="287">
      <c r="A287" s="2" t="n"/>
      <c r="B287" s="2" t="n"/>
      <c r="C287" s="2" t="n"/>
      <c r="D287" s="12" t="n"/>
      <c r="E287" s="2" t="n"/>
      <c r="F287" s="13" t="n"/>
      <c r="G287" s="13" t="n"/>
      <c r="H287" s="13">
        <f>IF($B287="","",SUMIFS($F:$F,$B:$B,$B287,$D:$D,"&lt;="&amp;$D287)-SUMIFS($G:$G,$B:$B,$B287,$D:$D,"&lt;="&amp;$D287))</f>
        <v/>
      </c>
      <c r="I287" s="2" t="n"/>
      <c r="J287" s="2" t="n"/>
    </row>
    <row r="288">
      <c r="A288" s="6" t="n"/>
      <c r="B288" s="6" t="n"/>
      <c r="C288" s="6" t="n"/>
      <c r="D288" s="14" t="n"/>
      <c r="E288" s="6" t="n"/>
      <c r="F288" s="15" t="n"/>
      <c r="G288" s="15" t="n"/>
      <c r="H288" s="13">
        <f>IF($B288="","",SUMIFS($F:$F,$B:$B,$B288,$D:$D,"&lt;="&amp;$D288)-SUMIFS($G:$G,$B:$B,$B288,$D:$D,"&lt;="&amp;$D288))</f>
        <v/>
      </c>
      <c r="I288" s="6" t="n"/>
      <c r="J288" s="6" t="n"/>
    </row>
    <row r="289">
      <c r="A289" s="2" t="n"/>
      <c r="B289" s="2" t="n"/>
      <c r="C289" s="2" t="n"/>
      <c r="D289" s="12" t="n"/>
      <c r="E289" s="2" t="n"/>
      <c r="F289" s="13" t="n"/>
      <c r="G289" s="13" t="n"/>
      <c r="H289" s="13">
        <f>IF($B289="","",SUMIFS($F:$F,$B:$B,$B289,$D:$D,"&lt;="&amp;$D289)-SUMIFS($G:$G,$B:$B,$B289,$D:$D,"&lt;="&amp;$D289))</f>
        <v/>
      </c>
      <c r="I289" s="2" t="n"/>
      <c r="J289" s="2" t="n"/>
    </row>
    <row r="290">
      <c r="A290" s="6" t="n"/>
      <c r="B290" s="6" t="n"/>
      <c r="C290" s="6" t="n"/>
      <c r="D290" s="14" t="n"/>
      <c r="E290" s="6" t="n"/>
      <c r="F290" s="15" t="n"/>
      <c r="G290" s="15" t="n"/>
      <c r="H290" s="13">
        <f>IF($B290="","",SUMIFS($F:$F,$B:$B,$B290,$D:$D,"&lt;="&amp;$D290)-SUMIFS($G:$G,$B:$B,$B290,$D:$D,"&lt;="&amp;$D290))</f>
        <v/>
      </c>
      <c r="I290" s="6" t="n"/>
      <c r="J290" s="6" t="n"/>
    </row>
    <row r="291">
      <c r="A291" s="2" t="n"/>
      <c r="B291" s="2" t="n"/>
      <c r="C291" s="2" t="n"/>
      <c r="D291" s="12" t="n"/>
      <c r="E291" s="2" t="n"/>
      <c r="F291" s="13" t="n"/>
      <c r="G291" s="13" t="n"/>
      <c r="H291" s="13">
        <f>IF($B291="","",SUMIFS($F:$F,$B:$B,$B291,$D:$D,"&lt;="&amp;$D291)-SUMIFS($G:$G,$B:$B,$B291,$D:$D,"&lt;="&amp;$D291))</f>
        <v/>
      </c>
      <c r="I291" s="2" t="n"/>
      <c r="J291" s="2" t="n"/>
    </row>
    <row r="292">
      <c r="A292" s="6" t="n"/>
      <c r="B292" s="6" t="n"/>
      <c r="C292" s="6" t="n"/>
      <c r="D292" s="14" t="n"/>
      <c r="E292" s="6" t="n"/>
      <c r="F292" s="15" t="n"/>
      <c r="G292" s="15" t="n"/>
      <c r="H292" s="13">
        <f>IF($B292="","",SUMIFS($F:$F,$B:$B,$B292,$D:$D,"&lt;="&amp;$D292)-SUMIFS($G:$G,$B:$B,$B292,$D:$D,"&lt;="&amp;$D292))</f>
        <v/>
      </c>
      <c r="I292" s="6" t="n"/>
      <c r="J292" s="6" t="n"/>
    </row>
    <row r="293">
      <c r="A293" s="2" t="n"/>
      <c r="B293" s="2" t="n"/>
      <c r="C293" s="2" t="n"/>
      <c r="D293" s="12" t="n"/>
      <c r="E293" s="2" t="n"/>
      <c r="F293" s="13" t="n"/>
      <c r="G293" s="13" t="n"/>
      <c r="H293" s="13">
        <f>IF($B293="","",SUMIFS($F:$F,$B:$B,$B293,$D:$D,"&lt;="&amp;$D293)-SUMIFS($G:$G,$B:$B,$B293,$D:$D,"&lt;="&amp;$D293))</f>
        <v/>
      </c>
      <c r="I293" s="2" t="n"/>
      <c r="J293" s="2" t="n"/>
    </row>
    <row r="294">
      <c r="A294" s="6" t="n"/>
      <c r="B294" s="6" t="n"/>
      <c r="C294" s="6" t="n"/>
      <c r="D294" s="14" t="n"/>
      <c r="E294" s="6" t="n"/>
      <c r="F294" s="15" t="n"/>
      <c r="G294" s="15" t="n"/>
      <c r="H294" s="13">
        <f>IF($B294="","",SUMIFS($F:$F,$B:$B,$B294,$D:$D,"&lt;="&amp;$D294)-SUMIFS($G:$G,$B:$B,$B294,$D:$D,"&lt;="&amp;$D294))</f>
        <v/>
      </c>
      <c r="I294" s="6" t="n"/>
      <c r="J294" s="6" t="n"/>
    </row>
    <row r="295">
      <c r="A295" s="2" t="n"/>
      <c r="B295" s="2" t="n"/>
      <c r="C295" s="2" t="n"/>
      <c r="D295" s="12" t="n"/>
      <c r="E295" s="2" t="n"/>
      <c r="F295" s="13" t="n"/>
      <c r="G295" s="13" t="n"/>
      <c r="H295" s="13">
        <f>IF($B295="","",SUMIFS($F:$F,$B:$B,$B295,$D:$D,"&lt;="&amp;$D295)-SUMIFS($G:$G,$B:$B,$B295,$D:$D,"&lt;="&amp;$D295))</f>
        <v/>
      </c>
      <c r="I295" s="2" t="n"/>
      <c r="J295" s="2" t="n"/>
    </row>
    <row r="296">
      <c r="A296" s="6" t="n"/>
      <c r="B296" s="6" t="n"/>
      <c r="C296" s="6" t="n"/>
      <c r="D296" s="14" t="n"/>
      <c r="E296" s="6" t="n"/>
      <c r="F296" s="15" t="n"/>
      <c r="G296" s="15" t="n"/>
      <c r="H296" s="13">
        <f>IF($B296="","",SUMIFS($F:$F,$B:$B,$B296,$D:$D,"&lt;="&amp;$D296)-SUMIFS($G:$G,$B:$B,$B296,$D:$D,"&lt;="&amp;$D296))</f>
        <v/>
      </c>
      <c r="I296" s="6" t="n"/>
      <c r="J296" s="6" t="n"/>
    </row>
    <row r="297">
      <c r="A297" s="2" t="n"/>
      <c r="B297" s="2" t="n"/>
      <c r="C297" s="2" t="n"/>
      <c r="D297" s="12" t="n"/>
      <c r="E297" s="2" t="n"/>
      <c r="F297" s="13" t="n"/>
      <c r="G297" s="13" t="n"/>
      <c r="H297" s="13">
        <f>IF($B297="","",SUMIFS($F:$F,$B:$B,$B297,$D:$D,"&lt;="&amp;$D297)-SUMIFS($G:$G,$B:$B,$B297,$D:$D,"&lt;="&amp;$D297))</f>
        <v/>
      </c>
      <c r="I297" s="2" t="n"/>
      <c r="J297" s="2" t="n"/>
    </row>
    <row r="298">
      <c r="A298" s="6" t="n"/>
      <c r="B298" s="6" t="n"/>
      <c r="C298" s="6" t="n"/>
      <c r="D298" s="14" t="n"/>
      <c r="E298" s="6" t="n"/>
      <c r="F298" s="15" t="n"/>
      <c r="G298" s="15" t="n"/>
      <c r="H298" s="13">
        <f>IF($B298="","",SUMIFS($F:$F,$B:$B,$B298,$D:$D,"&lt;="&amp;$D298)-SUMIFS($G:$G,$B:$B,$B298,$D:$D,"&lt;="&amp;$D298))</f>
        <v/>
      </c>
      <c r="I298" s="6" t="n"/>
      <c r="J298" s="6" t="n"/>
    </row>
    <row r="299">
      <c r="A299" s="2" t="n"/>
      <c r="B299" s="2" t="n"/>
      <c r="C299" s="2" t="n"/>
      <c r="D299" s="12" t="n"/>
      <c r="E299" s="2" t="n"/>
      <c r="F299" s="13" t="n"/>
      <c r="G299" s="13" t="n"/>
      <c r="H299" s="13">
        <f>IF($B299="","",SUMIFS($F:$F,$B:$B,$B299,$D:$D,"&lt;="&amp;$D299)-SUMIFS($G:$G,$B:$B,$B299,$D:$D,"&lt;="&amp;$D299))</f>
        <v/>
      </c>
      <c r="I299" s="2" t="n"/>
      <c r="J299" s="2" t="n"/>
    </row>
    <row r="300">
      <c r="A300" s="6" t="n"/>
      <c r="B300" s="6" t="n"/>
      <c r="C300" s="6" t="n"/>
      <c r="D300" s="14" t="n"/>
      <c r="E300" s="6" t="n"/>
      <c r="F300" s="15" t="n"/>
      <c r="G300" s="15" t="n"/>
      <c r="H300" s="13">
        <f>IF($B300="","",SUMIFS($F:$F,$B:$B,$B300,$D:$D,"&lt;="&amp;$D300)-SUMIFS($G:$G,$B:$B,$B300,$D:$D,"&lt;="&amp;$D300))</f>
        <v/>
      </c>
      <c r="I300" s="6" t="n"/>
      <c r="J300" s="6" t="n"/>
    </row>
    <row r="301">
      <c r="A301" s="2" t="n"/>
      <c r="B301" s="2" t="n"/>
      <c r="C301" s="2" t="n"/>
      <c r="D301" s="12" t="n"/>
      <c r="E301" s="2" t="n"/>
      <c r="F301" s="13" t="n"/>
      <c r="G301" s="13" t="n"/>
      <c r="H301" s="13">
        <f>IF($B301="","",SUMIFS($F:$F,$B:$B,$B301,$D:$D,"&lt;="&amp;$D301)-SUMIFS($G:$G,$B:$B,$B301,$D:$D,"&lt;="&amp;$D301))</f>
        <v/>
      </c>
      <c r="I301" s="2" t="n"/>
      <c r="J301" s="2" t="n"/>
    </row>
    <row r="302">
      <c r="A302" s="6" t="n"/>
      <c r="B302" s="6" t="n"/>
      <c r="C302" s="6" t="n"/>
      <c r="D302" s="14" t="n"/>
      <c r="E302" s="6" t="n"/>
      <c r="F302" s="15" t="n"/>
      <c r="G302" s="15" t="n"/>
      <c r="H302" s="13">
        <f>IF($B302="","",SUMIFS($F:$F,$B:$B,$B302,$D:$D,"&lt;="&amp;$D302)-SUMIFS($G:$G,$B:$B,$B302,$D:$D,"&lt;="&amp;$D302))</f>
        <v/>
      </c>
      <c r="I302" s="6" t="n"/>
      <c r="J302" s="6" t="n"/>
    </row>
    <row r="303">
      <c r="A303" s="2" t="n"/>
      <c r="B303" s="2" t="n"/>
      <c r="C303" s="2" t="n"/>
      <c r="D303" s="12" t="n"/>
      <c r="E303" s="2" t="n"/>
      <c r="F303" s="13" t="n"/>
      <c r="G303" s="13" t="n"/>
      <c r="H303" s="13">
        <f>IF($B303="","",SUMIFS($F:$F,$B:$B,$B303,$D:$D,"&lt;="&amp;$D303)-SUMIFS($G:$G,$B:$B,$B303,$D:$D,"&lt;="&amp;$D303))</f>
        <v/>
      </c>
      <c r="I303" s="2" t="n"/>
      <c r="J303" s="2" t="n"/>
    </row>
    <row r="304">
      <c r="A304" s="6" t="n"/>
      <c r="B304" s="6" t="n"/>
      <c r="C304" s="6" t="n"/>
      <c r="D304" s="14" t="n"/>
      <c r="E304" s="6" t="n"/>
      <c r="F304" s="15" t="n"/>
      <c r="G304" s="15" t="n"/>
      <c r="H304" s="13">
        <f>IF($B304="","",SUMIFS($F:$F,$B:$B,$B304,$D:$D,"&lt;="&amp;$D304)-SUMIFS($G:$G,$B:$B,$B304,$D:$D,"&lt;="&amp;$D304))</f>
        <v/>
      </c>
      <c r="I304" s="6" t="n"/>
      <c r="J304" s="6" t="n"/>
    </row>
    <row r="305">
      <c r="A305" s="2" t="n"/>
      <c r="B305" s="2" t="n"/>
      <c r="C305" s="2" t="n"/>
      <c r="D305" s="12" t="n"/>
      <c r="E305" s="2" t="n"/>
      <c r="F305" s="13" t="n"/>
      <c r="G305" s="13" t="n"/>
      <c r="H305" s="13">
        <f>IF($B305="","",SUMIFS($F:$F,$B:$B,$B305,$D:$D,"&lt;="&amp;$D305)-SUMIFS($G:$G,$B:$B,$B305,$D:$D,"&lt;="&amp;$D305))</f>
        <v/>
      </c>
      <c r="I305" s="2" t="n"/>
      <c r="J305" s="2" t="n"/>
    </row>
    <row r="306">
      <c r="A306" s="6" t="n"/>
      <c r="B306" s="6" t="n"/>
      <c r="C306" s="6" t="n"/>
      <c r="D306" s="14" t="n"/>
      <c r="E306" s="6" t="n"/>
      <c r="F306" s="15" t="n"/>
      <c r="G306" s="15" t="n"/>
      <c r="H306" s="13">
        <f>IF($B306="","",SUMIFS($F:$F,$B:$B,$B306,$D:$D,"&lt;="&amp;$D306)-SUMIFS($G:$G,$B:$B,$B306,$D:$D,"&lt;="&amp;$D306))</f>
        <v/>
      </c>
      <c r="I306" s="6" t="n"/>
      <c r="J306" s="6" t="n"/>
    </row>
    <row r="307">
      <c r="A307" s="2" t="n"/>
      <c r="B307" s="2" t="n"/>
      <c r="C307" s="2" t="n"/>
      <c r="D307" s="12" t="n"/>
      <c r="E307" s="2" t="n"/>
      <c r="F307" s="13" t="n"/>
      <c r="G307" s="13" t="n"/>
      <c r="H307" s="13">
        <f>IF($B307="","",SUMIFS($F:$F,$B:$B,$B307,$D:$D,"&lt;="&amp;$D307)-SUMIFS($G:$G,$B:$B,$B307,$D:$D,"&lt;="&amp;$D307))</f>
        <v/>
      </c>
      <c r="I307" s="2" t="n"/>
      <c r="J307" s="2" t="n"/>
    </row>
    <row r="308">
      <c r="A308" s="6" t="n"/>
      <c r="B308" s="6" t="n"/>
      <c r="C308" s="6" t="n"/>
      <c r="D308" s="14" t="n"/>
      <c r="E308" s="6" t="n"/>
      <c r="F308" s="15" t="n"/>
      <c r="G308" s="15" t="n"/>
      <c r="H308" s="13">
        <f>IF($B308="","",SUMIFS($F:$F,$B:$B,$B308,$D:$D,"&lt;="&amp;$D308)-SUMIFS($G:$G,$B:$B,$B308,$D:$D,"&lt;="&amp;$D308))</f>
        <v/>
      </c>
      <c r="I308" s="6" t="n"/>
      <c r="J308" s="6" t="n"/>
    </row>
    <row r="309">
      <c r="A309" s="2" t="n"/>
      <c r="B309" s="2" t="n"/>
      <c r="C309" s="2" t="n"/>
      <c r="D309" s="12" t="n"/>
      <c r="E309" s="2" t="n"/>
      <c r="F309" s="13" t="n"/>
      <c r="G309" s="13" t="n"/>
      <c r="H309" s="13">
        <f>IF($B309="","",SUMIFS($F:$F,$B:$B,$B309,$D:$D,"&lt;="&amp;$D309)-SUMIFS($G:$G,$B:$B,$B309,$D:$D,"&lt;="&amp;$D309))</f>
        <v/>
      </c>
      <c r="I309" s="2" t="n"/>
      <c r="J309" s="2" t="n"/>
    </row>
    <row r="310">
      <c r="A310" s="6" t="n"/>
      <c r="B310" s="6" t="n"/>
      <c r="C310" s="6" t="n"/>
      <c r="D310" s="14" t="n"/>
      <c r="E310" s="6" t="n"/>
      <c r="F310" s="15" t="n"/>
      <c r="G310" s="15" t="n"/>
      <c r="H310" s="13">
        <f>IF($B310="","",SUMIFS($F:$F,$B:$B,$B310,$D:$D,"&lt;="&amp;$D310)-SUMIFS($G:$G,$B:$B,$B310,$D:$D,"&lt;="&amp;$D310))</f>
        <v/>
      </c>
      <c r="I310" s="6" t="n"/>
      <c r="J310" s="6" t="n"/>
    </row>
    <row r="311">
      <c r="A311" s="2" t="n"/>
      <c r="B311" s="2" t="n"/>
      <c r="C311" s="2" t="n"/>
      <c r="D311" s="12" t="n"/>
      <c r="E311" s="2" t="n"/>
      <c r="F311" s="13" t="n"/>
      <c r="G311" s="13" t="n"/>
      <c r="H311" s="13">
        <f>IF($B311="","",SUMIFS($F:$F,$B:$B,$B311,$D:$D,"&lt;="&amp;$D311)-SUMIFS($G:$G,$B:$B,$B311,$D:$D,"&lt;="&amp;$D311))</f>
        <v/>
      </c>
      <c r="I311" s="2" t="n"/>
      <c r="J311" s="2" t="n"/>
    </row>
    <row r="312">
      <c r="A312" s="6" t="n"/>
      <c r="B312" s="6" t="n"/>
      <c r="C312" s="6" t="n"/>
      <c r="D312" s="14" t="n"/>
      <c r="E312" s="6" t="n"/>
      <c r="F312" s="15" t="n"/>
      <c r="G312" s="15" t="n"/>
      <c r="H312" s="13">
        <f>IF($B312="","",SUMIFS($F:$F,$B:$B,$B312,$D:$D,"&lt;="&amp;$D312)-SUMIFS($G:$G,$B:$B,$B312,$D:$D,"&lt;="&amp;$D312))</f>
        <v/>
      </c>
      <c r="I312" s="6" t="n"/>
      <c r="J312" s="6" t="n"/>
    </row>
    <row r="313">
      <c r="A313" s="2" t="n"/>
      <c r="B313" s="2" t="n"/>
      <c r="C313" s="2" t="n"/>
      <c r="D313" s="12" t="n"/>
      <c r="E313" s="2" t="n"/>
      <c r="F313" s="13" t="n"/>
      <c r="G313" s="13" t="n"/>
      <c r="H313" s="13">
        <f>IF($B313="","",SUMIFS($F:$F,$B:$B,$B313,$D:$D,"&lt;="&amp;$D313)-SUMIFS($G:$G,$B:$B,$B313,$D:$D,"&lt;="&amp;$D313))</f>
        <v/>
      </c>
      <c r="I313" s="2" t="n"/>
      <c r="J313" s="2" t="n"/>
    </row>
    <row r="314">
      <c r="A314" s="6" t="n"/>
      <c r="B314" s="6" t="n"/>
      <c r="C314" s="6" t="n"/>
      <c r="D314" s="14" t="n"/>
      <c r="E314" s="6" t="n"/>
      <c r="F314" s="15" t="n"/>
      <c r="G314" s="15" t="n"/>
      <c r="H314" s="13">
        <f>IF($B314="","",SUMIFS($F:$F,$B:$B,$B314,$D:$D,"&lt;="&amp;$D314)-SUMIFS($G:$G,$B:$B,$B314,$D:$D,"&lt;="&amp;$D314))</f>
        <v/>
      </c>
      <c r="I314" s="6" t="n"/>
      <c r="J314" s="6" t="n"/>
    </row>
    <row r="315">
      <c r="A315" s="2" t="n"/>
      <c r="B315" s="2" t="n"/>
      <c r="C315" s="2" t="n"/>
      <c r="D315" s="12" t="n"/>
      <c r="E315" s="2" t="n"/>
      <c r="F315" s="13" t="n"/>
      <c r="G315" s="13" t="n"/>
      <c r="H315" s="13">
        <f>IF($B315="","",SUMIFS($F:$F,$B:$B,$B315,$D:$D,"&lt;="&amp;$D315)-SUMIFS($G:$G,$B:$B,$B315,$D:$D,"&lt;="&amp;$D315))</f>
        <v/>
      </c>
      <c r="I315" s="2" t="n"/>
      <c r="J315" s="2" t="n"/>
    </row>
    <row r="316">
      <c r="A316" s="6" t="n"/>
      <c r="B316" s="6" t="n"/>
      <c r="C316" s="6" t="n"/>
      <c r="D316" s="14" t="n"/>
      <c r="E316" s="6" t="n"/>
      <c r="F316" s="15" t="n"/>
      <c r="G316" s="15" t="n"/>
      <c r="H316" s="13">
        <f>IF($B316="","",SUMIFS($F:$F,$B:$B,$B316,$D:$D,"&lt;="&amp;$D316)-SUMIFS($G:$G,$B:$B,$B316,$D:$D,"&lt;="&amp;$D316))</f>
        <v/>
      </c>
      <c r="I316" s="6" t="n"/>
      <c r="J316" s="6" t="n"/>
    </row>
    <row r="317">
      <c r="A317" s="2" t="n"/>
      <c r="B317" s="2" t="n"/>
      <c r="C317" s="2" t="n"/>
      <c r="D317" s="12" t="n"/>
      <c r="E317" s="2" t="n"/>
      <c r="F317" s="13" t="n"/>
      <c r="G317" s="13" t="n"/>
      <c r="H317" s="13">
        <f>IF($B317="","",SUMIFS($F:$F,$B:$B,$B317,$D:$D,"&lt;="&amp;$D317)-SUMIFS($G:$G,$B:$B,$B317,$D:$D,"&lt;="&amp;$D317))</f>
        <v/>
      </c>
      <c r="I317" s="2" t="n"/>
      <c r="J317" s="2" t="n"/>
    </row>
    <row r="318">
      <c r="A318" s="6" t="n"/>
      <c r="B318" s="6" t="n"/>
      <c r="C318" s="6" t="n"/>
      <c r="D318" s="14" t="n"/>
      <c r="E318" s="6" t="n"/>
      <c r="F318" s="15" t="n"/>
      <c r="G318" s="15" t="n"/>
      <c r="H318" s="13">
        <f>IF($B318="","",SUMIFS($F:$F,$B:$B,$B318,$D:$D,"&lt;="&amp;$D318)-SUMIFS($G:$G,$B:$B,$B318,$D:$D,"&lt;="&amp;$D318))</f>
        <v/>
      </c>
      <c r="I318" s="6" t="n"/>
      <c r="J318" s="6" t="n"/>
    </row>
    <row r="319">
      <c r="A319" s="2" t="n"/>
      <c r="B319" s="2" t="n"/>
      <c r="C319" s="2" t="n"/>
      <c r="D319" s="12" t="n"/>
      <c r="E319" s="2" t="n"/>
      <c r="F319" s="13" t="n"/>
      <c r="G319" s="13" t="n"/>
      <c r="H319" s="13">
        <f>IF($B319="","",SUMIFS($F:$F,$B:$B,$B319,$D:$D,"&lt;="&amp;$D319)-SUMIFS($G:$G,$B:$B,$B319,$D:$D,"&lt;="&amp;$D319))</f>
        <v/>
      </c>
      <c r="I319" s="2" t="n"/>
      <c r="J319" s="2" t="n"/>
    </row>
    <row r="320">
      <c r="A320" s="6" t="n"/>
      <c r="B320" s="6" t="n"/>
      <c r="C320" s="6" t="n"/>
      <c r="D320" s="14" t="n"/>
      <c r="E320" s="6" t="n"/>
      <c r="F320" s="15" t="n"/>
      <c r="G320" s="15" t="n"/>
      <c r="H320" s="13">
        <f>IF($B320="","",SUMIFS($F:$F,$B:$B,$B320,$D:$D,"&lt;="&amp;$D320)-SUMIFS($G:$G,$B:$B,$B320,$D:$D,"&lt;="&amp;$D320))</f>
        <v/>
      </c>
      <c r="I320" s="6" t="n"/>
      <c r="J320" s="6" t="n"/>
    </row>
    <row r="321">
      <c r="A321" s="2" t="n"/>
      <c r="B321" s="2" t="n"/>
      <c r="C321" s="2" t="n"/>
      <c r="D321" s="12" t="n"/>
      <c r="E321" s="2" t="n"/>
      <c r="F321" s="13" t="n"/>
      <c r="G321" s="13" t="n"/>
      <c r="H321" s="13">
        <f>IF($B321="","",SUMIFS($F:$F,$B:$B,$B321,$D:$D,"&lt;="&amp;$D321)-SUMIFS($G:$G,$B:$B,$B321,$D:$D,"&lt;="&amp;$D321))</f>
        <v/>
      </c>
      <c r="I321" s="2" t="n"/>
      <c r="J321" s="2" t="n"/>
    </row>
    <row r="322">
      <c r="A322" s="6" t="n"/>
      <c r="B322" s="6" t="n"/>
      <c r="C322" s="6" t="n"/>
      <c r="D322" s="14" t="n"/>
      <c r="E322" s="6" t="n"/>
      <c r="F322" s="15" t="n"/>
      <c r="G322" s="15" t="n"/>
      <c r="H322" s="13">
        <f>IF($B322="","",SUMIFS($F:$F,$B:$B,$B322,$D:$D,"&lt;="&amp;$D322)-SUMIFS($G:$G,$B:$B,$B322,$D:$D,"&lt;="&amp;$D322))</f>
        <v/>
      </c>
      <c r="I322" s="6" t="n"/>
      <c r="J322" s="6" t="n"/>
    </row>
    <row r="323">
      <c r="A323" s="2" t="n"/>
      <c r="B323" s="2" t="n"/>
      <c r="C323" s="2" t="n"/>
      <c r="D323" s="12" t="n"/>
      <c r="E323" s="2" t="n"/>
      <c r="F323" s="13" t="n"/>
      <c r="G323" s="13" t="n"/>
      <c r="H323" s="13">
        <f>IF($B323="","",SUMIFS($F:$F,$B:$B,$B323,$D:$D,"&lt;="&amp;$D323)-SUMIFS($G:$G,$B:$B,$B323,$D:$D,"&lt;="&amp;$D323))</f>
        <v/>
      </c>
      <c r="I323" s="2" t="n"/>
      <c r="J323" s="2" t="n"/>
    </row>
    <row r="324">
      <c r="A324" s="6" t="n"/>
      <c r="B324" s="6" t="n"/>
      <c r="C324" s="6" t="n"/>
      <c r="D324" s="14" t="n"/>
      <c r="E324" s="6" t="n"/>
      <c r="F324" s="15" t="n"/>
      <c r="G324" s="15" t="n"/>
      <c r="H324" s="13">
        <f>IF($B324="","",SUMIFS($F:$F,$B:$B,$B324,$D:$D,"&lt;="&amp;$D324)-SUMIFS($G:$G,$B:$B,$B324,$D:$D,"&lt;="&amp;$D324))</f>
        <v/>
      </c>
      <c r="I324" s="6" t="n"/>
      <c r="J324" s="6" t="n"/>
    </row>
    <row r="325">
      <c r="A325" s="2" t="n"/>
      <c r="B325" s="2" t="n"/>
      <c r="C325" s="2" t="n"/>
      <c r="D325" s="12" t="n"/>
      <c r="E325" s="2" t="n"/>
      <c r="F325" s="13" t="n"/>
      <c r="G325" s="13" t="n"/>
      <c r="H325" s="13">
        <f>IF($B325="","",SUMIFS($F:$F,$B:$B,$B325,$D:$D,"&lt;="&amp;$D325)-SUMIFS($G:$G,$B:$B,$B325,$D:$D,"&lt;="&amp;$D325))</f>
        <v/>
      </c>
      <c r="I325" s="2" t="n"/>
      <c r="J325" s="2" t="n"/>
    </row>
    <row r="326">
      <c r="A326" s="6" t="n"/>
      <c r="B326" s="6" t="n"/>
      <c r="C326" s="6" t="n"/>
      <c r="D326" s="14" t="n"/>
      <c r="E326" s="6" t="n"/>
      <c r="F326" s="15" t="n"/>
      <c r="G326" s="15" t="n"/>
      <c r="H326" s="13">
        <f>IF($B326="","",SUMIFS($F:$F,$B:$B,$B326,$D:$D,"&lt;="&amp;$D326)-SUMIFS($G:$G,$B:$B,$B326,$D:$D,"&lt;="&amp;$D326))</f>
        <v/>
      </c>
      <c r="I326" s="6" t="n"/>
      <c r="J326" s="6" t="n"/>
    </row>
    <row r="327">
      <c r="A327" s="2" t="n"/>
      <c r="B327" s="2" t="n"/>
      <c r="C327" s="2" t="n"/>
      <c r="D327" s="12" t="n"/>
      <c r="E327" s="2" t="n"/>
      <c r="F327" s="13" t="n"/>
      <c r="G327" s="13" t="n"/>
      <c r="H327" s="13">
        <f>IF($B327="","",SUMIFS($F:$F,$B:$B,$B327,$D:$D,"&lt;="&amp;$D327)-SUMIFS($G:$G,$B:$B,$B327,$D:$D,"&lt;="&amp;$D327))</f>
        <v/>
      </c>
      <c r="I327" s="2" t="n"/>
      <c r="J327" s="2" t="n"/>
    </row>
    <row r="328">
      <c r="A328" s="6" t="n"/>
      <c r="B328" s="6" t="n"/>
      <c r="C328" s="6" t="n"/>
      <c r="D328" s="14" t="n"/>
      <c r="E328" s="6" t="n"/>
      <c r="F328" s="15" t="n"/>
      <c r="G328" s="15" t="n"/>
      <c r="H328" s="13">
        <f>IF($B328="","",SUMIFS($F:$F,$B:$B,$B328,$D:$D,"&lt;="&amp;$D328)-SUMIFS($G:$G,$B:$B,$B328,$D:$D,"&lt;="&amp;$D328))</f>
        <v/>
      </c>
      <c r="I328" s="6" t="n"/>
      <c r="J328" s="6" t="n"/>
    </row>
    <row r="329">
      <c r="A329" s="2" t="n"/>
      <c r="B329" s="2" t="n"/>
      <c r="C329" s="2" t="n"/>
      <c r="D329" s="12" t="n"/>
      <c r="E329" s="2" t="n"/>
      <c r="F329" s="13" t="n"/>
      <c r="G329" s="13" t="n"/>
      <c r="H329" s="13">
        <f>IF($B329="","",SUMIFS($F:$F,$B:$B,$B329,$D:$D,"&lt;="&amp;$D329)-SUMIFS($G:$G,$B:$B,$B329,$D:$D,"&lt;="&amp;$D329))</f>
        <v/>
      </c>
      <c r="I329" s="2" t="n"/>
      <c r="J329" s="2" t="n"/>
    </row>
    <row r="330">
      <c r="A330" s="6" t="n"/>
      <c r="B330" s="6" t="n"/>
      <c r="C330" s="6" t="n"/>
      <c r="D330" s="14" t="n"/>
      <c r="E330" s="6" t="n"/>
      <c r="F330" s="15" t="n"/>
      <c r="G330" s="15" t="n"/>
      <c r="H330" s="13">
        <f>IF($B330="","",SUMIFS($F:$F,$B:$B,$B330,$D:$D,"&lt;="&amp;$D330)-SUMIFS($G:$G,$B:$B,$B330,$D:$D,"&lt;="&amp;$D330))</f>
        <v/>
      </c>
      <c r="I330" s="6" t="n"/>
      <c r="J330" s="6" t="n"/>
    </row>
    <row r="331">
      <c r="A331" s="2" t="n"/>
      <c r="B331" s="2" t="n"/>
      <c r="C331" s="2" t="n"/>
      <c r="D331" s="12" t="n"/>
      <c r="E331" s="2" t="n"/>
      <c r="F331" s="13" t="n"/>
      <c r="G331" s="13" t="n"/>
      <c r="H331" s="13">
        <f>IF($B331="","",SUMIFS($F:$F,$B:$B,$B331,$D:$D,"&lt;="&amp;$D331)-SUMIFS($G:$G,$B:$B,$B331,$D:$D,"&lt;="&amp;$D331))</f>
        <v/>
      </c>
      <c r="I331" s="2" t="n"/>
      <c r="J331" s="2" t="n"/>
    </row>
    <row r="332">
      <c r="A332" s="6" t="n"/>
      <c r="B332" s="6" t="n"/>
      <c r="C332" s="6" t="n"/>
      <c r="D332" s="14" t="n"/>
      <c r="E332" s="6" t="n"/>
      <c r="F332" s="15" t="n"/>
      <c r="G332" s="15" t="n"/>
      <c r="H332" s="13">
        <f>IF($B332="","",SUMIFS($F:$F,$B:$B,$B332,$D:$D,"&lt;="&amp;$D332)-SUMIFS($G:$G,$B:$B,$B332,$D:$D,"&lt;="&amp;$D332))</f>
        <v/>
      </c>
      <c r="I332" s="6" t="n"/>
      <c r="J332" s="6" t="n"/>
    </row>
    <row r="333">
      <c r="A333" s="2" t="n"/>
      <c r="B333" s="2" t="n"/>
      <c r="C333" s="2" t="n"/>
      <c r="D333" s="12" t="n"/>
      <c r="E333" s="2" t="n"/>
      <c r="F333" s="13" t="n"/>
      <c r="G333" s="13" t="n"/>
      <c r="H333" s="13">
        <f>IF($B333="","",SUMIFS($F:$F,$B:$B,$B333,$D:$D,"&lt;="&amp;$D333)-SUMIFS($G:$G,$B:$B,$B333,$D:$D,"&lt;="&amp;$D333))</f>
        <v/>
      </c>
      <c r="I333" s="2" t="n"/>
      <c r="J333" s="2" t="n"/>
    </row>
    <row r="334">
      <c r="A334" s="6" t="n"/>
      <c r="B334" s="6" t="n"/>
      <c r="C334" s="6" t="n"/>
      <c r="D334" s="14" t="n"/>
      <c r="E334" s="6" t="n"/>
      <c r="F334" s="15" t="n"/>
      <c r="G334" s="15" t="n"/>
      <c r="H334" s="13">
        <f>IF($B334="","",SUMIFS($F:$F,$B:$B,$B334,$D:$D,"&lt;="&amp;$D334)-SUMIFS($G:$G,$B:$B,$B334,$D:$D,"&lt;="&amp;$D334))</f>
        <v/>
      </c>
      <c r="I334" s="6" t="n"/>
      <c r="J334" s="6" t="n"/>
    </row>
    <row r="335">
      <c r="A335" s="2" t="n"/>
      <c r="B335" s="2" t="n"/>
      <c r="C335" s="2" t="n"/>
      <c r="D335" s="12" t="n"/>
      <c r="E335" s="2" t="n"/>
      <c r="F335" s="13" t="n"/>
      <c r="G335" s="13" t="n"/>
      <c r="H335" s="13">
        <f>IF($B335="","",SUMIFS($F:$F,$B:$B,$B335,$D:$D,"&lt;="&amp;$D335)-SUMIFS($G:$G,$B:$B,$B335,$D:$D,"&lt;="&amp;$D335))</f>
        <v/>
      </c>
      <c r="I335" s="2" t="n"/>
      <c r="J335" s="2" t="n"/>
    </row>
    <row r="336">
      <c r="A336" s="6" t="n"/>
      <c r="B336" s="6" t="n"/>
      <c r="C336" s="6" t="n"/>
      <c r="D336" s="14" t="n"/>
      <c r="E336" s="6" t="n"/>
      <c r="F336" s="15" t="n"/>
      <c r="G336" s="15" t="n"/>
      <c r="H336" s="13">
        <f>IF($B336="","",SUMIFS($F:$F,$B:$B,$B336,$D:$D,"&lt;="&amp;$D336)-SUMIFS($G:$G,$B:$B,$B336,$D:$D,"&lt;="&amp;$D336))</f>
        <v/>
      </c>
      <c r="I336" s="6" t="n"/>
      <c r="J336" s="6" t="n"/>
    </row>
    <row r="337">
      <c r="A337" s="2" t="n"/>
      <c r="B337" s="2" t="n"/>
      <c r="C337" s="2" t="n"/>
      <c r="D337" s="12" t="n"/>
      <c r="E337" s="2" t="n"/>
      <c r="F337" s="13" t="n"/>
      <c r="G337" s="13" t="n"/>
      <c r="H337" s="13">
        <f>IF($B337="","",SUMIFS($F:$F,$B:$B,$B337,$D:$D,"&lt;="&amp;$D337)-SUMIFS($G:$G,$B:$B,$B337,$D:$D,"&lt;="&amp;$D337))</f>
        <v/>
      </c>
      <c r="I337" s="2" t="n"/>
      <c r="J337" s="2" t="n"/>
    </row>
    <row r="338">
      <c r="A338" s="6" t="n"/>
      <c r="B338" s="6" t="n"/>
      <c r="C338" s="6" t="n"/>
      <c r="D338" s="14" t="n"/>
      <c r="E338" s="6" t="n"/>
      <c r="F338" s="15" t="n"/>
      <c r="G338" s="15" t="n"/>
      <c r="H338" s="13">
        <f>IF($B338="","",SUMIFS($F:$F,$B:$B,$B338,$D:$D,"&lt;="&amp;$D338)-SUMIFS($G:$G,$B:$B,$B338,$D:$D,"&lt;="&amp;$D338))</f>
        <v/>
      </c>
      <c r="I338" s="6" t="n"/>
      <c r="J338" s="6" t="n"/>
    </row>
    <row r="339">
      <c r="A339" s="2" t="n"/>
      <c r="B339" s="2" t="n"/>
      <c r="C339" s="2" t="n"/>
      <c r="D339" s="12" t="n"/>
      <c r="E339" s="2" t="n"/>
      <c r="F339" s="13" t="n"/>
      <c r="G339" s="13" t="n"/>
      <c r="H339" s="13">
        <f>IF($B339="","",SUMIFS($F:$F,$B:$B,$B339,$D:$D,"&lt;="&amp;$D339)-SUMIFS($G:$G,$B:$B,$B339,$D:$D,"&lt;="&amp;$D339))</f>
        <v/>
      </c>
      <c r="I339" s="2" t="n"/>
      <c r="J339" s="2" t="n"/>
    </row>
    <row r="340">
      <c r="A340" s="6" t="n"/>
      <c r="B340" s="6" t="n"/>
      <c r="C340" s="6" t="n"/>
      <c r="D340" s="14" t="n"/>
      <c r="E340" s="6" t="n"/>
      <c r="F340" s="15" t="n"/>
      <c r="G340" s="15" t="n"/>
      <c r="H340" s="13">
        <f>IF($B340="","",SUMIFS($F:$F,$B:$B,$B340,$D:$D,"&lt;="&amp;$D340)-SUMIFS($G:$G,$B:$B,$B340,$D:$D,"&lt;="&amp;$D340))</f>
        <v/>
      </c>
      <c r="I340" s="6" t="n"/>
      <c r="J340" s="6" t="n"/>
    </row>
    <row r="341">
      <c r="A341" s="2" t="n"/>
      <c r="B341" s="2" t="n"/>
      <c r="C341" s="2" t="n"/>
      <c r="D341" s="12" t="n"/>
      <c r="E341" s="2" t="n"/>
      <c r="F341" s="13" t="n"/>
      <c r="G341" s="13" t="n"/>
      <c r="H341" s="13">
        <f>IF($B341="","",SUMIFS($F:$F,$B:$B,$B341,$D:$D,"&lt;="&amp;$D341)-SUMIFS($G:$G,$B:$B,$B341,$D:$D,"&lt;="&amp;$D341))</f>
        <v/>
      </c>
      <c r="I341" s="2" t="n"/>
      <c r="J341" s="2" t="n"/>
    </row>
    <row r="342">
      <c r="A342" s="6" t="n"/>
      <c r="B342" s="6" t="n"/>
      <c r="C342" s="6" t="n"/>
      <c r="D342" s="14" t="n"/>
      <c r="E342" s="6" t="n"/>
      <c r="F342" s="15" t="n"/>
      <c r="G342" s="15" t="n"/>
      <c r="H342" s="13">
        <f>IF($B342="","",SUMIFS($F:$F,$B:$B,$B342,$D:$D,"&lt;="&amp;$D342)-SUMIFS($G:$G,$B:$B,$B342,$D:$D,"&lt;="&amp;$D342))</f>
        <v/>
      </c>
      <c r="I342" s="6" t="n"/>
      <c r="J342" s="6" t="n"/>
    </row>
    <row r="343">
      <c r="A343" s="2" t="n"/>
      <c r="B343" s="2" t="n"/>
      <c r="C343" s="2" t="n"/>
      <c r="D343" s="12" t="n"/>
      <c r="E343" s="2" t="n"/>
      <c r="F343" s="13" t="n"/>
      <c r="G343" s="13" t="n"/>
      <c r="H343" s="13">
        <f>IF($B343="","",SUMIFS($F:$F,$B:$B,$B343,$D:$D,"&lt;="&amp;$D343)-SUMIFS($G:$G,$B:$B,$B343,$D:$D,"&lt;="&amp;$D343))</f>
        <v/>
      </c>
      <c r="I343" s="2" t="n"/>
      <c r="J343" s="2" t="n"/>
    </row>
    <row r="344">
      <c r="A344" s="6" t="n"/>
      <c r="B344" s="6" t="n"/>
      <c r="C344" s="6" t="n"/>
      <c r="D344" s="14" t="n"/>
      <c r="E344" s="6" t="n"/>
      <c r="F344" s="15" t="n"/>
      <c r="G344" s="15" t="n"/>
      <c r="H344" s="13">
        <f>IF($B344="","",SUMIFS($F:$F,$B:$B,$B344,$D:$D,"&lt;="&amp;$D344)-SUMIFS($G:$G,$B:$B,$B344,$D:$D,"&lt;="&amp;$D344))</f>
        <v/>
      </c>
      <c r="I344" s="6" t="n"/>
      <c r="J344" s="6" t="n"/>
    </row>
    <row r="345">
      <c r="A345" s="2" t="n"/>
      <c r="B345" s="2" t="n"/>
      <c r="C345" s="2" t="n"/>
      <c r="D345" s="12" t="n"/>
      <c r="E345" s="2" t="n"/>
      <c r="F345" s="13" t="n"/>
      <c r="G345" s="13" t="n"/>
      <c r="H345" s="13">
        <f>IF($B345="","",SUMIFS($F:$F,$B:$B,$B345,$D:$D,"&lt;="&amp;$D345)-SUMIFS($G:$G,$B:$B,$B345,$D:$D,"&lt;="&amp;$D345))</f>
        <v/>
      </c>
      <c r="I345" s="2" t="n"/>
      <c r="J345" s="2" t="n"/>
    </row>
    <row r="346">
      <c r="A346" s="6" t="n"/>
      <c r="B346" s="6" t="n"/>
      <c r="C346" s="6" t="n"/>
      <c r="D346" s="14" t="n"/>
      <c r="E346" s="6" t="n"/>
      <c r="F346" s="15" t="n"/>
      <c r="G346" s="15" t="n"/>
      <c r="H346" s="13">
        <f>IF($B346="","",SUMIFS($F:$F,$B:$B,$B346,$D:$D,"&lt;="&amp;$D346)-SUMIFS($G:$G,$B:$B,$B346,$D:$D,"&lt;="&amp;$D346))</f>
        <v/>
      </c>
      <c r="I346" s="6" t="n"/>
      <c r="J346" s="6" t="n"/>
    </row>
    <row r="347">
      <c r="A347" s="2" t="n"/>
      <c r="B347" s="2" t="n"/>
      <c r="C347" s="2" t="n"/>
      <c r="D347" s="12" t="n"/>
      <c r="E347" s="2" t="n"/>
      <c r="F347" s="13" t="n"/>
      <c r="G347" s="13" t="n"/>
      <c r="H347" s="13">
        <f>IF($B347="","",SUMIFS($F:$F,$B:$B,$B347,$D:$D,"&lt;="&amp;$D347)-SUMIFS($G:$G,$B:$B,$B347,$D:$D,"&lt;="&amp;$D347))</f>
        <v/>
      </c>
      <c r="I347" s="2" t="n"/>
      <c r="J347" s="2" t="n"/>
    </row>
    <row r="348">
      <c r="A348" s="6" t="n"/>
      <c r="B348" s="6" t="n"/>
      <c r="C348" s="6" t="n"/>
      <c r="D348" s="14" t="n"/>
      <c r="E348" s="6" t="n"/>
      <c r="F348" s="15" t="n"/>
      <c r="G348" s="15" t="n"/>
      <c r="H348" s="13">
        <f>IF($B348="","",SUMIFS($F:$F,$B:$B,$B348,$D:$D,"&lt;="&amp;$D348)-SUMIFS($G:$G,$B:$B,$B348,$D:$D,"&lt;="&amp;$D348))</f>
        <v/>
      </c>
      <c r="I348" s="6" t="n"/>
      <c r="J348" s="6" t="n"/>
    </row>
    <row r="349">
      <c r="A349" s="2" t="n"/>
      <c r="B349" s="2" t="n"/>
      <c r="C349" s="2" t="n"/>
      <c r="D349" s="12" t="n"/>
      <c r="E349" s="2" t="n"/>
      <c r="F349" s="13" t="n"/>
      <c r="G349" s="13" t="n"/>
      <c r="H349" s="13">
        <f>IF($B349="","",SUMIFS($F:$F,$B:$B,$B349,$D:$D,"&lt;="&amp;$D349)-SUMIFS($G:$G,$B:$B,$B349,$D:$D,"&lt;="&amp;$D349))</f>
        <v/>
      </c>
      <c r="I349" s="2" t="n"/>
      <c r="J349" s="2" t="n"/>
    </row>
    <row r="350">
      <c r="A350" s="6" t="n"/>
      <c r="B350" s="6" t="n"/>
      <c r="C350" s="6" t="n"/>
      <c r="D350" s="14" t="n"/>
      <c r="E350" s="6" t="n"/>
      <c r="F350" s="15" t="n"/>
      <c r="G350" s="15" t="n"/>
      <c r="H350" s="13">
        <f>IF($B350="","",SUMIFS($F:$F,$B:$B,$B350,$D:$D,"&lt;="&amp;$D350)-SUMIFS($G:$G,$B:$B,$B350,$D:$D,"&lt;="&amp;$D350))</f>
        <v/>
      </c>
      <c r="I350" s="6" t="n"/>
      <c r="J350" s="6" t="n"/>
    </row>
    <row r="351">
      <c r="A351" s="2" t="n"/>
      <c r="B351" s="2" t="n"/>
      <c r="C351" s="2" t="n"/>
      <c r="D351" s="12" t="n"/>
      <c r="E351" s="2" t="n"/>
      <c r="F351" s="13" t="n"/>
      <c r="G351" s="13" t="n"/>
      <c r="H351" s="13">
        <f>IF($B351="","",SUMIFS($F:$F,$B:$B,$B351,$D:$D,"&lt;="&amp;$D351)-SUMIFS($G:$G,$B:$B,$B351,$D:$D,"&lt;="&amp;$D351))</f>
        <v/>
      </c>
      <c r="I351" s="2" t="n"/>
      <c r="J351" s="2" t="n"/>
    </row>
    <row r="352">
      <c r="A352" s="6" t="n"/>
      <c r="B352" s="6" t="n"/>
      <c r="C352" s="6" t="n"/>
      <c r="D352" s="14" t="n"/>
      <c r="E352" s="6" t="n"/>
      <c r="F352" s="15" t="n"/>
      <c r="G352" s="15" t="n"/>
      <c r="H352" s="13">
        <f>IF($B352="","",SUMIFS($F:$F,$B:$B,$B352,$D:$D,"&lt;="&amp;$D352)-SUMIFS($G:$G,$B:$B,$B352,$D:$D,"&lt;="&amp;$D352))</f>
        <v/>
      </c>
      <c r="I352" s="6" t="n"/>
      <c r="J352" s="6" t="n"/>
    </row>
    <row r="353">
      <c r="A353" s="2" t="n"/>
      <c r="B353" s="2" t="n"/>
      <c r="C353" s="2" t="n"/>
      <c r="D353" s="12" t="n"/>
      <c r="E353" s="2" t="n"/>
      <c r="F353" s="13" t="n"/>
      <c r="G353" s="13" t="n"/>
      <c r="H353" s="13">
        <f>IF($B353="","",SUMIFS($F:$F,$B:$B,$B353,$D:$D,"&lt;="&amp;$D353)-SUMIFS($G:$G,$B:$B,$B353,$D:$D,"&lt;="&amp;$D353))</f>
        <v/>
      </c>
      <c r="I353" s="2" t="n"/>
      <c r="J353" s="2" t="n"/>
    </row>
    <row r="354">
      <c r="A354" s="6" t="n"/>
      <c r="B354" s="6" t="n"/>
      <c r="C354" s="6" t="n"/>
      <c r="D354" s="14" t="n"/>
      <c r="E354" s="6" t="n"/>
      <c r="F354" s="15" t="n"/>
      <c r="G354" s="15" t="n"/>
      <c r="H354" s="13">
        <f>IF($B354="","",SUMIFS($F:$F,$B:$B,$B354,$D:$D,"&lt;="&amp;$D354)-SUMIFS($G:$G,$B:$B,$B354,$D:$D,"&lt;="&amp;$D354))</f>
        <v/>
      </c>
      <c r="I354" s="6" t="n"/>
      <c r="J354" s="6" t="n"/>
    </row>
    <row r="355">
      <c r="A355" s="2" t="n"/>
      <c r="B355" s="2" t="n"/>
      <c r="C355" s="2" t="n"/>
      <c r="D355" s="12" t="n"/>
      <c r="E355" s="2" t="n"/>
      <c r="F355" s="13" t="n"/>
      <c r="G355" s="13" t="n"/>
      <c r="H355" s="13">
        <f>IF($B355="","",SUMIFS($F:$F,$B:$B,$B355,$D:$D,"&lt;="&amp;$D355)-SUMIFS($G:$G,$B:$B,$B355,$D:$D,"&lt;="&amp;$D355))</f>
        <v/>
      </c>
      <c r="I355" s="2" t="n"/>
      <c r="J355" s="2" t="n"/>
    </row>
    <row r="356">
      <c r="A356" s="6" t="n"/>
      <c r="B356" s="6" t="n"/>
      <c r="C356" s="6" t="n"/>
      <c r="D356" s="14" t="n"/>
      <c r="E356" s="6" t="n"/>
      <c r="F356" s="15" t="n"/>
      <c r="G356" s="15" t="n"/>
      <c r="H356" s="13">
        <f>IF($B356="","",SUMIFS($F:$F,$B:$B,$B356,$D:$D,"&lt;="&amp;$D356)-SUMIFS($G:$G,$B:$B,$B356,$D:$D,"&lt;="&amp;$D356))</f>
        <v/>
      </c>
      <c r="I356" s="6" t="n"/>
      <c r="J356" s="6" t="n"/>
    </row>
    <row r="357">
      <c r="A357" s="2" t="n"/>
      <c r="B357" s="2" t="n"/>
      <c r="C357" s="2" t="n"/>
      <c r="D357" s="12" t="n"/>
      <c r="E357" s="2" t="n"/>
      <c r="F357" s="13" t="n"/>
      <c r="G357" s="13" t="n"/>
      <c r="H357" s="13">
        <f>IF($B357="","",SUMIFS($F:$F,$B:$B,$B357,$D:$D,"&lt;="&amp;$D357)-SUMIFS($G:$G,$B:$B,$B357,$D:$D,"&lt;="&amp;$D357))</f>
        <v/>
      </c>
      <c r="I357" s="2" t="n"/>
      <c r="J357" s="2" t="n"/>
    </row>
    <row r="358">
      <c r="A358" s="6" t="n"/>
      <c r="B358" s="6" t="n"/>
      <c r="C358" s="6" t="n"/>
      <c r="D358" s="14" t="n"/>
      <c r="E358" s="6" t="n"/>
      <c r="F358" s="15" t="n"/>
      <c r="G358" s="15" t="n"/>
      <c r="H358" s="13">
        <f>IF($B358="","",SUMIFS($F:$F,$B:$B,$B358,$D:$D,"&lt;="&amp;$D358)-SUMIFS($G:$G,$B:$B,$B358,$D:$D,"&lt;="&amp;$D358))</f>
        <v/>
      </c>
      <c r="I358" s="6" t="n"/>
      <c r="J358" s="6" t="n"/>
    </row>
    <row r="359">
      <c r="A359" s="2" t="n"/>
      <c r="B359" s="2" t="n"/>
      <c r="C359" s="2" t="n"/>
      <c r="D359" s="12" t="n"/>
      <c r="E359" s="2" t="n"/>
      <c r="F359" s="13" t="n"/>
      <c r="G359" s="13" t="n"/>
      <c r="H359" s="13">
        <f>IF($B359="","",SUMIFS($F:$F,$B:$B,$B359,$D:$D,"&lt;="&amp;$D359)-SUMIFS($G:$G,$B:$B,$B359,$D:$D,"&lt;="&amp;$D359))</f>
        <v/>
      </c>
      <c r="I359" s="2" t="n"/>
      <c r="J359" s="2" t="n"/>
    </row>
    <row r="360">
      <c r="A360" s="6" t="n"/>
      <c r="B360" s="6" t="n"/>
      <c r="C360" s="6" t="n"/>
      <c r="D360" s="14" t="n"/>
      <c r="E360" s="6" t="n"/>
      <c r="F360" s="15" t="n"/>
      <c r="G360" s="15" t="n"/>
      <c r="H360" s="13">
        <f>IF($B360="","",SUMIFS($F:$F,$B:$B,$B360,$D:$D,"&lt;="&amp;$D360)-SUMIFS($G:$G,$B:$B,$B360,$D:$D,"&lt;="&amp;$D360))</f>
        <v/>
      </c>
      <c r="I360" s="6" t="n"/>
      <c r="J360" s="6" t="n"/>
    </row>
    <row r="361">
      <c r="A361" s="2" t="n"/>
      <c r="B361" s="2" t="n"/>
      <c r="C361" s="2" t="n"/>
      <c r="D361" s="12" t="n"/>
      <c r="E361" s="2" t="n"/>
      <c r="F361" s="13" t="n"/>
      <c r="G361" s="13" t="n"/>
      <c r="H361" s="13">
        <f>IF($B361="","",SUMIFS($F:$F,$B:$B,$B361,$D:$D,"&lt;="&amp;$D361)-SUMIFS($G:$G,$B:$B,$B361,$D:$D,"&lt;="&amp;$D361))</f>
        <v/>
      </c>
      <c r="I361" s="2" t="n"/>
      <c r="J361" s="2" t="n"/>
    </row>
    <row r="362">
      <c r="A362" s="6" t="n"/>
      <c r="B362" s="6" t="n"/>
      <c r="C362" s="6" t="n"/>
      <c r="D362" s="14" t="n"/>
      <c r="E362" s="6" t="n"/>
      <c r="F362" s="15" t="n"/>
      <c r="G362" s="15" t="n"/>
      <c r="H362" s="13">
        <f>IF($B362="","",SUMIFS($F:$F,$B:$B,$B362,$D:$D,"&lt;="&amp;$D362)-SUMIFS($G:$G,$B:$B,$B362,$D:$D,"&lt;="&amp;$D362))</f>
        <v/>
      </c>
      <c r="I362" s="6" t="n"/>
      <c r="J362" s="6" t="n"/>
    </row>
    <row r="363">
      <c r="A363" s="2" t="n"/>
      <c r="B363" s="2" t="n"/>
      <c r="C363" s="2" t="n"/>
      <c r="D363" s="12" t="n"/>
      <c r="E363" s="2" t="n"/>
      <c r="F363" s="13" t="n"/>
      <c r="G363" s="13" t="n"/>
      <c r="H363" s="13">
        <f>IF($B363="","",SUMIFS($F:$F,$B:$B,$B363,$D:$D,"&lt;="&amp;$D363)-SUMIFS($G:$G,$B:$B,$B363,$D:$D,"&lt;="&amp;$D363))</f>
        <v/>
      </c>
      <c r="I363" s="2" t="n"/>
      <c r="J363" s="2" t="n"/>
    </row>
    <row r="364">
      <c r="A364" s="6" t="n"/>
      <c r="B364" s="6" t="n"/>
      <c r="C364" s="6" t="n"/>
      <c r="D364" s="14" t="n"/>
      <c r="E364" s="6" t="n"/>
      <c r="F364" s="15" t="n"/>
      <c r="G364" s="15" t="n"/>
      <c r="H364" s="13">
        <f>IF($B364="","",SUMIFS($F:$F,$B:$B,$B364,$D:$D,"&lt;="&amp;$D364)-SUMIFS($G:$G,$B:$B,$B364,$D:$D,"&lt;="&amp;$D364))</f>
        <v/>
      </c>
      <c r="I364" s="6" t="n"/>
      <c r="J364" s="6" t="n"/>
    </row>
    <row r="365">
      <c r="A365" s="2" t="n"/>
      <c r="B365" s="2" t="n"/>
      <c r="C365" s="2" t="n"/>
      <c r="D365" s="12" t="n"/>
      <c r="E365" s="2" t="n"/>
      <c r="F365" s="13" t="n"/>
      <c r="G365" s="13" t="n"/>
      <c r="H365" s="13">
        <f>IF($B365="","",SUMIFS($F:$F,$B:$B,$B365,$D:$D,"&lt;="&amp;$D365)-SUMIFS($G:$G,$B:$B,$B365,$D:$D,"&lt;="&amp;$D365))</f>
        <v/>
      </c>
      <c r="I365" s="2" t="n"/>
      <c r="J365" s="2" t="n"/>
    </row>
    <row r="366">
      <c r="A366" s="6" t="n"/>
      <c r="B366" s="6" t="n"/>
      <c r="C366" s="6" t="n"/>
      <c r="D366" s="14" t="n"/>
      <c r="E366" s="6" t="n"/>
      <c r="F366" s="15" t="n"/>
      <c r="G366" s="15" t="n"/>
      <c r="H366" s="13">
        <f>IF($B366="","",SUMIFS($F:$F,$B:$B,$B366,$D:$D,"&lt;="&amp;$D366)-SUMIFS($G:$G,$B:$B,$B366,$D:$D,"&lt;="&amp;$D366))</f>
        <v/>
      </c>
      <c r="I366" s="6" t="n"/>
      <c r="J366" s="6" t="n"/>
    </row>
    <row r="367">
      <c r="A367" s="2" t="n"/>
      <c r="B367" s="2" t="n"/>
      <c r="C367" s="2" t="n"/>
      <c r="D367" s="12" t="n"/>
      <c r="E367" s="2" t="n"/>
      <c r="F367" s="13" t="n"/>
      <c r="G367" s="13" t="n"/>
      <c r="H367" s="13">
        <f>IF($B367="","",SUMIFS($F:$F,$B:$B,$B367,$D:$D,"&lt;="&amp;$D367)-SUMIFS($G:$G,$B:$B,$B367,$D:$D,"&lt;="&amp;$D367))</f>
        <v/>
      </c>
      <c r="I367" s="2" t="n"/>
      <c r="J367" s="2" t="n"/>
    </row>
    <row r="368">
      <c r="A368" s="6" t="n"/>
      <c r="B368" s="6" t="n"/>
      <c r="C368" s="6" t="n"/>
      <c r="D368" s="14" t="n"/>
      <c r="E368" s="6" t="n"/>
      <c r="F368" s="15" t="n"/>
      <c r="G368" s="15" t="n"/>
      <c r="H368" s="13">
        <f>IF($B368="","",SUMIFS($F:$F,$B:$B,$B368,$D:$D,"&lt;="&amp;$D368)-SUMIFS($G:$G,$B:$B,$B368,$D:$D,"&lt;="&amp;$D368))</f>
        <v/>
      </c>
      <c r="I368" s="6" t="n"/>
      <c r="J368" s="6" t="n"/>
    </row>
    <row r="369">
      <c r="A369" s="2" t="n"/>
      <c r="B369" s="2" t="n"/>
      <c r="C369" s="2" t="n"/>
      <c r="D369" s="12" t="n"/>
      <c r="E369" s="2" t="n"/>
      <c r="F369" s="13" t="n"/>
      <c r="G369" s="13" t="n"/>
      <c r="H369" s="13">
        <f>IF($B369="","",SUMIFS($F:$F,$B:$B,$B369,$D:$D,"&lt;="&amp;$D369)-SUMIFS($G:$G,$B:$B,$B369,$D:$D,"&lt;="&amp;$D369))</f>
        <v/>
      </c>
      <c r="I369" s="2" t="n"/>
      <c r="J369" s="2" t="n"/>
    </row>
    <row r="370">
      <c r="A370" s="6" t="n"/>
      <c r="B370" s="6" t="n"/>
      <c r="C370" s="6" t="n"/>
      <c r="D370" s="14" t="n"/>
      <c r="E370" s="6" t="n"/>
      <c r="F370" s="15" t="n"/>
      <c r="G370" s="15" t="n"/>
      <c r="H370" s="13">
        <f>IF($B370="","",SUMIFS($F:$F,$B:$B,$B370,$D:$D,"&lt;="&amp;$D370)-SUMIFS($G:$G,$B:$B,$B370,$D:$D,"&lt;="&amp;$D370))</f>
        <v/>
      </c>
      <c r="I370" s="6" t="n"/>
      <c r="J370" s="6" t="n"/>
    </row>
    <row r="371">
      <c r="A371" s="2" t="n"/>
      <c r="B371" s="2" t="n"/>
      <c r="C371" s="2" t="n"/>
      <c r="D371" s="12" t="n"/>
      <c r="E371" s="2" t="n"/>
      <c r="F371" s="13" t="n"/>
      <c r="G371" s="13" t="n"/>
      <c r="H371" s="13">
        <f>IF($B371="","",SUMIFS($F:$F,$B:$B,$B371,$D:$D,"&lt;="&amp;$D371)-SUMIFS($G:$G,$B:$B,$B371,$D:$D,"&lt;="&amp;$D371))</f>
        <v/>
      </c>
      <c r="I371" s="2" t="n"/>
      <c r="J371" s="2" t="n"/>
    </row>
    <row r="372">
      <c r="A372" s="6" t="n"/>
      <c r="B372" s="6" t="n"/>
      <c r="C372" s="6" t="n"/>
      <c r="D372" s="14" t="n"/>
      <c r="E372" s="6" t="n"/>
      <c r="F372" s="15" t="n"/>
      <c r="G372" s="15" t="n"/>
      <c r="H372" s="13">
        <f>IF($B372="","",SUMIFS($F:$F,$B:$B,$B372,$D:$D,"&lt;="&amp;$D372)-SUMIFS($G:$G,$B:$B,$B372,$D:$D,"&lt;="&amp;$D372))</f>
        <v/>
      </c>
      <c r="I372" s="6" t="n"/>
      <c r="J372" s="6" t="n"/>
    </row>
    <row r="373">
      <c r="A373" s="2" t="n"/>
      <c r="B373" s="2" t="n"/>
      <c r="C373" s="2" t="n"/>
      <c r="D373" s="12" t="n"/>
      <c r="E373" s="2" t="n"/>
      <c r="F373" s="13" t="n"/>
      <c r="G373" s="13" t="n"/>
      <c r="H373" s="13">
        <f>IF($B373="","",SUMIFS($F:$F,$B:$B,$B373,$D:$D,"&lt;="&amp;$D373)-SUMIFS($G:$G,$B:$B,$B373,$D:$D,"&lt;="&amp;$D373))</f>
        <v/>
      </c>
      <c r="I373" s="2" t="n"/>
      <c r="J373" s="2" t="n"/>
    </row>
    <row r="374">
      <c r="A374" s="6" t="n"/>
      <c r="B374" s="6" t="n"/>
      <c r="C374" s="6" t="n"/>
      <c r="D374" s="14" t="n"/>
      <c r="E374" s="6" t="n"/>
      <c r="F374" s="15" t="n"/>
      <c r="G374" s="15" t="n"/>
      <c r="H374" s="13">
        <f>IF($B374="","",SUMIFS($F:$F,$B:$B,$B374,$D:$D,"&lt;="&amp;$D374)-SUMIFS($G:$G,$B:$B,$B374,$D:$D,"&lt;="&amp;$D374))</f>
        <v/>
      </c>
      <c r="I374" s="6" t="n"/>
      <c r="J374" s="6" t="n"/>
    </row>
    <row r="375">
      <c r="A375" s="2" t="n"/>
      <c r="B375" s="2" t="n"/>
      <c r="C375" s="2" t="n"/>
      <c r="D375" s="12" t="n"/>
      <c r="E375" s="2" t="n"/>
      <c r="F375" s="13" t="n"/>
      <c r="G375" s="13" t="n"/>
      <c r="H375" s="13">
        <f>IF($B375="","",SUMIFS($F:$F,$B:$B,$B375,$D:$D,"&lt;="&amp;$D375)-SUMIFS($G:$G,$B:$B,$B375,$D:$D,"&lt;="&amp;$D375))</f>
        <v/>
      </c>
      <c r="I375" s="2" t="n"/>
      <c r="J375" s="2" t="n"/>
    </row>
    <row r="376">
      <c r="A376" s="6" t="n"/>
      <c r="B376" s="6" t="n"/>
      <c r="C376" s="6" t="n"/>
      <c r="D376" s="14" t="n"/>
      <c r="E376" s="6" t="n"/>
      <c r="F376" s="15" t="n"/>
      <c r="G376" s="15" t="n"/>
      <c r="H376" s="13">
        <f>IF($B376="","",SUMIFS($F:$F,$B:$B,$B376,$D:$D,"&lt;="&amp;$D376)-SUMIFS($G:$G,$B:$B,$B376,$D:$D,"&lt;="&amp;$D376))</f>
        <v/>
      </c>
      <c r="I376" s="6" t="n"/>
      <c r="J376" s="6" t="n"/>
    </row>
    <row r="377">
      <c r="A377" s="2" t="n"/>
      <c r="B377" s="2" t="n"/>
      <c r="C377" s="2" t="n"/>
      <c r="D377" s="12" t="n"/>
      <c r="E377" s="2" t="n"/>
      <c r="F377" s="13" t="n"/>
      <c r="G377" s="13" t="n"/>
      <c r="H377" s="13">
        <f>IF($B377="","",SUMIFS($F:$F,$B:$B,$B377,$D:$D,"&lt;="&amp;$D377)-SUMIFS($G:$G,$B:$B,$B377,$D:$D,"&lt;="&amp;$D377))</f>
        <v/>
      </c>
      <c r="I377" s="2" t="n"/>
      <c r="J377" s="2" t="n"/>
    </row>
    <row r="378">
      <c r="A378" s="6" t="n"/>
      <c r="B378" s="6" t="n"/>
      <c r="C378" s="6" t="n"/>
      <c r="D378" s="14" t="n"/>
      <c r="E378" s="6" t="n"/>
      <c r="F378" s="15" t="n"/>
      <c r="G378" s="15" t="n"/>
      <c r="H378" s="13">
        <f>IF($B378="","",SUMIFS($F:$F,$B:$B,$B378,$D:$D,"&lt;="&amp;$D378)-SUMIFS($G:$G,$B:$B,$B378,$D:$D,"&lt;="&amp;$D378))</f>
        <v/>
      </c>
      <c r="I378" s="6" t="n"/>
      <c r="J378" s="6" t="n"/>
    </row>
    <row r="379">
      <c r="A379" s="2" t="n"/>
      <c r="B379" s="2" t="n"/>
      <c r="C379" s="2" t="n"/>
      <c r="D379" s="12" t="n"/>
      <c r="E379" s="2" t="n"/>
      <c r="F379" s="13" t="n"/>
      <c r="G379" s="13" t="n"/>
      <c r="H379" s="13">
        <f>IF($B379="","",SUMIFS($F:$F,$B:$B,$B379,$D:$D,"&lt;="&amp;$D379)-SUMIFS($G:$G,$B:$B,$B379,$D:$D,"&lt;="&amp;$D379))</f>
        <v/>
      </c>
      <c r="I379" s="2" t="n"/>
      <c r="J379" s="2" t="n"/>
    </row>
    <row r="380">
      <c r="A380" s="6" t="n"/>
      <c r="B380" s="6" t="n"/>
      <c r="C380" s="6" t="n"/>
      <c r="D380" s="14" t="n"/>
      <c r="E380" s="6" t="n"/>
      <c r="F380" s="15" t="n"/>
      <c r="G380" s="15" t="n"/>
      <c r="H380" s="13">
        <f>IF($B380="","",SUMIFS($F:$F,$B:$B,$B380,$D:$D,"&lt;="&amp;$D380)-SUMIFS($G:$G,$B:$B,$B380,$D:$D,"&lt;="&amp;$D380))</f>
        <v/>
      </c>
      <c r="I380" s="6" t="n"/>
      <c r="J380" s="6" t="n"/>
    </row>
    <row r="381">
      <c r="A381" s="2" t="n"/>
      <c r="B381" s="2" t="n"/>
      <c r="C381" s="2" t="n"/>
      <c r="D381" s="12" t="n"/>
      <c r="E381" s="2" t="n"/>
      <c r="F381" s="13" t="n"/>
      <c r="G381" s="13" t="n"/>
      <c r="H381" s="13">
        <f>IF($B381="","",SUMIFS($F:$F,$B:$B,$B381,$D:$D,"&lt;="&amp;$D381)-SUMIFS($G:$G,$B:$B,$B381,$D:$D,"&lt;="&amp;$D381))</f>
        <v/>
      </c>
      <c r="I381" s="2" t="n"/>
      <c r="J381" s="2" t="n"/>
    </row>
    <row r="382">
      <c r="A382" s="6" t="n"/>
      <c r="B382" s="6" t="n"/>
      <c r="C382" s="6" t="n"/>
      <c r="D382" s="14" t="n"/>
      <c r="E382" s="6" t="n"/>
      <c r="F382" s="15" t="n"/>
      <c r="G382" s="15" t="n"/>
      <c r="H382" s="13">
        <f>IF($B382="","",SUMIFS($F:$F,$B:$B,$B382,$D:$D,"&lt;="&amp;$D382)-SUMIFS($G:$G,$B:$B,$B382,$D:$D,"&lt;="&amp;$D382))</f>
        <v/>
      </c>
      <c r="I382" s="6" t="n"/>
      <c r="J382" s="6" t="n"/>
    </row>
    <row r="383">
      <c r="A383" s="2" t="n"/>
      <c r="B383" s="2" t="n"/>
      <c r="C383" s="2" t="n"/>
      <c r="D383" s="12" t="n"/>
      <c r="E383" s="2" t="n"/>
      <c r="F383" s="13" t="n"/>
      <c r="G383" s="13" t="n"/>
      <c r="H383" s="13">
        <f>IF($B383="","",SUMIFS($F:$F,$B:$B,$B383,$D:$D,"&lt;="&amp;$D383)-SUMIFS($G:$G,$B:$B,$B383,$D:$D,"&lt;="&amp;$D383))</f>
        <v/>
      </c>
      <c r="I383" s="2" t="n"/>
      <c r="J383" s="2" t="n"/>
    </row>
    <row r="384">
      <c r="A384" s="6" t="n"/>
      <c r="B384" s="6" t="n"/>
      <c r="C384" s="6" t="n"/>
      <c r="D384" s="14" t="n"/>
      <c r="E384" s="6" t="n"/>
      <c r="F384" s="15" t="n"/>
      <c r="G384" s="15" t="n"/>
      <c r="H384" s="13">
        <f>IF($B384="","",SUMIFS($F:$F,$B:$B,$B384,$D:$D,"&lt;="&amp;$D384)-SUMIFS($G:$G,$B:$B,$B384,$D:$D,"&lt;="&amp;$D384))</f>
        <v/>
      </c>
      <c r="I384" s="6" t="n"/>
      <c r="J384" s="6" t="n"/>
    </row>
    <row r="385">
      <c r="A385" s="2" t="n"/>
      <c r="B385" s="2" t="n"/>
      <c r="C385" s="2" t="n"/>
      <c r="D385" s="12" t="n"/>
      <c r="E385" s="2" t="n"/>
      <c r="F385" s="13" t="n"/>
      <c r="G385" s="13" t="n"/>
      <c r="H385" s="13">
        <f>IF($B385="","",SUMIFS($F:$F,$B:$B,$B385,$D:$D,"&lt;="&amp;$D385)-SUMIFS($G:$G,$B:$B,$B385,$D:$D,"&lt;="&amp;$D385))</f>
        <v/>
      </c>
      <c r="I385" s="2" t="n"/>
      <c r="J385" s="2" t="n"/>
    </row>
    <row r="386">
      <c r="A386" s="6" t="n"/>
      <c r="B386" s="6" t="n"/>
      <c r="C386" s="6" t="n"/>
      <c r="D386" s="14" t="n"/>
      <c r="E386" s="6" t="n"/>
      <c r="F386" s="15" t="n"/>
      <c r="G386" s="15" t="n"/>
      <c r="H386" s="13">
        <f>IF($B386="","",SUMIFS($F:$F,$B:$B,$B386,$D:$D,"&lt;="&amp;$D386)-SUMIFS($G:$G,$B:$B,$B386,$D:$D,"&lt;="&amp;$D386))</f>
        <v/>
      </c>
      <c r="I386" s="6" t="n"/>
      <c r="J386" s="6" t="n"/>
    </row>
    <row r="387">
      <c r="A387" s="2" t="n"/>
      <c r="B387" s="2" t="n"/>
      <c r="C387" s="2" t="n"/>
      <c r="D387" s="12" t="n"/>
      <c r="E387" s="2" t="n"/>
      <c r="F387" s="13" t="n"/>
      <c r="G387" s="13" t="n"/>
      <c r="H387" s="13">
        <f>IF($B387="","",SUMIFS($F:$F,$B:$B,$B387,$D:$D,"&lt;="&amp;$D387)-SUMIFS($G:$G,$B:$B,$B387,$D:$D,"&lt;="&amp;$D387))</f>
        <v/>
      </c>
      <c r="I387" s="2" t="n"/>
      <c r="J387" s="2" t="n"/>
    </row>
    <row r="388">
      <c r="A388" s="6" t="n"/>
      <c r="B388" s="6" t="n"/>
      <c r="C388" s="6" t="n"/>
      <c r="D388" s="14" t="n"/>
      <c r="E388" s="6" t="n"/>
      <c r="F388" s="15" t="n"/>
      <c r="G388" s="15" t="n"/>
      <c r="H388" s="13">
        <f>IF($B388="","",SUMIFS($F:$F,$B:$B,$B388,$D:$D,"&lt;="&amp;$D388)-SUMIFS($G:$G,$B:$B,$B388,$D:$D,"&lt;="&amp;$D388))</f>
        <v/>
      </c>
      <c r="I388" s="6" t="n"/>
      <c r="J388" s="6" t="n"/>
    </row>
    <row r="389">
      <c r="A389" s="2" t="n"/>
      <c r="B389" s="2" t="n"/>
      <c r="C389" s="2" t="n"/>
      <c r="D389" s="12" t="n"/>
      <c r="E389" s="2" t="n"/>
      <c r="F389" s="13" t="n"/>
      <c r="G389" s="13" t="n"/>
      <c r="H389" s="13">
        <f>IF($B389="","",SUMIFS($F:$F,$B:$B,$B389,$D:$D,"&lt;="&amp;$D389)-SUMIFS($G:$G,$B:$B,$B389,$D:$D,"&lt;="&amp;$D389))</f>
        <v/>
      </c>
      <c r="I389" s="2" t="n"/>
      <c r="J389" s="2" t="n"/>
    </row>
    <row r="390">
      <c r="A390" s="6" t="n"/>
      <c r="B390" s="6" t="n"/>
      <c r="C390" s="6" t="n"/>
      <c r="D390" s="14" t="n"/>
      <c r="E390" s="6" t="n"/>
      <c r="F390" s="15" t="n"/>
      <c r="G390" s="15" t="n"/>
      <c r="H390" s="13">
        <f>IF($B390="","",SUMIFS($F:$F,$B:$B,$B390,$D:$D,"&lt;="&amp;$D390)-SUMIFS($G:$G,$B:$B,$B390,$D:$D,"&lt;="&amp;$D390))</f>
        <v/>
      </c>
      <c r="I390" s="6" t="n"/>
      <c r="J390" s="6" t="n"/>
    </row>
    <row r="391">
      <c r="A391" s="2" t="n"/>
      <c r="B391" s="2" t="n"/>
      <c r="C391" s="2" t="n"/>
      <c r="D391" s="12" t="n"/>
      <c r="E391" s="2" t="n"/>
      <c r="F391" s="13" t="n"/>
      <c r="G391" s="13" t="n"/>
      <c r="H391" s="13">
        <f>IF($B391="","",SUMIFS($F:$F,$B:$B,$B391,$D:$D,"&lt;="&amp;$D391)-SUMIFS($G:$G,$B:$B,$B391,$D:$D,"&lt;="&amp;$D391))</f>
        <v/>
      </c>
      <c r="I391" s="2" t="n"/>
      <c r="J391" s="2" t="n"/>
    </row>
    <row r="392">
      <c r="A392" s="6" t="n"/>
      <c r="B392" s="6" t="n"/>
      <c r="C392" s="6" t="n"/>
      <c r="D392" s="14" t="n"/>
      <c r="E392" s="6" t="n"/>
      <c r="F392" s="15" t="n"/>
      <c r="G392" s="15" t="n"/>
      <c r="H392" s="13">
        <f>IF($B392="","",SUMIFS($F:$F,$B:$B,$B392,$D:$D,"&lt;="&amp;$D392)-SUMIFS($G:$G,$B:$B,$B392,$D:$D,"&lt;="&amp;$D392))</f>
        <v/>
      </c>
      <c r="I392" s="6" t="n"/>
      <c r="J392" s="6" t="n"/>
    </row>
    <row r="393">
      <c r="A393" s="2" t="n"/>
      <c r="B393" s="2" t="n"/>
      <c r="C393" s="2" t="n"/>
      <c r="D393" s="12" t="n"/>
      <c r="E393" s="2" t="n"/>
      <c r="F393" s="13" t="n"/>
      <c r="G393" s="13" t="n"/>
      <c r="H393" s="13">
        <f>IF($B393="","",SUMIFS($F:$F,$B:$B,$B393,$D:$D,"&lt;="&amp;$D393)-SUMIFS($G:$G,$B:$B,$B393,$D:$D,"&lt;="&amp;$D393))</f>
        <v/>
      </c>
      <c r="I393" s="2" t="n"/>
      <c r="J393" s="2" t="n"/>
    </row>
    <row r="394">
      <c r="A394" s="6" t="n"/>
      <c r="B394" s="6" t="n"/>
      <c r="C394" s="6" t="n"/>
      <c r="D394" s="14" t="n"/>
      <c r="E394" s="6" t="n"/>
      <c r="F394" s="15" t="n"/>
      <c r="G394" s="15" t="n"/>
      <c r="H394" s="13">
        <f>IF($B394="","",SUMIFS($F:$F,$B:$B,$B394,$D:$D,"&lt;="&amp;$D394)-SUMIFS($G:$G,$B:$B,$B394,$D:$D,"&lt;="&amp;$D394))</f>
        <v/>
      </c>
      <c r="I394" s="6" t="n"/>
      <c r="J394" s="6" t="n"/>
    </row>
    <row r="395">
      <c r="A395" s="2" t="n"/>
      <c r="B395" s="2" t="n"/>
      <c r="C395" s="2" t="n"/>
      <c r="D395" s="12" t="n"/>
      <c r="E395" s="2" t="n"/>
      <c r="F395" s="13" t="n"/>
      <c r="G395" s="13" t="n"/>
      <c r="H395" s="13">
        <f>IF($B395="","",SUMIFS($F:$F,$B:$B,$B395,$D:$D,"&lt;="&amp;$D395)-SUMIFS($G:$G,$B:$B,$B395,$D:$D,"&lt;="&amp;$D395))</f>
        <v/>
      </c>
      <c r="I395" s="2" t="n"/>
      <c r="J395" s="2" t="n"/>
    </row>
    <row r="396">
      <c r="A396" s="6" t="n"/>
      <c r="B396" s="6" t="n"/>
      <c r="C396" s="6" t="n"/>
      <c r="D396" s="14" t="n"/>
      <c r="E396" s="6" t="n"/>
      <c r="F396" s="15" t="n"/>
      <c r="G396" s="15" t="n"/>
      <c r="H396" s="13">
        <f>IF($B396="","",SUMIFS($F:$F,$B:$B,$B396,$D:$D,"&lt;="&amp;$D396)-SUMIFS($G:$G,$B:$B,$B396,$D:$D,"&lt;="&amp;$D396))</f>
        <v/>
      </c>
      <c r="I396" s="6" t="n"/>
      <c r="J396" s="6" t="n"/>
    </row>
    <row r="397">
      <c r="A397" s="2" t="n"/>
      <c r="B397" s="2" t="n"/>
      <c r="C397" s="2" t="n"/>
      <c r="D397" s="12" t="n"/>
      <c r="E397" s="2" t="n"/>
      <c r="F397" s="13" t="n"/>
      <c r="G397" s="13" t="n"/>
      <c r="H397" s="13">
        <f>IF($B397="","",SUMIFS($F:$F,$B:$B,$B397,$D:$D,"&lt;="&amp;$D397)-SUMIFS($G:$G,$B:$B,$B397,$D:$D,"&lt;="&amp;$D397))</f>
        <v/>
      </c>
      <c r="I397" s="2" t="n"/>
      <c r="J397" s="2" t="n"/>
    </row>
    <row r="398">
      <c r="A398" s="6" t="n"/>
      <c r="B398" s="6" t="n"/>
      <c r="C398" s="6" t="n"/>
      <c r="D398" s="14" t="n"/>
      <c r="E398" s="6" t="n"/>
      <c r="F398" s="15" t="n"/>
      <c r="G398" s="15" t="n"/>
      <c r="H398" s="13">
        <f>IF($B398="","",SUMIFS($F:$F,$B:$B,$B398,$D:$D,"&lt;="&amp;$D398)-SUMIFS($G:$G,$B:$B,$B398,$D:$D,"&lt;="&amp;$D398))</f>
        <v/>
      </c>
      <c r="I398" s="6" t="n"/>
      <c r="J398" s="6" t="n"/>
    </row>
    <row r="399">
      <c r="A399" s="2" t="n"/>
      <c r="B399" s="2" t="n"/>
      <c r="C399" s="2" t="n"/>
      <c r="D399" s="12" t="n"/>
      <c r="E399" s="2" t="n"/>
      <c r="F399" s="13" t="n"/>
      <c r="G399" s="13" t="n"/>
      <c r="H399" s="13">
        <f>IF($B399="","",SUMIFS($F:$F,$B:$B,$B399,$D:$D,"&lt;="&amp;$D399)-SUMIFS($G:$G,$B:$B,$B399,$D:$D,"&lt;="&amp;$D399))</f>
        <v/>
      </c>
      <c r="I399" s="2" t="n"/>
      <c r="J399" s="2" t="n"/>
    </row>
    <row r="400">
      <c r="A400" s="6" t="n"/>
      <c r="B400" s="6" t="n"/>
      <c r="C400" s="6" t="n"/>
      <c r="D400" s="14" t="n"/>
      <c r="E400" s="6" t="n"/>
      <c r="F400" s="15" t="n"/>
      <c r="G400" s="15" t="n"/>
      <c r="H400" s="13">
        <f>IF($B400="","",SUMIFS($F:$F,$B:$B,$B400,$D:$D,"&lt;="&amp;$D400)-SUMIFS($G:$G,$B:$B,$B400,$D:$D,"&lt;="&amp;$D400))</f>
        <v/>
      </c>
      <c r="I400" s="6" t="n"/>
      <c r="J400" s="6" t="n"/>
    </row>
    <row r="401">
      <c r="A401" s="2" t="n"/>
      <c r="B401" s="2" t="n"/>
      <c r="C401" s="2" t="n"/>
      <c r="D401" s="12" t="n"/>
      <c r="E401" s="2" t="n"/>
      <c r="F401" s="13" t="n"/>
      <c r="G401" s="13" t="n"/>
      <c r="H401" s="13">
        <f>IF($B401="","",SUMIFS($F:$F,$B:$B,$B401,$D:$D,"&lt;="&amp;$D401)-SUMIFS($G:$G,$B:$B,$B401,$D:$D,"&lt;="&amp;$D401))</f>
        <v/>
      </c>
      <c r="I401" s="2" t="n"/>
      <c r="J401" s="2" t="n"/>
    </row>
    <row r="402">
      <c r="A402" s="6" t="n"/>
      <c r="B402" s="6" t="n"/>
      <c r="C402" s="6" t="n"/>
      <c r="D402" s="14" t="n"/>
      <c r="E402" s="6" t="n"/>
      <c r="F402" s="15" t="n"/>
      <c r="G402" s="15" t="n"/>
      <c r="H402" s="13">
        <f>IF($B402="","",SUMIFS($F:$F,$B:$B,$B402,$D:$D,"&lt;="&amp;$D402)-SUMIFS($G:$G,$B:$B,$B402,$D:$D,"&lt;="&amp;$D402))</f>
        <v/>
      </c>
      <c r="I402" s="6" t="n"/>
      <c r="J402" s="6" t="n"/>
    </row>
    <row r="403">
      <c r="A403" s="2" t="n"/>
      <c r="B403" s="2" t="n"/>
      <c r="C403" s="2" t="n"/>
      <c r="D403" s="12" t="n"/>
      <c r="E403" s="2" t="n"/>
      <c r="F403" s="13" t="n"/>
      <c r="G403" s="13" t="n"/>
      <c r="H403" s="13">
        <f>IF($B403="","",SUMIFS($F:$F,$B:$B,$B403,$D:$D,"&lt;="&amp;$D403)-SUMIFS($G:$G,$B:$B,$B403,$D:$D,"&lt;="&amp;$D403))</f>
        <v/>
      </c>
      <c r="I403" s="2" t="n"/>
      <c r="J403" s="2" t="n"/>
    </row>
    <row r="404">
      <c r="A404" s="6" t="n"/>
      <c r="B404" s="6" t="n"/>
      <c r="C404" s="6" t="n"/>
      <c r="D404" s="14" t="n"/>
      <c r="E404" s="6" t="n"/>
      <c r="F404" s="15" t="n"/>
      <c r="G404" s="15" t="n"/>
      <c r="H404" s="13">
        <f>IF($B404="","",SUMIFS($F:$F,$B:$B,$B404,$D:$D,"&lt;="&amp;$D404)-SUMIFS($G:$G,$B:$B,$B404,$D:$D,"&lt;="&amp;$D404))</f>
        <v/>
      </c>
      <c r="I404" s="6" t="n"/>
      <c r="J404" s="6" t="n"/>
    </row>
    <row r="405">
      <c r="A405" s="2" t="n"/>
      <c r="B405" s="2" t="n"/>
      <c r="C405" s="2" t="n"/>
      <c r="D405" s="12" t="n"/>
      <c r="E405" s="2" t="n"/>
      <c r="F405" s="13" t="n"/>
      <c r="G405" s="13" t="n"/>
      <c r="H405" s="13">
        <f>IF($B405="","",SUMIFS($F:$F,$B:$B,$B405,$D:$D,"&lt;="&amp;$D405)-SUMIFS($G:$G,$B:$B,$B405,$D:$D,"&lt;="&amp;$D405))</f>
        <v/>
      </c>
      <c r="I405" s="2" t="n"/>
      <c r="J405" s="2" t="n"/>
    </row>
    <row r="406">
      <c r="A406" s="6" t="n"/>
      <c r="B406" s="6" t="n"/>
      <c r="C406" s="6" t="n"/>
      <c r="D406" s="14" t="n"/>
      <c r="E406" s="6" t="n"/>
      <c r="F406" s="15" t="n"/>
      <c r="G406" s="15" t="n"/>
      <c r="H406" s="13">
        <f>IF($B406="","",SUMIFS($F:$F,$B:$B,$B406,$D:$D,"&lt;="&amp;$D406)-SUMIFS($G:$G,$B:$B,$B406,$D:$D,"&lt;="&amp;$D406))</f>
        <v/>
      </c>
      <c r="I406" s="6" t="n"/>
      <c r="J406" s="6" t="n"/>
    </row>
    <row r="407">
      <c r="A407" s="2" t="n"/>
      <c r="B407" s="2" t="n"/>
      <c r="C407" s="2" t="n"/>
      <c r="D407" s="12" t="n"/>
      <c r="E407" s="2" t="n"/>
      <c r="F407" s="13" t="n"/>
      <c r="G407" s="13" t="n"/>
      <c r="H407" s="13">
        <f>IF($B407="","",SUMIFS($F:$F,$B:$B,$B407,$D:$D,"&lt;="&amp;$D407)-SUMIFS($G:$G,$B:$B,$B407,$D:$D,"&lt;="&amp;$D407))</f>
        <v/>
      </c>
      <c r="I407" s="2" t="n"/>
      <c r="J407" s="2" t="n"/>
    </row>
    <row r="408">
      <c r="A408" s="6" t="n"/>
      <c r="B408" s="6" t="n"/>
      <c r="C408" s="6" t="n"/>
      <c r="D408" s="14" t="n"/>
      <c r="E408" s="6" t="n"/>
      <c r="F408" s="15" t="n"/>
      <c r="G408" s="15" t="n"/>
      <c r="H408" s="13">
        <f>IF($B408="","",SUMIFS($F:$F,$B:$B,$B408,$D:$D,"&lt;="&amp;$D408)-SUMIFS($G:$G,$B:$B,$B408,$D:$D,"&lt;="&amp;$D408))</f>
        <v/>
      </c>
      <c r="I408" s="6" t="n"/>
      <c r="J408" s="6" t="n"/>
    </row>
    <row r="409">
      <c r="A409" s="2" t="n"/>
      <c r="B409" s="2" t="n"/>
      <c r="C409" s="2" t="n"/>
      <c r="D409" s="12" t="n"/>
      <c r="E409" s="2" t="n"/>
      <c r="F409" s="13" t="n"/>
      <c r="G409" s="13" t="n"/>
      <c r="H409" s="13">
        <f>IF($B409="","",SUMIFS($F:$F,$B:$B,$B409,$D:$D,"&lt;="&amp;$D409)-SUMIFS($G:$G,$B:$B,$B409,$D:$D,"&lt;="&amp;$D409))</f>
        <v/>
      </c>
      <c r="I409" s="2" t="n"/>
      <c r="J409" s="2" t="n"/>
    </row>
    <row r="410">
      <c r="A410" s="6" t="n"/>
      <c r="B410" s="6" t="n"/>
      <c r="C410" s="6" t="n"/>
      <c r="D410" s="14" t="n"/>
      <c r="E410" s="6" t="n"/>
      <c r="F410" s="15" t="n"/>
      <c r="G410" s="15" t="n"/>
      <c r="H410" s="13">
        <f>IF($B410="","",SUMIFS($F:$F,$B:$B,$B410,$D:$D,"&lt;="&amp;$D410)-SUMIFS($G:$G,$B:$B,$B410,$D:$D,"&lt;="&amp;$D410))</f>
        <v/>
      </c>
      <c r="I410" s="6" t="n"/>
      <c r="J410" s="6" t="n"/>
    </row>
    <row r="411">
      <c r="A411" s="2" t="n"/>
      <c r="B411" s="2" t="n"/>
      <c r="C411" s="2" t="n"/>
      <c r="D411" s="12" t="n"/>
      <c r="E411" s="2" t="n"/>
      <c r="F411" s="13" t="n"/>
      <c r="G411" s="13" t="n"/>
      <c r="H411" s="13">
        <f>IF($B411="","",SUMIFS($F:$F,$B:$B,$B411,$D:$D,"&lt;="&amp;$D411)-SUMIFS($G:$G,$B:$B,$B411,$D:$D,"&lt;="&amp;$D411))</f>
        <v/>
      </c>
      <c r="I411" s="2" t="n"/>
      <c r="J411" s="2" t="n"/>
    </row>
    <row r="412">
      <c r="A412" s="6" t="n"/>
      <c r="B412" s="6" t="n"/>
      <c r="C412" s="6" t="n"/>
      <c r="D412" s="14" t="n"/>
      <c r="E412" s="6" t="n"/>
      <c r="F412" s="15" t="n"/>
      <c r="G412" s="15" t="n"/>
      <c r="H412" s="13">
        <f>IF($B412="","",SUMIFS($F:$F,$B:$B,$B412,$D:$D,"&lt;="&amp;$D412)-SUMIFS($G:$G,$B:$B,$B412,$D:$D,"&lt;="&amp;$D412))</f>
        <v/>
      </c>
      <c r="I412" s="6" t="n"/>
      <c r="J412" s="6" t="n"/>
    </row>
    <row r="413">
      <c r="A413" s="2" t="n"/>
      <c r="B413" s="2" t="n"/>
      <c r="C413" s="2" t="n"/>
      <c r="D413" s="12" t="n"/>
      <c r="E413" s="2" t="n"/>
      <c r="F413" s="13" t="n"/>
      <c r="G413" s="13" t="n"/>
      <c r="H413" s="13">
        <f>IF($B413="","",SUMIFS($F:$F,$B:$B,$B413,$D:$D,"&lt;="&amp;$D413)-SUMIFS($G:$G,$B:$B,$B413,$D:$D,"&lt;="&amp;$D413))</f>
        <v/>
      </c>
      <c r="I413" s="2" t="n"/>
      <c r="J413" s="2" t="n"/>
    </row>
    <row r="414">
      <c r="A414" s="6" t="n"/>
      <c r="B414" s="6" t="n"/>
      <c r="C414" s="6" t="n"/>
      <c r="D414" s="14" t="n"/>
      <c r="E414" s="6" t="n"/>
      <c r="F414" s="15" t="n"/>
      <c r="G414" s="15" t="n"/>
      <c r="H414" s="13">
        <f>IF($B414="","",SUMIFS($F:$F,$B:$B,$B414,$D:$D,"&lt;="&amp;$D414)-SUMIFS($G:$G,$B:$B,$B414,$D:$D,"&lt;="&amp;$D414))</f>
        <v/>
      </c>
      <c r="I414" s="6" t="n"/>
      <c r="J414" s="6" t="n"/>
    </row>
    <row r="415">
      <c r="A415" s="2" t="n"/>
      <c r="B415" s="2" t="n"/>
      <c r="C415" s="2" t="n"/>
      <c r="D415" s="12" t="n"/>
      <c r="E415" s="2" t="n"/>
      <c r="F415" s="13" t="n"/>
      <c r="G415" s="13" t="n"/>
      <c r="H415" s="13">
        <f>IF($B415="","",SUMIFS($F:$F,$B:$B,$B415,$D:$D,"&lt;="&amp;$D415)-SUMIFS($G:$G,$B:$B,$B415,$D:$D,"&lt;="&amp;$D415))</f>
        <v/>
      </c>
      <c r="I415" s="2" t="n"/>
      <c r="J415" s="2" t="n"/>
    </row>
    <row r="416">
      <c r="A416" s="6" t="n"/>
      <c r="B416" s="6" t="n"/>
      <c r="C416" s="6" t="n"/>
      <c r="D416" s="14" t="n"/>
      <c r="E416" s="6" t="n"/>
      <c r="F416" s="15" t="n"/>
      <c r="G416" s="15" t="n"/>
      <c r="H416" s="13">
        <f>IF($B416="","",SUMIFS($F:$F,$B:$B,$B416,$D:$D,"&lt;="&amp;$D416)-SUMIFS($G:$G,$B:$B,$B416,$D:$D,"&lt;="&amp;$D416))</f>
        <v/>
      </c>
      <c r="I416" s="6" t="n"/>
      <c r="J416" s="6" t="n"/>
    </row>
    <row r="417">
      <c r="A417" s="2" t="n"/>
      <c r="B417" s="2" t="n"/>
      <c r="C417" s="2" t="n"/>
      <c r="D417" s="12" t="n"/>
      <c r="E417" s="2" t="n"/>
      <c r="F417" s="13" t="n"/>
      <c r="G417" s="13" t="n"/>
      <c r="H417" s="13">
        <f>IF($B417="","",SUMIFS($F:$F,$B:$B,$B417,$D:$D,"&lt;="&amp;$D417)-SUMIFS($G:$G,$B:$B,$B417,$D:$D,"&lt;="&amp;$D417))</f>
        <v/>
      </c>
      <c r="I417" s="2" t="n"/>
      <c r="J417" s="2" t="n"/>
    </row>
    <row r="418">
      <c r="A418" s="6" t="n"/>
      <c r="B418" s="6" t="n"/>
      <c r="C418" s="6" t="n"/>
      <c r="D418" s="14" t="n"/>
      <c r="E418" s="6" t="n"/>
      <c r="F418" s="15" t="n"/>
      <c r="G418" s="15" t="n"/>
      <c r="H418" s="13">
        <f>IF($B418="","",SUMIFS($F:$F,$B:$B,$B418,$D:$D,"&lt;="&amp;$D418)-SUMIFS($G:$G,$B:$B,$B418,$D:$D,"&lt;="&amp;$D418))</f>
        <v/>
      </c>
      <c r="I418" s="6" t="n"/>
      <c r="J418" s="6" t="n"/>
    </row>
    <row r="419">
      <c r="A419" s="2" t="n"/>
      <c r="B419" s="2" t="n"/>
      <c r="C419" s="2" t="n"/>
      <c r="D419" s="12" t="n"/>
      <c r="E419" s="2" t="n"/>
      <c r="F419" s="13" t="n"/>
      <c r="G419" s="13" t="n"/>
      <c r="H419" s="13">
        <f>IF($B419="","",SUMIFS($F:$F,$B:$B,$B419,$D:$D,"&lt;="&amp;$D419)-SUMIFS($G:$G,$B:$B,$B419,$D:$D,"&lt;="&amp;$D419))</f>
        <v/>
      </c>
      <c r="I419" s="2" t="n"/>
      <c r="J419" s="2" t="n"/>
    </row>
    <row r="420">
      <c r="A420" s="6" t="n"/>
      <c r="B420" s="6" t="n"/>
      <c r="C420" s="6" t="n"/>
      <c r="D420" s="14" t="n"/>
      <c r="E420" s="6" t="n"/>
      <c r="F420" s="15" t="n"/>
      <c r="G420" s="15" t="n"/>
      <c r="H420" s="13">
        <f>IF($B420="","",SUMIFS($F:$F,$B:$B,$B420,$D:$D,"&lt;="&amp;$D420)-SUMIFS($G:$G,$B:$B,$B420,$D:$D,"&lt;="&amp;$D420))</f>
        <v/>
      </c>
      <c r="I420" s="6" t="n"/>
      <c r="J420" s="6" t="n"/>
    </row>
    <row r="421">
      <c r="A421" s="2" t="n"/>
      <c r="B421" s="2" t="n"/>
      <c r="C421" s="2" t="n"/>
      <c r="D421" s="12" t="n"/>
      <c r="E421" s="2" t="n"/>
      <c r="F421" s="13" t="n"/>
      <c r="G421" s="13" t="n"/>
      <c r="H421" s="13">
        <f>IF($B421="","",SUMIFS($F:$F,$B:$B,$B421,$D:$D,"&lt;="&amp;$D421)-SUMIFS($G:$G,$B:$B,$B421,$D:$D,"&lt;="&amp;$D421))</f>
        <v/>
      </c>
      <c r="I421" s="2" t="n"/>
      <c r="J421" s="2" t="n"/>
    </row>
    <row r="422">
      <c r="A422" s="6" t="n"/>
      <c r="B422" s="6" t="n"/>
      <c r="C422" s="6" t="n"/>
      <c r="D422" s="14" t="n"/>
      <c r="E422" s="6" t="n"/>
      <c r="F422" s="15" t="n"/>
      <c r="G422" s="15" t="n"/>
      <c r="H422" s="13">
        <f>IF($B422="","",SUMIFS($F:$F,$B:$B,$B422,$D:$D,"&lt;="&amp;$D422)-SUMIFS($G:$G,$B:$B,$B422,$D:$D,"&lt;="&amp;$D422))</f>
        <v/>
      </c>
      <c r="I422" s="6" t="n"/>
      <c r="J422" s="6" t="n"/>
    </row>
    <row r="423">
      <c r="A423" s="2" t="n"/>
      <c r="B423" s="2" t="n"/>
      <c r="C423" s="2" t="n"/>
      <c r="D423" s="12" t="n"/>
      <c r="E423" s="2" t="n"/>
      <c r="F423" s="13" t="n"/>
      <c r="G423" s="13" t="n"/>
      <c r="H423" s="13">
        <f>IF($B423="","",SUMIFS($F:$F,$B:$B,$B423,$D:$D,"&lt;="&amp;$D423)-SUMIFS($G:$G,$B:$B,$B423,$D:$D,"&lt;="&amp;$D423))</f>
        <v/>
      </c>
      <c r="I423" s="2" t="n"/>
      <c r="J423" s="2" t="n"/>
    </row>
    <row r="424">
      <c r="A424" s="6" t="n"/>
      <c r="B424" s="6" t="n"/>
      <c r="C424" s="6" t="n"/>
      <c r="D424" s="14" t="n"/>
      <c r="E424" s="6" t="n"/>
      <c r="F424" s="15" t="n"/>
      <c r="G424" s="15" t="n"/>
      <c r="H424" s="13">
        <f>IF($B424="","",SUMIFS($F:$F,$B:$B,$B424,$D:$D,"&lt;="&amp;$D424)-SUMIFS($G:$G,$B:$B,$B424,$D:$D,"&lt;="&amp;$D424))</f>
        <v/>
      </c>
      <c r="I424" s="6" t="n"/>
      <c r="J424" s="6" t="n"/>
    </row>
    <row r="425">
      <c r="A425" s="2" t="n"/>
      <c r="B425" s="2" t="n"/>
      <c r="C425" s="2" t="n"/>
      <c r="D425" s="12" t="n"/>
      <c r="E425" s="2" t="n"/>
      <c r="F425" s="13" t="n"/>
      <c r="G425" s="13" t="n"/>
      <c r="H425" s="13">
        <f>IF($B425="","",SUMIFS($F:$F,$B:$B,$B425,$D:$D,"&lt;="&amp;$D425)-SUMIFS($G:$G,$B:$B,$B425,$D:$D,"&lt;="&amp;$D425))</f>
        <v/>
      </c>
      <c r="I425" s="2" t="n"/>
      <c r="J425" s="2" t="n"/>
    </row>
    <row r="426">
      <c r="A426" s="6" t="n"/>
      <c r="B426" s="6" t="n"/>
      <c r="C426" s="6" t="n"/>
      <c r="D426" s="14" t="n"/>
      <c r="E426" s="6" t="n"/>
      <c r="F426" s="15" t="n"/>
      <c r="G426" s="15" t="n"/>
      <c r="H426" s="13">
        <f>IF($B426="","",SUMIFS($F:$F,$B:$B,$B426,$D:$D,"&lt;="&amp;$D426)-SUMIFS($G:$G,$B:$B,$B426,$D:$D,"&lt;="&amp;$D426))</f>
        <v/>
      </c>
      <c r="I426" s="6" t="n"/>
      <c r="J426" s="6" t="n"/>
    </row>
    <row r="427">
      <c r="A427" s="2" t="n"/>
      <c r="B427" s="2" t="n"/>
      <c r="C427" s="2" t="n"/>
      <c r="D427" s="12" t="n"/>
      <c r="E427" s="2" t="n"/>
      <c r="F427" s="13" t="n"/>
      <c r="G427" s="13" t="n"/>
      <c r="H427" s="13">
        <f>IF($B427="","",SUMIFS($F:$F,$B:$B,$B427,$D:$D,"&lt;="&amp;$D427)-SUMIFS($G:$G,$B:$B,$B427,$D:$D,"&lt;="&amp;$D427))</f>
        <v/>
      </c>
      <c r="I427" s="2" t="n"/>
      <c r="J427" s="2" t="n"/>
    </row>
    <row r="428">
      <c r="A428" s="6" t="n"/>
      <c r="B428" s="6" t="n"/>
      <c r="C428" s="6" t="n"/>
      <c r="D428" s="14" t="n"/>
      <c r="E428" s="6" t="n"/>
      <c r="F428" s="15" t="n"/>
      <c r="G428" s="15" t="n"/>
      <c r="H428" s="13">
        <f>IF($B428="","",SUMIFS($F:$F,$B:$B,$B428,$D:$D,"&lt;="&amp;$D428)-SUMIFS($G:$G,$B:$B,$B428,$D:$D,"&lt;="&amp;$D428))</f>
        <v/>
      </c>
      <c r="I428" s="6" t="n"/>
      <c r="J428" s="6" t="n"/>
    </row>
    <row r="429">
      <c r="A429" s="2" t="n"/>
      <c r="B429" s="2" t="n"/>
      <c r="C429" s="2" t="n"/>
      <c r="D429" s="12" t="n"/>
      <c r="E429" s="2" t="n"/>
      <c r="F429" s="13" t="n"/>
      <c r="G429" s="13" t="n"/>
      <c r="H429" s="13">
        <f>IF($B429="","",SUMIFS($F:$F,$B:$B,$B429,$D:$D,"&lt;="&amp;$D429)-SUMIFS($G:$G,$B:$B,$B429,$D:$D,"&lt;="&amp;$D429))</f>
        <v/>
      </c>
      <c r="I429" s="2" t="n"/>
      <c r="J429" s="2" t="n"/>
    </row>
    <row r="430">
      <c r="A430" s="6" t="n"/>
      <c r="B430" s="6" t="n"/>
      <c r="C430" s="6" t="n"/>
      <c r="D430" s="14" t="n"/>
      <c r="E430" s="6" t="n"/>
      <c r="F430" s="15" t="n"/>
      <c r="G430" s="15" t="n"/>
      <c r="H430" s="13">
        <f>IF($B430="","",SUMIFS($F:$F,$B:$B,$B430,$D:$D,"&lt;="&amp;$D430)-SUMIFS($G:$G,$B:$B,$B430,$D:$D,"&lt;="&amp;$D430))</f>
        <v/>
      </c>
      <c r="I430" s="6" t="n"/>
      <c r="J430" s="6" t="n"/>
    </row>
    <row r="431">
      <c r="A431" s="2" t="n"/>
      <c r="B431" s="2" t="n"/>
      <c r="C431" s="2" t="n"/>
      <c r="D431" s="12" t="n"/>
      <c r="E431" s="2" t="n"/>
      <c r="F431" s="13" t="n"/>
      <c r="G431" s="13" t="n"/>
      <c r="H431" s="13">
        <f>IF($B431="","",SUMIFS($F:$F,$B:$B,$B431,$D:$D,"&lt;="&amp;$D431)-SUMIFS($G:$G,$B:$B,$B431,$D:$D,"&lt;="&amp;$D431))</f>
        <v/>
      </c>
      <c r="I431" s="2" t="n"/>
      <c r="J431" s="2" t="n"/>
    </row>
    <row r="432">
      <c r="A432" s="6" t="n"/>
      <c r="B432" s="6" t="n"/>
      <c r="C432" s="6" t="n"/>
      <c r="D432" s="14" t="n"/>
      <c r="E432" s="6" t="n"/>
      <c r="F432" s="15" t="n"/>
      <c r="G432" s="15" t="n"/>
      <c r="H432" s="13">
        <f>IF($B432="","",SUMIFS($F:$F,$B:$B,$B432,$D:$D,"&lt;="&amp;$D432)-SUMIFS($G:$G,$B:$B,$B432,$D:$D,"&lt;="&amp;$D432))</f>
        <v/>
      </c>
      <c r="I432" s="6" t="n"/>
      <c r="J432" s="6" t="n"/>
    </row>
    <row r="433">
      <c r="A433" s="2" t="n"/>
      <c r="B433" s="2" t="n"/>
      <c r="C433" s="2" t="n"/>
      <c r="D433" s="12" t="n"/>
      <c r="E433" s="2" t="n"/>
      <c r="F433" s="13" t="n"/>
      <c r="G433" s="13" t="n"/>
      <c r="H433" s="13">
        <f>IF($B433="","",SUMIFS($F:$F,$B:$B,$B433,$D:$D,"&lt;="&amp;$D433)-SUMIFS($G:$G,$B:$B,$B433,$D:$D,"&lt;="&amp;$D433))</f>
        <v/>
      </c>
      <c r="I433" s="2" t="n"/>
      <c r="J433" s="2" t="n"/>
    </row>
    <row r="434">
      <c r="A434" s="6" t="n"/>
      <c r="B434" s="6" t="n"/>
      <c r="C434" s="6" t="n"/>
      <c r="D434" s="14" t="n"/>
      <c r="E434" s="6" t="n"/>
      <c r="F434" s="15" t="n"/>
      <c r="G434" s="15" t="n"/>
      <c r="H434" s="13">
        <f>IF($B434="","",SUMIFS($F:$F,$B:$B,$B434,$D:$D,"&lt;="&amp;$D434)-SUMIFS($G:$G,$B:$B,$B434,$D:$D,"&lt;="&amp;$D434))</f>
        <v/>
      </c>
      <c r="I434" s="6" t="n"/>
      <c r="J434" s="6" t="n"/>
    </row>
    <row r="435">
      <c r="A435" s="2" t="n"/>
      <c r="B435" s="2" t="n"/>
      <c r="C435" s="2" t="n"/>
      <c r="D435" s="12" t="n"/>
      <c r="E435" s="2" t="n"/>
      <c r="F435" s="13" t="n"/>
      <c r="G435" s="13" t="n"/>
      <c r="H435" s="13">
        <f>IF($B435="","",SUMIFS($F:$F,$B:$B,$B435,$D:$D,"&lt;="&amp;$D435)-SUMIFS($G:$G,$B:$B,$B435,$D:$D,"&lt;="&amp;$D435))</f>
        <v/>
      </c>
      <c r="I435" s="2" t="n"/>
      <c r="J435" s="2" t="n"/>
    </row>
    <row r="436">
      <c r="A436" s="6" t="n"/>
      <c r="B436" s="6" t="n"/>
      <c r="C436" s="6" t="n"/>
      <c r="D436" s="14" t="n"/>
      <c r="E436" s="6" t="n"/>
      <c r="F436" s="15" t="n"/>
      <c r="G436" s="15" t="n"/>
      <c r="H436" s="13">
        <f>IF($B436="","",SUMIFS($F:$F,$B:$B,$B436,$D:$D,"&lt;="&amp;$D436)-SUMIFS($G:$G,$B:$B,$B436,$D:$D,"&lt;="&amp;$D436))</f>
        <v/>
      </c>
      <c r="I436" s="6" t="n"/>
      <c r="J436" s="6" t="n"/>
    </row>
    <row r="437">
      <c r="A437" s="2" t="n"/>
      <c r="B437" s="2" t="n"/>
      <c r="C437" s="2" t="n"/>
      <c r="D437" s="12" t="n"/>
      <c r="E437" s="2" t="n"/>
      <c r="F437" s="13" t="n"/>
      <c r="G437" s="13" t="n"/>
      <c r="H437" s="13">
        <f>IF($B437="","",SUMIFS($F:$F,$B:$B,$B437,$D:$D,"&lt;="&amp;$D437)-SUMIFS($G:$G,$B:$B,$B437,$D:$D,"&lt;="&amp;$D437))</f>
        <v/>
      </c>
      <c r="I437" s="2" t="n"/>
      <c r="J437" s="2" t="n"/>
    </row>
    <row r="438">
      <c r="A438" s="6" t="n"/>
      <c r="B438" s="6" t="n"/>
      <c r="C438" s="6" t="n"/>
      <c r="D438" s="14" t="n"/>
      <c r="E438" s="6" t="n"/>
      <c r="F438" s="15" t="n"/>
      <c r="G438" s="15" t="n"/>
      <c r="H438" s="13">
        <f>IF($B438="","",SUMIFS($F:$F,$B:$B,$B438,$D:$D,"&lt;="&amp;$D438)-SUMIFS($G:$G,$B:$B,$B438,$D:$D,"&lt;="&amp;$D438))</f>
        <v/>
      </c>
      <c r="I438" s="6" t="n"/>
      <c r="J438" s="6" t="n"/>
    </row>
    <row r="439">
      <c r="A439" s="2" t="n"/>
      <c r="B439" s="2" t="n"/>
      <c r="C439" s="2" t="n"/>
      <c r="D439" s="12" t="n"/>
      <c r="E439" s="2" t="n"/>
      <c r="F439" s="13" t="n"/>
      <c r="G439" s="13" t="n"/>
      <c r="H439" s="13">
        <f>IF($B439="","",SUMIFS($F:$F,$B:$B,$B439,$D:$D,"&lt;="&amp;$D439)-SUMIFS($G:$G,$B:$B,$B439,$D:$D,"&lt;="&amp;$D439))</f>
        <v/>
      </c>
      <c r="I439" s="2" t="n"/>
      <c r="J439" s="2" t="n"/>
    </row>
    <row r="440">
      <c r="A440" s="6" t="n"/>
      <c r="B440" s="6" t="n"/>
      <c r="C440" s="6" t="n"/>
      <c r="D440" s="14" t="n"/>
      <c r="E440" s="6" t="n"/>
      <c r="F440" s="15" t="n"/>
      <c r="G440" s="15" t="n"/>
      <c r="H440" s="13">
        <f>IF($B440="","",SUMIFS($F:$F,$B:$B,$B440,$D:$D,"&lt;="&amp;$D440)-SUMIFS($G:$G,$B:$B,$B440,$D:$D,"&lt;="&amp;$D440))</f>
        <v/>
      </c>
      <c r="I440" s="6" t="n"/>
      <c r="J440" s="6" t="n"/>
    </row>
    <row r="441">
      <c r="A441" s="2" t="n"/>
      <c r="B441" s="2" t="n"/>
      <c r="C441" s="2" t="n"/>
      <c r="D441" s="12" t="n"/>
      <c r="E441" s="2" t="n"/>
      <c r="F441" s="13" t="n"/>
      <c r="G441" s="13" t="n"/>
      <c r="H441" s="13">
        <f>IF($B441="","",SUMIFS($F:$F,$B:$B,$B441,$D:$D,"&lt;="&amp;$D441)-SUMIFS($G:$G,$B:$B,$B441,$D:$D,"&lt;="&amp;$D441))</f>
        <v/>
      </c>
      <c r="I441" s="2" t="n"/>
      <c r="J441" s="2" t="n"/>
    </row>
    <row r="442">
      <c r="A442" s="6" t="n"/>
      <c r="B442" s="6" t="n"/>
      <c r="C442" s="6" t="n"/>
      <c r="D442" s="14" t="n"/>
      <c r="E442" s="6" t="n"/>
      <c r="F442" s="15" t="n"/>
      <c r="G442" s="15" t="n"/>
      <c r="H442" s="13">
        <f>IF($B442="","",SUMIFS($F:$F,$B:$B,$B442,$D:$D,"&lt;="&amp;$D442)-SUMIFS($G:$G,$B:$B,$B442,$D:$D,"&lt;="&amp;$D442))</f>
        <v/>
      </c>
      <c r="I442" s="6" t="n"/>
      <c r="J442" s="6" t="n"/>
    </row>
    <row r="443">
      <c r="A443" s="2" t="n"/>
      <c r="B443" s="2" t="n"/>
      <c r="C443" s="2" t="n"/>
      <c r="D443" s="12" t="n"/>
      <c r="E443" s="2" t="n"/>
      <c r="F443" s="13" t="n"/>
      <c r="G443" s="13" t="n"/>
      <c r="H443" s="13">
        <f>IF($B443="","",SUMIFS($F:$F,$B:$B,$B443,$D:$D,"&lt;="&amp;$D443)-SUMIFS($G:$G,$B:$B,$B443,$D:$D,"&lt;="&amp;$D443))</f>
        <v/>
      </c>
      <c r="I443" s="2" t="n"/>
      <c r="J443" s="2" t="n"/>
    </row>
    <row r="444">
      <c r="A444" s="6" t="n"/>
      <c r="B444" s="6" t="n"/>
      <c r="C444" s="6" t="n"/>
      <c r="D444" s="14" t="n"/>
      <c r="E444" s="6" t="n"/>
      <c r="F444" s="15" t="n"/>
      <c r="G444" s="15" t="n"/>
      <c r="H444" s="13">
        <f>IF($B444="","",SUMIFS($F:$F,$B:$B,$B444,$D:$D,"&lt;="&amp;$D444)-SUMIFS($G:$G,$B:$B,$B444,$D:$D,"&lt;="&amp;$D444))</f>
        <v/>
      </c>
      <c r="I444" s="6" t="n"/>
      <c r="J444" s="6" t="n"/>
    </row>
    <row r="445">
      <c r="A445" s="2" t="n"/>
      <c r="B445" s="2" t="n"/>
      <c r="C445" s="2" t="n"/>
      <c r="D445" s="12" t="n"/>
      <c r="E445" s="2" t="n"/>
      <c r="F445" s="13" t="n"/>
      <c r="G445" s="13" t="n"/>
      <c r="H445" s="13">
        <f>IF($B445="","",SUMIFS($F:$F,$B:$B,$B445,$D:$D,"&lt;="&amp;$D445)-SUMIFS($G:$G,$B:$B,$B445,$D:$D,"&lt;="&amp;$D445))</f>
        <v/>
      </c>
      <c r="I445" s="2" t="n"/>
      <c r="J445" s="2" t="n"/>
    </row>
    <row r="446">
      <c r="A446" s="6" t="n"/>
      <c r="B446" s="6" t="n"/>
      <c r="C446" s="6" t="n"/>
      <c r="D446" s="14" t="n"/>
      <c r="E446" s="6" t="n"/>
      <c r="F446" s="15" t="n"/>
      <c r="G446" s="15" t="n"/>
      <c r="H446" s="13">
        <f>IF($B446="","",SUMIFS($F:$F,$B:$B,$B446,$D:$D,"&lt;="&amp;$D446)-SUMIFS($G:$G,$B:$B,$B446,$D:$D,"&lt;="&amp;$D446))</f>
        <v/>
      </c>
      <c r="I446" s="6" t="n"/>
      <c r="J446" s="6" t="n"/>
    </row>
    <row r="447">
      <c r="A447" s="2" t="n"/>
      <c r="B447" s="2" t="n"/>
      <c r="C447" s="2" t="n"/>
      <c r="D447" s="12" t="n"/>
      <c r="E447" s="2" t="n"/>
      <c r="F447" s="13" t="n"/>
      <c r="G447" s="13" t="n"/>
      <c r="H447" s="13">
        <f>IF($B447="","",SUMIFS($F:$F,$B:$B,$B447,$D:$D,"&lt;="&amp;$D447)-SUMIFS($G:$G,$B:$B,$B447,$D:$D,"&lt;="&amp;$D447))</f>
        <v/>
      </c>
      <c r="I447" s="2" t="n"/>
      <c r="J447" s="2" t="n"/>
    </row>
    <row r="448">
      <c r="A448" s="6" t="n"/>
      <c r="B448" s="6" t="n"/>
      <c r="C448" s="6" t="n"/>
      <c r="D448" s="14" t="n"/>
      <c r="E448" s="6" t="n"/>
      <c r="F448" s="15" t="n"/>
      <c r="G448" s="15" t="n"/>
      <c r="H448" s="13">
        <f>IF($B448="","",SUMIFS($F:$F,$B:$B,$B448,$D:$D,"&lt;="&amp;$D448)-SUMIFS($G:$G,$B:$B,$B448,$D:$D,"&lt;="&amp;$D448))</f>
        <v/>
      </c>
      <c r="I448" s="6" t="n"/>
      <c r="J448" s="6" t="n"/>
    </row>
    <row r="449">
      <c r="A449" s="2" t="n"/>
      <c r="B449" s="2" t="n"/>
      <c r="C449" s="2" t="n"/>
      <c r="D449" s="12" t="n"/>
      <c r="E449" s="2" t="n"/>
      <c r="F449" s="13" t="n"/>
      <c r="G449" s="13" t="n"/>
      <c r="H449" s="13">
        <f>IF($B449="","",SUMIFS($F:$F,$B:$B,$B449,$D:$D,"&lt;="&amp;$D449)-SUMIFS($G:$G,$B:$B,$B449,$D:$D,"&lt;="&amp;$D449))</f>
        <v/>
      </c>
      <c r="I449" s="2" t="n"/>
      <c r="J449" s="2" t="n"/>
    </row>
    <row r="450">
      <c r="A450" s="6" t="n"/>
      <c r="B450" s="6" t="n"/>
      <c r="C450" s="6" t="n"/>
      <c r="D450" s="14" t="n"/>
      <c r="E450" s="6" t="n"/>
      <c r="F450" s="15" t="n"/>
      <c r="G450" s="15" t="n"/>
      <c r="H450" s="13">
        <f>IF($B450="","",SUMIFS($F:$F,$B:$B,$B450,$D:$D,"&lt;="&amp;$D450)-SUMIFS($G:$G,$B:$B,$B450,$D:$D,"&lt;="&amp;$D450))</f>
        <v/>
      </c>
      <c r="I450" s="6" t="n"/>
      <c r="J450" s="6" t="n"/>
    </row>
    <row r="451">
      <c r="A451" s="2" t="n"/>
      <c r="B451" s="2" t="n"/>
      <c r="C451" s="2" t="n"/>
      <c r="D451" s="12" t="n"/>
      <c r="E451" s="2" t="n"/>
      <c r="F451" s="13" t="n"/>
      <c r="G451" s="13" t="n"/>
      <c r="H451" s="13">
        <f>IF($B451="","",SUMIFS($F:$F,$B:$B,$B451,$D:$D,"&lt;="&amp;$D451)-SUMIFS($G:$G,$B:$B,$B451,$D:$D,"&lt;="&amp;$D451))</f>
        <v/>
      </c>
      <c r="I451" s="2" t="n"/>
      <c r="J451" s="2" t="n"/>
    </row>
    <row r="452">
      <c r="A452" s="6" t="n"/>
      <c r="B452" s="6" t="n"/>
      <c r="C452" s="6" t="n"/>
      <c r="D452" s="14" t="n"/>
      <c r="E452" s="6" t="n"/>
      <c r="F452" s="15" t="n"/>
      <c r="G452" s="15" t="n"/>
      <c r="H452" s="13">
        <f>IF($B452="","",SUMIFS($F:$F,$B:$B,$B452,$D:$D,"&lt;="&amp;$D452)-SUMIFS($G:$G,$B:$B,$B452,$D:$D,"&lt;="&amp;$D452))</f>
        <v/>
      </c>
      <c r="I452" s="6" t="n"/>
      <c r="J452" s="6" t="n"/>
    </row>
    <row r="453">
      <c r="A453" s="2" t="n"/>
      <c r="B453" s="2" t="n"/>
      <c r="C453" s="2" t="n"/>
      <c r="D453" s="12" t="n"/>
      <c r="E453" s="2" t="n"/>
      <c r="F453" s="13" t="n"/>
      <c r="G453" s="13" t="n"/>
      <c r="H453" s="13">
        <f>IF($B453="","",SUMIFS($F:$F,$B:$B,$B453,$D:$D,"&lt;="&amp;$D453)-SUMIFS($G:$G,$B:$B,$B453,$D:$D,"&lt;="&amp;$D453))</f>
        <v/>
      </c>
      <c r="I453" s="2" t="n"/>
      <c r="J453" s="2" t="n"/>
    </row>
    <row r="454">
      <c r="A454" s="6" t="n"/>
      <c r="B454" s="6" t="n"/>
      <c r="C454" s="6" t="n"/>
      <c r="D454" s="14" t="n"/>
      <c r="E454" s="6" t="n"/>
      <c r="F454" s="15" t="n"/>
      <c r="G454" s="15" t="n"/>
      <c r="H454" s="13">
        <f>IF($B454="","",SUMIFS($F:$F,$B:$B,$B454,$D:$D,"&lt;="&amp;$D454)-SUMIFS($G:$G,$B:$B,$B454,$D:$D,"&lt;="&amp;$D454))</f>
        <v/>
      </c>
      <c r="I454" s="6" t="n"/>
      <c r="J454" s="6" t="n"/>
    </row>
    <row r="455">
      <c r="A455" s="2" t="n"/>
      <c r="B455" s="2" t="n"/>
      <c r="C455" s="2" t="n"/>
      <c r="D455" s="12" t="n"/>
      <c r="E455" s="2" t="n"/>
      <c r="F455" s="13" t="n"/>
      <c r="G455" s="13" t="n"/>
      <c r="H455" s="13">
        <f>IF($B455="","",SUMIFS($F:$F,$B:$B,$B455,$D:$D,"&lt;="&amp;$D455)-SUMIFS($G:$G,$B:$B,$B455,$D:$D,"&lt;="&amp;$D455))</f>
        <v/>
      </c>
      <c r="I455" s="2" t="n"/>
      <c r="J455" s="2" t="n"/>
    </row>
    <row r="456">
      <c r="A456" s="6" t="n"/>
      <c r="B456" s="6" t="n"/>
      <c r="C456" s="6" t="n"/>
      <c r="D456" s="14" t="n"/>
      <c r="E456" s="6" t="n"/>
      <c r="F456" s="15" t="n"/>
      <c r="G456" s="15" t="n"/>
      <c r="H456" s="13">
        <f>IF($B456="","",SUMIFS($F:$F,$B:$B,$B456,$D:$D,"&lt;="&amp;$D456)-SUMIFS($G:$G,$B:$B,$B456,$D:$D,"&lt;="&amp;$D456))</f>
        <v/>
      </c>
      <c r="I456" s="6" t="n"/>
      <c r="J456" s="6" t="n"/>
    </row>
    <row r="457">
      <c r="A457" s="2" t="n"/>
      <c r="B457" s="2" t="n"/>
      <c r="C457" s="2" t="n"/>
      <c r="D457" s="12" t="n"/>
      <c r="E457" s="2" t="n"/>
      <c r="F457" s="13" t="n"/>
      <c r="G457" s="13" t="n"/>
      <c r="H457" s="13">
        <f>IF($B457="","",SUMIFS($F:$F,$B:$B,$B457,$D:$D,"&lt;="&amp;$D457)-SUMIFS($G:$G,$B:$B,$B457,$D:$D,"&lt;="&amp;$D457))</f>
        <v/>
      </c>
      <c r="I457" s="2" t="n"/>
      <c r="J457" s="2" t="n"/>
    </row>
    <row r="458">
      <c r="A458" s="6" t="n"/>
      <c r="B458" s="6" t="n"/>
      <c r="C458" s="6" t="n"/>
      <c r="D458" s="14" t="n"/>
      <c r="E458" s="6" t="n"/>
      <c r="F458" s="15" t="n"/>
      <c r="G458" s="15" t="n"/>
      <c r="H458" s="13">
        <f>IF($B458="","",SUMIFS($F:$F,$B:$B,$B458,$D:$D,"&lt;="&amp;$D458)-SUMIFS($G:$G,$B:$B,$B458,$D:$D,"&lt;="&amp;$D458))</f>
        <v/>
      </c>
      <c r="I458" s="6" t="n"/>
      <c r="J458" s="6" t="n"/>
    </row>
    <row r="459">
      <c r="A459" s="2" t="n"/>
      <c r="B459" s="2" t="n"/>
      <c r="C459" s="2" t="n"/>
      <c r="D459" s="12" t="n"/>
      <c r="E459" s="2" t="n"/>
      <c r="F459" s="13" t="n"/>
      <c r="G459" s="13" t="n"/>
      <c r="H459" s="13">
        <f>IF($B459="","",SUMIFS($F:$F,$B:$B,$B459,$D:$D,"&lt;="&amp;$D459)-SUMIFS($G:$G,$B:$B,$B459,$D:$D,"&lt;="&amp;$D459))</f>
        <v/>
      </c>
      <c r="I459" s="2" t="n"/>
      <c r="J459" s="2" t="n"/>
    </row>
    <row r="460">
      <c r="A460" s="6" t="n"/>
      <c r="B460" s="6" t="n"/>
      <c r="C460" s="6" t="n"/>
      <c r="D460" s="14" t="n"/>
      <c r="E460" s="6" t="n"/>
      <c r="F460" s="15" t="n"/>
      <c r="G460" s="15" t="n"/>
      <c r="H460" s="13">
        <f>IF($B460="","",SUMIFS($F:$F,$B:$B,$B460,$D:$D,"&lt;="&amp;$D460)-SUMIFS($G:$G,$B:$B,$B460,$D:$D,"&lt;="&amp;$D460))</f>
        <v/>
      </c>
      <c r="I460" s="6" t="n"/>
      <c r="J460" s="6" t="n"/>
    </row>
    <row r="461">
      <c r="A461" s="2" t="n"/>
      <c r="B461" s="2" t="n"/>
      <c r="C461" s="2" t="n"/>
      <c r="D461" s="12" t="n"/>
      <c r="E461" s="2" t="n"/>
      <c r="F461" s="13" t="n"/>
      <c r="G461" s="13" t="n"/>
      <c r="H461" s="13">
        <f>IF($B461="","",SUMIFS($F:$F,$B:$B,$B461,$D:$D,"&lt;="&amp;$D461)-SUMIFS($G:$G,$B:$B,$B461,$D:$D,"&lt;="&amp;$D461))</f>
        <v/>
      </c>
      <c r="I461" s="2" t="n"/>
      <c r="J461" s="2" t="n"/>
    </row>
    <row r="462">
      <c r="A462" s="6" t="n"/>
      <c r="B462" s="6" t="n"/>
      <c r="C462" s="6" t="n"/>
      <c r="D462" s="14" t="n"/>
      <c r="E462" s="6" t="n"/>
      <c r="F462" s="15" t="n"/>
      <c r="G462" s="15" t="n"/>
      <c r="H462" s="13">
        <f>IF($B462="","",SUMIFS($F:$F,$B:$B,$B462,$D:$D,"&lt;="&amp;$D462)-SUMIFS($G:$G,$B:$B,$B462,$D:$D,"&lt;="&amp;$D462))</f>
        <v/>
      </c>
      <c r="I462" s="6" t="n"/>
      <c r="J462" s="6" t="n"/>
    </row>
    <row r="463">
      <c r="A463" s="2" t="n"/>
      <c r="B463" s="2" t="n"/>
      <c r="C463" s="2" t="n"/>
      <c r="D463" s="12" t="n"/>
      <c r="E463" s="2" t="n"/>
      <c r="F463" s="13" t="n"/>
      <c r="G463" s="13" t="n"/>
      <c r="H463" s="13">
        <f>IF($B463="","",SUMIFS($F:$F,$B:$B,$B463,$D:$D,"&lt;="&amp;$D463)-SUMIFS($G:$G,$B:$B,$B463,$D:$D,"&lt;="&amp;$D463))</f>
        <v/>
      </c>
      <c r="I463" s="2" t="n"/>
      <c r="J463" s="2" t="n"/>
    </row>
    <row r="464">
      <c r="A464" s="6" t="n"/>
      <c r="B464" s="6" t="n"/>
      <c r="C464" s="6" t="n"/>
      <c r="D464" s="14" t="n"/>
      <c r="E464" s="6" t="n"/>
      <c r="F464" s="15" t="n"/>
      <c r="G464" s="15" t="n"/>
      <c r="H464" s="13">
        <f>IF($B464="","",SUMIFS($F:$F,$B:$B,$B464,$D:$D,"&lt;="&amp;$D464)-SUMIFS($G:$G,$B:$B,$B464,$D:$D,"&lt;="&amp;$D464))</f>
        <v/>
      </c>
      <c r="I464" s="6" t="n"/>
      <c r="J464" s="6" t="n"/>
    </row>
    <row r="465">
      <c r="A465" s="2" t="n"/>
      <c r="B465" s="2" t="n"/>
      <c r="C465" s="2" t="n"/>
      <c r="D465" s="12" t="n"/>
      <c r="E465" s="2" t="n"/>
      <c r="F465" s="13" t="n"/>
      <c r="G465" s="13" t="n"/>
      <c r="H465" s="13">
        <f>IF($B465="","",SUMIFS($F:$F,$B:$B,$B465,$D:$D,"&lt;="&amp;$D465)-SUMIFS($G:$G,$B:$B,$B465,$D:$D,"&lt;="&amp;$D465))</f>
        <v/>
      </c>
      <c r="I465" s="2" t="n"/>
      <c r="J465" s="2" t="n"/>
    </row>
    <row r="466">
      <c r="A466" s="6" t="n"/>
      <c r="B466" s="6" t="n"/>
      <c r="C466" s="6" t="n"/>
      <c r="D466" s="14" t="n"/>
      <c r="E466" s="6" t="n"/>
      <c r="F466" s="15" t="n"/>
      <c r="G466" s="15" t="n"/>
      <c r="H466" s="13">
        <f>IF($B466="","",SUMIFS($F:$F,$B:$B,$B466,$D:$D,"&lt;="&amp;$D466)-SUMIFS($G:$G,$B:$B,$B466,$D:$D,"&lt;="&amp;$D466))</f>
        <v/>
      </c>
      <c r="I466" s="6" t="n"/>
      <c r="J466" s="6" t="n"/>
    </row>
    <row r="467">
      <c r="A467" s="2" t="n"/>
      <c r="B467" s="2" t="n"/>
      <c r="C467" s="2" t="n"/>
      <c r="D467" s="12" t="n"/>
      <c r="E467" s="2" t="n"/>
      <c r="F467" s="13" t="n"/>
      <c r="G467" s="13" t="n"/>
      <c r="H467" s="13">
        <f>IF($B467="","",SUMIFS($F:$F,$B:$B,$B467,$D:$D,"&lt;="&amp;$D467)-SUMIFS($G:$G,$B:$B,$B467,$D:$D,"&lt;="&amp;$D467))</f>
        <v/>
      </c>
      <c r="I467" s="2" t="n"/>
      <c r="J467" s="2" t="n"/>
    </row>
    <row r="468">
      <c r="A468" s="6" t="n"/>
      <c r="B468" s="6" t="n"/>
      <c r="C468" s="6" t="n"/>
      <c r="D468" s="14" t="n"/>
      <c r="E468" s="6" t="n"/>
      <c r="F468" s="15" t="n"/>
      <c r="G468" s="15" t="n"/>
      <c r="H468" s="13">
        <f>IF($B468="","",SUMIFS($F:$F,$B:$B,$B468,$D:$D,"&lt;="&amp;$D468)-SUMIFS($G:$G,$B:$B,$B468,$D:$D,"&lt;="&amp;$D468))</f>
        <v/>
      </c>
      <c r="I468" s="6" t="n"/>
      <c r="J468" s="6" t="n"/>
    </row>
    <row r="469">
      <c r="A469" s="2" t="n"/>
      <c r="B469" s="2" t="n"/>
      <c r="C469" s="2" t="n"/>
      <c r="D469" s="12" t="n"/>
      <c r="E469" s="2" t="n"/>
      <c r="F469" s="13" t="n"/>
      <c r="G469" s="13" t="n"/>
      <c r="H469" s="13">
        <f>IF($B469="","",SUMIFS($F:$F,$B:$B,$B469,$D:$D,"&lt;="&amp;$D469)-SUMIFS($G:$G,$B:$B,$B469,$D:$D,"&lt;="&amp;$D469))</f>
        <v/>
      </c>
      <c r="I469" s="2" t="n"/>
      <c r="J469" s="2" t="n"/>
    </row>
    <row r="470">
      <c r="A470" s="6" t="n"/>
      <c r="B470" s="6" t="n"/>
      <c r="C470" s="6" t="n"/>
      <c r="D470" s="14" t="n"/>
      <c r="E470" s="6" t="n"/>
      <c r="F470" s="15" t="n"/>
      <c r="G470" s="15" t="n"/>
      <c r="H470" s="13">
        <f>IF($B470="","",SUMIFS($F:$F,$B:$B,$B470,$D:$D,"&lt;="&amp;$D470)-SUMIFS($G:$G,$B:$B,$B470,$D:$D,"&lt;="&amp;$D470))</f>
        <v/>
      </c>
      <c r="I470" s="6" t="n"/>
      <c r="J470" s="6" t="n"/>
    </row>
    <row r="471">
      <c r="A471" s="2" t="n"/>
      <c r="B471" s="2" t="n"/>
      <c r="C471" s="2" t="n"/>
      <c r="D471" s="12" t="n"/>
      <c r="E471" s="2" t="n"/>
      <c r="F471" s="13" t="n"/>
      <c r="G471" s="13" t="n"/>
      <c r="H471" s="13">
        <f>IF($B471="","",SUMIFS($F:$F,$B:$B,$B471,$D:$D,"&lt;="&amp;$D471)-SUMIFS($G:$G,$B:$B,$B471,$D:$D,"&lt;="&amp;$D471))</f>
        <v/>
      </c>
      <c r="I471" s="2" t="n"/>
      <c r="J471" s="2" t="n"/>
    </row>
    <row r="472">
      <c r="A472" s="6" t="n"/>
      <c r="B472" s="6" t="n"/>
      <c r="C472" s="6" t="n"/>
      <c r="D472" s="14" t="n"/>
      <c r="E472" s="6" t="n"/>
      <c r="F472" s="15" t="n"/>
      <c r="G472" s="15" t="n"/>
      <c r="H472" s="13">
        <f>IF($B472="","",SUMIFS($F:$F,$B:$B,$B472,$D:$D,"&lt;="&amp;$D472)-SUMIFS($G:$G,$B:$B,$B472,$D:$D,"&lt;="&amp;$D472))</f>
        <v/>
      </c>
      <c r="I472" s="6" t="n"/>
      <c r="J472" s="6" t="n"/>
    </row>
    <row r="473">
      <c r="A473" s="2" t="n"/>
      <c r="B473" s="2" t="n"/>
      <c r="C473" s="2" t="n"/>
      <c r="D473" s="12" t="n"/>
      <c r="E473" s="2" t="n"/>
      <c r="F473" s="13" t="n"/>
      <c r="G473" s="13" t="n"/>
      <c r="H473" s="13">
        <f>IF($B473="","",SUMIFS($F:$F,$B:$B,$B473,$D:$D,"&lt;="&amp;$D473)-SUMIFS($G:$G,$B:$B,$B473,$D:$D,"&lt;="&amp;$D473))</f>
        <v/>
      </c>
      <c r="I473" s="2" t="n"/>
      <c r="J473" s="2" t="n"/>
    </row>
    <row r="474">
      <c r="A474" s="6" t="n"/>
      <c r="B474" s="6" t="n"/>
      <c r="C474" s="6" t="n"/>
      <c r="D474" s="14" t="n"/>
      <c r="E474" s="6" t="n"/>
      <c r="F474" s="15" t="n"/>
      <c r="G474" s="15" t="n"/>
      <c r="H474" s="13">
        <f>IF($B474="","",SUMIFS($F:$F,$B:$B,$B474,$D:$D,"&lt;="&amp;$D474)-SUMIFS($G:$G,$B:$B,$B474,$D:$D,"&lt;="&amp;$D474))</f>
        <v/>
      </c>
      <c r="I474" s="6" t="n"/>
      <c r="J474" s="6" t="n"/>
    </row>
    <row r="475">
      <c r="A475" s="2" t="n"/>
      <c r="B475" s="2" t="n"/>
      <c r="C475" s="2" t="n"/>
      <c r="D475" s="12" t="n"/>
      <c r="E475" s="2" t="n"/>
      <c r="F475" s="13" t="n"/>
      <c r="G475" s="13" t="n"/>
      <c r="H475" s="13">
        <f>IF($B475="","",SUMIFS($F:$F,$B:$B,$B475,$D:$D,"&lt;="&amp;$D475)-SUMIFS($G:$G,$B:$B,$B475,$D:$D,"&lt;="&amp;$D475))</f>
        <v/>
      </c>
      <c r="I475" s="2" t="n"/>
      <c r="J475" s="2" t="n"/>
    </row>
    <row r="476">
      <c r="A476" s="6" t="n"/>
      <c r="B476" s="6" t="n"/>
      <c r="C476" s="6" t="n"/>
      <c r="D476" s="14" t="n"/>
      <c r="E476" s="6" t="n"/>
      <c r="F476" s="15" t="n"/>
      <c r="G476" s="15" t="n"/>
      <c r="H476" s="13">
        <f>IF($B476="","",SUMIFS($F:$F,$B:$B,$B476,$D:$D,"&lt;="&amp;$D476)-SUMIFS($G:$G,$B:$B,$B476,$D:$D,"&lt;="&amp;$D476))</f>
        <v/>
      </c>
      <c r="I476" s="6" t="n"/>
      <c r="J476" s="6" t="n"/>
    </row>
    <row r="477">
      <c r="A477" s="2" t="n"/>
      <c r="B477" s="2" t="n"/>
      <c r="C477" s="2" t="n"/>
      <c r="D477" s="12" t="n"/>
      <c r="E477" s="2" t="n"/>
      <c r="F477" s="13" t="n"/>
      <c r="G477" s="13" t="n"/>
      <c r="H477" s="13">
        <f>IF($B477="","",SUMIFS($F:$F,$B:$B,$B477,$D:$D,"&lt;="&amp;$D477)-SUMIFS($G:$G,$B:$B,$B477,$D:$D,"&lt;="&amp;$D477))</f>
        <v/>
      </c>
      <c r="I477" s="2" t="n"/>
      <c r="J477" s="2" t="n"/>
    </row>
    <row r="478">
      <c r="A478" s="6" t="n"/>
      <c r="B478" s="6" t="n"/>
      <c r="C478" s="6" t="n"/>
      <c r="D478" s="14" t="n"/>
      <c r="E478" s="6" t="n"/>
      <c r="F478" s="15" t="n"/>
      <c r="G478" s="15" t="n"/>
      <c r="H478" s="13">
        <f>IF($B478="","",SUMIFS($F:$F,$B:$B,$B478,$D:$D,"&lt;="&amp;$D478)-SUMIFS($G:$G,$B:$B,$B478,$D:$D,"&lt;="&amp;$D478))</f>
        <v/>
      </c>
      <c r="I478" s="6" t="n"/>
      <c r="J478" s="6" t="n"/>
    </row>
    <row r="479">
      <c r="A479" s="2" t="n"/>
      <c r="B479" s="2" t="n"/>
      <c r="C479" s="2" t="n"/>
      <c r="D479" s="12" t="n"/>
      <c r="E479" s="2" t="n"/>
      <c r="F479" s="13" t="n"/>
      <c r="G479" s="13" t="n"/>
      <c r="H479" s="13">
        <f>IF($B479="","",SUMIFS($F:$F,$B:$B,$B479,$D:$D,"&lt;="&amp;$D479)-SUMIFS($G:$G,$B:$B,$B479,$D:$D,"&lt;="&amp;$D479))</f>
        <v/>
      </c>
      <c r="I479" s="2" t="n"/>
      <c r="J479" s="2" t="n"/>
    </row>
    <row r="480">
      <c r="A480" s="6" t="n"/>
      <c r="B480" s="6" t="n"/>
      <c r="C480" s="6" t="n"/>
      <c r="D480" s="14" t="n"/>
      <c r="E480" s="6" t="n"/>
      <c r="F480" s="15" t="n"/>
      <c r="G480" s="15" t="n"/>
      <c r="H480" s="13">
        <f>IF($B480="","",SUMIFS($F:$F,$B:$B,$B480,$D:$D,"&lt;="&amp;$D480)-SUMIFS($G:$G,$B:$B,$B480,$D:$D,"&lt;="&amp;$D480))</f>
        <v/>
      </c>
      <c r="I480" s="6" t="n"/>
      <c r="J480" s="6" t="n"/>
    </row>
    <row r="481">
      <c r="A481" s="2" t="n"/>
      <c r="B481" s="2" t="n"/>
      <c r="C481" s="2" t="n"/>
      <c r="D481" s="12" t="n"/>
      <c r="E481" s="2" t="n"/>
      <c r="F481" s="13" t="n"/>
      <c r="G481" s="13" t="n"/>
      <c r="H481" s="13">
        <f>IF($B481="","",SUMIFS($F:$F,$B:$B,$B481,$D:$D,"&lt;="&amp;$D481)-SUMIFS($G:$G,$B:$B,$B481,$D:$D,"&lt;="&amp;$D481))</f>
        <v/>
      </c>
      <c r="I481" s="2" t="n"/>
      <c r="J481" s="2" t="n"/>
    </row>
    <row r="482">
      <c r="A482" s="6" t="n"/>
      <c r="B482" s="6" t="n"/>
      <c r="C482" s="6" t="n"/>
      <c r="D482" s="14" t="n"/>
      <c r="E482" s="6" t="n"/>
      <c r="F482" s="15" t="n"/>
      <c r="G482" s="15" t="n"/>
      <c r="H482" s="13">
        <f>IF($B482="","",SUMIFS($F:$F,$B:$B,$B482,$D:$D,"&lt;="&amp;$D482)-SUMIFS($G:$G,$B:$B,$B482,$D:$D,"&lt;="&amp;$D482))</f>
        <v/>
      </c>
      <c r="I482" s="6" t="n"/>
      <c r="J482" s="6" t="n"/>
    </row>
    <row r="483">
      <c r="A483" s="2" t="n"/>
      <c r="B483" s="2" t="n"/>
      <c r="C483" s="2" t="n"/>
      <c r="D483" s="12" t="n"/>
      <c r="E483" s="2" t="n"/>
      <c r="F483" s="13" t="n"/>
      <c r="G483" s="13" t="n"/>
      <c r="H483" s="13">
        <f>IF($B483="","",SUMIFS($F:$F,$B:$B,$B483,$D:$D,"&lt;="&amp;$D483)-SUMIFS($G:$G,$B:$B,$B483,$D:$D,"&lt;="&amp;$D483))</f>
        <v/>
      </c>
      <c r="I483" s="2" t="n"/>
      <c r="J483" s="2" t="n"/>
    </row>
    <row r="484">
      <c r="A484" s="6" t="n"/>
      <c r="B484" s="6" t="n"/>
      <c r="C484" s="6" t="n"/>
      <c r="D484" s="14" t="n"/>
      <c r="E484" s="6" t="n"/>
      <c r="F484" s="15" t="n"/>
      <c r="G484" s="15" t="n"/>
      <c r="H484" s="13">
        <f>IF($B484="","",SUMIFS($F:$F,$B:$B,$B484,$D:$D,"&lt;="&amp;$D484)-SUMIFS($G:$G,$B:$B,$B484,$D:$D,"&lt;="&amp;$D484))</f>
        <v/>
      </c>
      <c r="I484" s="6" t="n"/>
      <c r="J484" s="6" t="n"/>
    </row>
    <row r="485">
      <c r="A485" s="2" t="n"/>
      <c r="B485" s="2" t="n"/>
      <c r="C485" s="2" t="n"/>
      <c r="D485" s="12" t="n"/>
      <c r="E485" s="2" t="n"/>
      <c r="F485" s="13" t="n"/>
      <c r="G485" s="13" t="n"/>
      <c r="H485" s="13">
        <f>IF($B485="","",SUMIFS($F:$F,$B:$B,$B485,$D:$D,"&lt;="&amp;$D485)-SUMIFS($G:$G,$B:$B,$B485,$D:$D,"&lt;="&amp;$D485))</f>
        <v/>
      </c>
      <c r="I485" s="2" t="n"/>
      <c r="J485" s="2" t="n"/>
    </row>
    <row r="486">
      <c r="A486" s="6" t="n"/>
      <c r="B486" s="6" t="n"/>
      <c r="C486" s="6" t="n"/>
      <c r="D486" s="14" t="n"/>
      <c r="E486" s="6" t="n"/>
      <c r="F486" s="15" t="n"/>
      <c r="G486" s="15" t="n"/>
      <c r="H486" s="13">
        <f>IF($B486="","",SUMIFS($F:$F,$B:$B,$B486,$D:$D,"&lt;="&amp;$D486)-SUMIFS($G:$G,$B:$B,$B486,$D:$D,"&lt;="&amp;$D486))</f>
        <v/>
      </c>
      <c r="I486" s="6" t="n"/>
      <c r="J486" s="6" t="n"/>
    </row>
    <row r="487">
      <c r="A487" s="2" t="n"/>
      <c r="B487" s="2" t="n"/>
      <c r="C487" s="2" t="n"/>
      <c r="D487" s="12" t="n"/>
      <c r="E487" s="2" t="n"/>
      <c r="F487" s="13" t="n"/>
      <c r="G487" s="13" t="n"/>
      <c r="H487" s="13">
        <f>IF($B487="","",SUMIFS($F:$F,$B:$B,$B487,$D:$D,"&lt;="&amp;$D487)-SUMIFS($G:$G,$B:$B,$B487,$D:$D,"&lt;="&amp;$D487))</f>
        <v/>
      </c>
      <c r="I487" s="2" t="n"/>
      <c r="J487" s="2" t="n"/>
    </row>
    <row r="488">
      <c r="A488" s="6" t="n"/>
      <c r="B488" s="6" t="n"/>
      <c r="C488" s="6" t="n"/>
      <c r="D488" s="14" t="n"/>
      <c r="E488" s="6" t="n"/>
      <c r="F488" s="15" t="n"/>
      <c r="G488" s="15" t="n"/>
      <c r="H488" s="13">
        <f>IF($B488="","",SUMIFS($F:$F,$B:$B,$B488,$D:$D,"&lt;="&amp;$D488)-SUMIFS($G:$G,$B:$B,$B488,$D:$D,"&lt;="&amp;$D488))</f>
        <v/>
      </c>
      <c r="I488" s="6" t="n"/>
      <c r="J488" s="6" t="n"/>
    </row>
    <row r="489">
      <c r="A489" s="2" t="n"/>
      <c r="B489" s="2" t="n"/>
      <c r="C489" s="2" t="n"/>
      <c r="D489" s="12" t="n"/>
      <c r="E489" s="2" t="n"/>
      <c r="F489" s="13" t="n"/>
      <c r="G489" s="13" t="n"/>
      <c r="H489" s="13">
        <f>IF($B489="","",SUMIFS($F:$F,$B:$B,$B489,$D:$D,"&lt;="&amp;$D489)-SUMIFS($G:$G,$B:$B,$B489,$D:$D,"&lt;="&amp;$D489))</f>
        <v/>
      </c>
      <c r="I489" s="2" t="n"/>
      <c r="J489" s="2" t="n"/>
    </row>
    <row r="490">
      <c r="A490" s="6" t="n"/>
      <c r="B490" s="6" t="n"/>
      <c r="C490" s="6" t="n"/>
      <c r="D490" s="14" t="n"/>
      <c r="E490" s="6" t="n"/>
      <c r="F490" s="15" t="n"/>
      <c r="G490" s="15" t="n"/>
      <c r="H490" s="13">
        <f>IF($B490="","",SUMIFS($F:$F,$B:$B,$B490,$D:$D,"&lt;="&amp;$D490)-SUMIFS($G:$G,$B:$B,$B490,$D:$D,"&lt;="&amp;$D490))</f>
        <v/>
      </c>
      <c r="I490" s="6" t="n"/>
      <c r="J490" s="6" t="n"/>
    </row>
    <row r="491">
      <c r="A491" s="2" t="n"/>
      <c r="B491" s="2" t="n"/>
      <c r="C491" s="2" t="n"/>
      <c r="D491" s="12" t="n"/>
      <c r="E491" s="2" t="n"/>
      <c r="F491" s="13" t="n"/>
      <c r="G491" s="13" t="n"/>
      <c r="H491" s="13">
        <f>IF($B491="","",SUMIFS($F:$F,$B:$B,$B491,$D:$D,"&lt;="&amp;$D491)-SUMIFS($G:$G,$B:$B,$B491,$D:$D,"&lt;="&amp;$D491))</f>
        <v/>
      </c>
      <c r="I491" s="2" t="n"/>
      <c r="J491" s="2" t="n"/>
    </row>
    <row r="492">
      <c r="A492" s="6" t="n"/>
      <c r="B492" s="6" t="n"/>
      <c r="C492" s="6" t="n"/>
      <c r="D492" s="14" t="n"/>
      <c r="E492" s="6" t="n"/>
      <c r="F492" s="15" t="n"/>
      <c r="G492" s="15" t="n"/>
      <c r="H492" s="13">
        <f>IF($B492="","",SUMIFS($F:$F,$B:$B,$B492,$D:$D,"&lt;="&amp;$D492)-SUMIFS($G:$G,$B:$B,$B492,$D:$D,"&lt;="&amp;$D492))</f>
        <v/>
      </c>
      <c r="I492" s="6" t="n"/>
      <c r="J492" s="6" t="n"/>
    </row>
    <row r="493">
      <c r="A493" s="2" t="n"/>
      <c r="B493" s="2" t="n"/>
      <c r="C493" s="2" t="n"/>
      <c r="D493" s="12" t="n"/>
      <c r="E493" s="2" t="n"/>
      <c r="F493" s="13" t="n"/>
      <c r="G493" s="13" t="n"/>
      <c r="H493" s="13">
        <f>IF($B493="","",SUMIFS($F:$F,$B:$B,$B493,$D:$D,"&lt;="&amp;$D493)-SUMIFS($G:$G,$B:$B,$B493,$D:$D,"&lt;="&amp;$D493))</f>
        <v/>
      </c>
      <c r="I493" s="2" t="n"/>
      <c r="J493" s="2" t="n"/>
    </row>
    <row r="494">
      <c r="A494" s="6" t="n"/>
      <c r="B494" s="6" t="n"/>
      <c r="C494" s="6" t="n"/>
      <c r="D494" s="14" t="n"/>
      <c r="E494" s="6" t="n"/>
      <c r="F494" s="15" t="n"/>
      <c r="G494" s="15" t="n"/>
      <c r="H494" s="13">
        <f>IF($B494="","",SUMIFS($F:$F,$B:$B,$B494,$D:$D,"&lt;="&amp;$D494)-SUMIFS($G:$G,$B:$B,$B494,$D:$D,"&lt;="&amp;$D494))</f>
        <v/>
      </c>
      <c r="I494" s="6" t="n"/>
      <c r="J494" s="6" t="n"/>
    </row>
    <row r="495">
      <c r="A495" s="2" t="n"/>
      <c r="B495" s="2" t="n"/>
      <c r="C495" s="2" t="n"/>
      <c r="D495" s="12" t="n"/>
      <c r="E495" s="2" t="n"/>
      <c r="F495" s="13" t="n"/>
      <c r="G495" s="13" t="n"/>
      <c r="H495" s="13">
        <f>IF($B495="","",SUMIFS($F:$F,$B:$B,$B495,$D:$D,"&lt;="&amp;$D495)-SUMIFS($G:$G,$B:$B,$B495,$D:$D,"&lt;="&amp;$D495))</f>
        <v/>
      </c>
      <c r="I495" s="2" t="n"/>
      <c r="J495" s="2" t="n"/>
    </row>
    <row r="496">
      <c r="A496" s="6" t="n"/>
      <c r="B496" s="6" t="n"/>
      <c r="C496" s="6" t="n"/>
      <c r="D496" s="14" t="n"/>
      <c r="E496" s="6" t="n"/>
      <c r="F496" s="15" t="n"/>
      <c r="G496" s="15" t="n"/>
      <c r="H496" s="13">
        <f>IF($B496="","",SUMIFS($F:$F,$B:$B,$B496,$D:$D,"&lt;="&amp;$D496)-SUMIFS($G:$G,$B:$B,$B496,$D:$D,"&lt;="&amp;$D496))</f>
        <v/>
      </c>
      <c r="I496" s="6" t="n"/>
      <c r="J496" s="6" t="n"/>
    </row>
    <row r="497">
      <c r="A497" s="2" t="n"/>
      <c r="B497" s="2" t="n"/>
      <c r="C497" s="2" t="n"/>
      <c r="D497" s="12" t="n"/>
      <c r="E497" s="2" t="n"/>
      <c r="F497" s="13" t="n"/>
      <c r="G497" s="13" t="n"/>
      <c r="H497" s="13">
        <f>IF($B497="","",SUMIFS($F:$F,$B:$B,$B497,$D:$D,"&lt;="&amp;$D497)-SUMIFS($G:$G,$B:$B,$B497,$D:$D,"&lt;="&amp;$D497))</f>
        <v/>
      </c>
      <c r="I497" s="2" t="n"/>
      <c r="J497" s="2" t="n"/>
    </row>
    <row r="498">
      <c r="A498" s="6" t="n"/>
      <c r="B498" s="6" t="n"/>
      <c r="C498" s="6" t="n"/>
      <c r="D498" s="14" t="n"/>
      <c r="E498" s="6" t="n"/>
      <c r="F498" s="15" t="n"/>
      <c r="G498" s="15" t="n"/>
      <c r="H498" s="13">
        <f>IF($B498="","",SUMIFS($F:$F,$B:$B,$B498,$D:$D,"&lt;="&amp;$D498)-SUMIFS($G:$G,$B:$B,$B498,$D:$D,"&lt;="&amp;$D498))</f>
        <v/>
      </c>
      <c r="I498" s="6" t="n"/>
      <c r="J498" s="6" t="n"/>
    </row>
    <row r="499">
      <c r="A499" s="2" t="n"/>
      <c r="B499" s="2" t="n"/>
      <c r="C499" s="2" t="n"/>
      <c r="D499" s="12" t="n"/>
      <c r="E499" s="2" t="n"/>
      <c r="F499" s="13" t="n"/>
      <c r="G499" s="13" t="n"/>
      <c r="H499" s="13">
        <f>IF($B499="","",SUMIFS($F:$F,$B:$B,$B499,$D:$D,"&lt;="&amp;$D499)-SUMIFS($G:$G,$B:$B,$B499,$D:$D,"&lt;="&amp;$D499))</f>
        <v/>
      </c>
      <c r="I499" s="2" t="n"/>
      <c r="J499" s="2" t="n"/>
    </row>
    <row r="500">
      <c r="A500" s="6" t="n"/>
      <c r="B500" s="6" t="n"/>
      <c r="C500" s="6" t="n"/>
      <c r="D500" s="14" t="n"/>
      <c r="E500" s="6" t="n"/>
      <c r="F500" s="15" t="n"/>
      <c r="G500" s="15" t="n"/>
      <c r="H500" s="13">
        <f>IF($B500="","",SUMIFS($F:$F,$B:$B,$B500,$D:$D,"&lt;="&amp;$D500)-SUMIFS($G:$G,$B:$B,$B500,$D:$D,"&lt;="&amp;$D500))</f>
        <v/>
      </c>
      <c r="I500" s="6" t="n"/>
      <c r="J500" s="6" t="n"/>
    </row>
    <row r="501">
      <c r="A501" s="2" t="n"/>
      <c r="B501" s="2" t="n"/>
      <c r="C501" s="2" t="n"/>
      <c r="D501" s="12" t="n"/>
      <c r="E501" s="2" t="n"/>
      <c r="F501" s="13" t="n"/>
      <c r="G501" s="13" t="n"/>
      <c r="H501" s="13">
        <f>IF($B501="","",SUMIFS($F:$F,$B:$B,$B501,$D:$D,"&lt;="&amp;$D501)-SUMIFS($G:$G,$B:$B,$B501,$D:$D,"&lt;="&amp;$D501))</f>
        <v/>
      </c>
      <c r="I501" s="2" t="n"/>
      <c r="J501" s="2" t="n"/>
    </row>
    <row r="502">
      <c r="A502" s="6" t="n"/>
      <c r="B502" s="6" t="n"/>
      <c r="C502" s="6" t="n"/>
      <c r="D502" s="14" t="n"/>
      <c r="E502" s="6" t="n"/>
      <c r="F502" s="15" t="n"/>
      <c r="G502" s="15" t="n"/>
      <c r="H502" s="13">
        <f>IF($B502="","",SUMIFS($F:$F,$B:$B,$B502,$D:$D,"&lt;="&amp;$D502)-SUMIFS($G:$G,$B:$B,$B502,$D:$D,"&lt;="&amp;$D502))</f>
        <v/>
      </c>
      <c r="I502" s="6" t="n"/>
      <c r="J502" s="6" t="n"/>
    </row>
    <row r="503">
      <c r="A503" s="2" t="n"/>
      <c r="B503" s="2" t="n"/>
      <c r="C503" s="2" t="n"/>
      <c r="D503" s="12" t="n"/>
      <c r="E503" s="2" t="n"/>
      <c r="F503" s="13" t="n"/>
      <c r="G503" s="13" t="n"/>
      <c r="H503" s="13">
        <f>IF($B503="","",SUMIFS($F:$F,$B:$B,$B503,$D:$D,"&lt;="&amp;$D503)-SUMIFS($G:$G,$B:$B,$B503,$D:$D,"&lt;="&amp;$D503))</f>
        <v/>
      </c>
      <c r="I503" s="2" t="n"/>
      <c r="J503" s="2" t="n"/>
    </row>
    <row r="504">
      <c r="A504" s="6" t="n"/>
      <c r="B504" s="6" t="n"/>
      <c r="C504" s="6" t="n"/>
      <c r="D504" s="14" t="n"/>
      <c r="E504" s="6" t="n"/>
      <c r="F504" s="15" t="n"/>
      <c r="G504" s="15" t="n"/>
      <c r="H504" s="13">
        <f>IF($B504="","",SUMIFS($F:$F,$B:$B,$B504,$D:$D,"&lt;="&amp;$D504)-SUMIFS($G:$G,$B:$B,$B504,$D:$D,"&lt;="&amp;$D504))</f>
        <v/>
      </c>
      <c r="I504" s="6" t="n"/>
      <c r="J504" s="6" t="n"/>
    </row>
    <row r="505">
      <c r="A505" s="2" t="n"/>
      <c r="B505" s="2" t="n"/>
      <c r="C505" s="2" t="n"/>
      <c r="D505" s="12" t="n"/>
      <c r="E505" s="2" t="n"/>
      <c r="F505" s="13" t="n"/>
      <c r="G505" s="13" t="n"/>
      <c r="H505" s="13">
        <f>IF($B505="","",SUMIFS($F:$F,$B:$B,$B505,$D:$D,"&lt;="&amp;$D505)-SUMIFS($G:$G,$B:$B,$B505,$D:$D,"&lt;="&amp;$D505))</f>
        <v/>
      </c>
      <c r="I505" s="2" t="n"/>
      <c r="J505" s="2" t="n"/>
    </row>
    <row r="506">
      <c r="A506" s="6" t="n"/>
      <c r="B506" s="6" t="n"/>
      <c r="C506" s="6" t="n"/>
      <c r="D506" s="14" t="n"/>
      <c r="E506" s="6" t="n"/>
      <c r="F506" s="15" t="n"/>
      <c r="G506" s="15" t="n"/>
      <c r="H506" s="13">
        <f>IF($B506="","",SUMIFS($F:$F,$B:$B,$B506,$D:$D,"&lt;="&amp;$D506)-SUMIFS($G:$G,$B:$B,$B506,$D:$D,"&lt;="&amp;$D506))</f>
        <v/>
      </c>
      <c r="I506" s="6" t="n"/>
      <c r="J506" s="6" t="n"/>
    </row>
    <row r="507">
      <c r="A507" s="2" t="n"/>
      <c r="B507" s="2" t="n"/>
      <c r="C507" s="2" t="n"/>
      <c r="D507" s="12" t="n"/>
      <c r="E507" s="2" t="n"/>
      <c r="F507" s="13" t="n"/>
      <c r="G507" s="13" t="n"/>
      <c r="H507" s="13">
        <f>IF($B507="","",SUMIFS($F:$F,$B:$B,$B507,$D:$D,"&lt;="&amp;$D507)-SUMIFS($G:$G,$B:$B,$B507,$D:$D,"&lt;="&amp;$D507))</f>
        <v/>
      </c>
      <c r="I507" s="2" t="n"/>
      <c r="J507" s="2" t="n"/>
    </row>
    <row r="508">
      <c r="A508" s="6" t="n"/>
      <c r="B508" s="6" t="n"/>
      <c r="C508" s="6" t="n"/>
      <c r="D508" s="14" t="n"/>
      <c r="E508" s="6" t="n"/>
      <c r="F508" s="15" t="n"/>
      <c r="G508" s="15" t="n"/>
      <c r="H508" s="13">
        <f>IF($B508="","",SUMIFS($F:$F,$B:$B,$B508,$D:$D,"&lt;="&amp;$D508)-SUMIFS($G:$G,$B:$B,$B508,$D:$D,"&lt;="&amp;$D508))</f>
        <v/>
      </c>
      <c r="I508" s="6" t="n"/>
      <c r="J508" s="6" t="n"/>
    </row>
    <row r="509">
      <c r="A509" s="2" t="n"/>
      <c r="B509" s="2" t="n"/>
      <c r="C509" s="2" t="n"/>
      <c r="D509" s="12" t="n"/>
      <c r="E509" s="2" t="n"/>
      <c r="F509" s="13" t="n"/>
      <c r="G509" s="13" t="n"/>
      <c r="H509" s="13">
        <f>IF($B509="","",SUMIFS($F:$F,$B:$B,$B509,$D:$D,"&lt;="&amp;$D509)-SUMIFS($G:$G,$B:$B,$B509,$D:$D,"&lt;="&amp;$D509))</f>
        <v/>
      </c>
      <c r="I509" s="2" t="n"/>
      <c r="J509" s="2" t="n"/>
    </row>
    <row r="510">
      <c r="A510" s="6" t="n"/>
      <c r="B510" s="6" t="n"/>
      <c r="C510" s="6" t="n"/>
      <c r="D510" s="14" t="n"/>
      <c r="E510" s="6" t="n"/>
      <c r="F510" s="15" t="n"/>
      <c r="G510" s="15" t="n"/>
      <c r="H510" s="13">
        <f>IF($B510="","",SUMIFS($F:$F,$B:$B,$B510,$D:$D,"&lt;="&amp;$D510)-SUMIFS($G:$G,$B:$B,$B510,$D:$D,"&lt;="&amp;$D510))</f>
        <v/>
      </c>
      <c r="I510" s="6" t="n"/>
      <c r="J510" s="6" t="n"/>
    </row>
    <row r="511">
      <c r="A511" s="2" t="n"/>
      <c r="B511" s="2" t="n"/>
      <c r="C511" s="2" t="n"/>
      <c r="D511" s="12" t="n"/>
      <c r="E511" s="2" t="n"/>
      <c r="F511" s="13" t="n"/>
      <c r="G511" s="13" t="n"/>
      <c r="H511" s="13">
        <f>IF($B511="","",SUMIFS($F:$F,$B:$B,$B511,$D:$D,"&lt;="&amp;$D511)-SUMIFS($G:$G,$B:$B,$B511,$D:$D,"&lt;="&amp;$D511))</f>
        <v/>
      </c>
      <c r="I511" s="2" t="n"/>
      <c r="J511" s="2" t="n"/>
    </row>
    <row r="512">
      <c r="A512" s="6" t="n"/>
      <c r="B512" s="6" t="n"/>
      <c r="C512" s="6" t="n"/>
      <c r="D512" s="14" t="n"/>
      <c r="E512" s="6" t="n"/>
      <c r="F512" s="15" t="n"/>
      <c r="G512" s="15" t="n"/>
      <c r="H512" s="13">
        <f>IF($B512="","",SUMIFS($F:$F,$B:$B,$B512,$D:$D,"&lt;="&amp;$D512)-SUMIFS($G:$G,$B:$B,$B512,$D:$D,"&lt;="&amp;$D512))</f>
        <v/>
      </c>
      <c r="I512" s="6" t="n"/>
      <c r="J512" s="6" t="n"/>
    </row>
    <row r="513">
      <c r="A513" s="2" t="n"/>
      <c r="B513" s="2" t="n"/>
      <c r="C513" s="2" t="n"/>
      <c r="D513" s="12" t="n"/>
      <c r="E513" s="2" t="n"/>
      <c r="F513" s="13" t="n"/>
      <c r="G513" s="13" t="n"/>
      <c r="H513" s="13">
        <f>IF($B513="","",SUMIFS($F:$F,$B:$B,$B513,$D:$D,"&lt;="&amp;$D513)-SUMIFS($G:$G,$B:$B,$B513,$D:$D,"&lt;="&amp;$D513))</f>
        <v/>
      </c>
      <c r="I513" s="2" t="n"/>
      <c r="J513" s="2" t="n"/>
    </row>
    <row r="514">
      <c r="A514" s="6" t="n"/>
      <c r="B514" s="6" t="n"/>
      <c r="C514" s="6" t="n"/>
      <c r="D514" s="14" t="n"/>
      <c r="E514" s="6" t="n"/>
      <c r="F514" s="15" t="n"/>
      <c r="G514" s="15" t="n"/>
      <c r="H514" s="13">
        <f>IF($B514="","",SUMIFS($F:$F,$B:$B,$B514,$D:$D,"&lt;="&amp;$D514)-SUMIFS($G:$G,$B:$B,$B514,$D:$D,"&lt;="&amp;$D514))</f>
        <v/>
      </c>
      <c r="I514" s="6" t="n"/>
      <c r="J514" s="6" t="n"/>
    </row>
    <row r="515">
      <c r="A515" s="2" t="n"/>
      <c r="B515" s="2" t="n"/>
      <c r="C515" s="2" t="n"/>
      <c r="D515" s="12" t="n"/>
      <c r="E515" s="2" t="n"/>
      <c r="F515" s="13" t="n"/>
      <c r="G515" s="13" t="n"/>
      <c r="H515" s="13">
        <f>IF($B515="","",SUMIFS($F:$F,$B:$B,$B515,$D:$D,"&lt;="&amp;$D515)-SUMIFS($G:$G,$B:$B,$B515,$D:$D,"&lt;="&amp;$D515))</f>
        <v/>
      </c>
      <c r="I515" s="2" t="n"/>
      <c r="J515" s="2" t="n"/>
    </row>
    <row r="516">
      <c r="A516" s="6" t="n"/>
      <c r="B516" s="6" t="n"/>
      <c r="C516" s="6" t="n"/>
      <c r="D516" s="14" t="n"/>
      <c r="E516" s="6" t="n"/>
      <c r="F516" s="15" t="n"/>
      <c r="G516" s="15" t="n"/>
      <c r="H516" s="13">
        <f>IF($B516="","",SUMIFS($F:$F,$B:$B,$B516,$D:$D,"&lt;="&amp;$D516)-SUMIFS($G:$G,$B:$B,$B516,$D:$D,"&lt;="&amp;$D516))</f>
        <v/>
      </c>
      <c r="I516" s="6" t="n"/>
      <c r="J516" s="6" t="n"/>
    </row>
    <row r="517">
      <c r="A517" s="2" t="n"/>
      <c r="B517" s="2" t="n"/>
      <c r="C517" s="2" t="n"/>
      <c r="D517" s="12" t="n"/>
      <c r="E517" s="2" t="n"/>
      <c r="F517" s="13" t="n"/>
      <c r="G517" s="13" t="n"/>
      <c r="H517" s="13">
        <f>IF($B517="","",SUMIFS($F:$F,$B:$B,$B517,$D:$D,"&lt;="&amp;$D517)-SUMIFS($G:$G,$B:$B,$B517,$D:$D,"&lt;="&amp;$D517))</f>
        <v/>
      </c>
      <c r="I517" s="2" t="n"/>
      <c r="J517" s="2" t="n"/>
    </row>
    <row r="518">
      <c r="A518" s="6" t="n"/>
      <c r="B518" s="6" t="n"/>
      <c r="C518" s="6" t="n"/>
      <c r="D518" s="14" t="n"/>
      <c r="E518" s="6" t="n"/>
      <c r="F518" s="15" t="n"/>
      <c r="G518" s="15" t="n"/>
      <c r="H518" s="13">
        <f>IF($B518="","",SUMIFS($F:$F,$B:$B,$B518,$D:$D,"&lt;="&amp;$D518)-SUMIFS($G:$G,$B:$B,$B518,$D:$D,"&lt;="&amp;$D518))</f>
        <v/>
      </c>
      <c r="I518" s="6" t="n"/>
      <c r="J518" s="6" t="n"/>
    </row>
    <row r="519">
      <c r="A519" s="2" t="n"/>
      <c r="B519" s="2" t="n"/>
      <c r="C519" s="2" t="n"/>
      <c r="D519" s="12" t="n"/>
      <c r="E519" s="2" t="n"/>
      <c r="F519" s="13" t="n"/>
      <c r="G519" s="13" t="n"/>
      <c r="H519" s="13">
        <f>IF($B519="","",SUMIFS($F:$F,$B:$B,$B519,$D:$D,"&lt;="&amp;$D519)-SUMIFS($G:$G,$B:$B,$B519,$D:$D,"&lt;="&amp;$D519))</f>
        <v/>
      </c>
      <c r="I519" s="2" t="n"/>
      <c r="J519" s="2" t="n"/>
    </row>
    <row r="520">
      <c r="A520" s="6" t="n"/>
      <c r="B520" s="6" t="n"/>
      <c r="C520" s="6" t="n"/>
      <c r="D520" s="14" t="n"/>
      <c r="E520" s="6" t="n"/>
      <c r="F520" s="15" t="n"/>
      <c r="G520" s="15" t="n"/>
      <c r="H520" s="13">
        <f>IF($B520="","",SUMIFS($F:$F,$B:$B,$B520,$D:$D,"&lt;="&amp;$D520)-SUMIFS($G:$G,$B:$B,$B520,$D:$D,"&lt;="&amp;$D520))</f>
        <v/>
      </c>
      <c r="I520" s="6" t="n"/>
      <c r="J520" s="6" t="n"/>
    </row>
    <row r="521">
      <c r="A521" s="2" t="n"/>
      <c r="B521" s="2" t="n"/>
      <c r="C521" s="2" t="n"/>
      <c r="D521" s="12" t="n"/>
      <c r="E521" s="2" t="n"/>
      <c r="F521" s="13" t="n"/>
      <c r="G521" s="13" t="n"/>
      <c r="H521" s="13">
        <f>IF($B521="","",SUMIFS($F:$F,$B:$B,$B521,$D:$D,"&lt;="&amp;$D521)-SUMIFS($G:$G,$B:$B,$B521,$D:$D,"&lt;="&amp;$D521))</f>
        <v/>
      </c>
      <c r="I521" s="2" t="n"/>
      <c r="J521" s="2" t="n"/>
    </row>
    <row r="522">
      <c r="A522" s="6" t="n"/>
      <c r="B522" s="6" t="n"/>
      <c r="C522" s="6" t="n"/>
      <c r="D522" s="14" t="n"/>
      <c r="E522" s="6" t="n"/>
      <c r="F522" s="15" t="n"/>
      <c r="G522" s="15" t="n"/>
      <c r="H522" s="13">
        <f>IF($B522="","",SUMIFS($F:$F,$B:$B,$B522,$D:$D,"&lt;="&amp;$D522)-SUMIFS($G:$G,$B:$B,$B522,$D:$D,"&lt;="&amp;$D522))</f>
        <v/>
      </c>
      <c r="I522" s="6" t="n"/>
      <c r="J522" s="6" t="n"/>
    </row>
    <row r="523">
      <c r="A523" s="2" t="n"/>
      <c r="B523" s="2" t="n"/>
      <c r="C523" s="2" t="n"/>
      <c r="D523" s="12" t="n"/>
      <c r="E523" s="2" t="n"/>
      <c r="F523" s="13" t="n"/>
      <c r="G523" s="13" t="n"/>
      <c r="H523" s="13">
        <f>IF($B523="","",SUMIFS($F:$F,$B:$B,$B523,$D:$D,"&lt;="&amp;$D523)-SUMIFS($G:$G,$B:$B,$B523,$D:$D,"&lt;="&amp;$D523))</f>
        <v/>
      </c>
      <c r="I523" s="2" t="n"/>
      <c r="J523" s="2" t="n"/>
    </row>
    <row r="524">
      <c r="A524" s="6" t="n"/>
      <c r="B524" s="6" t="n"/>
      <c r="C524" s="6" t="n"/>
      <c r="D524" s="14" t="n"/>
      <c r="E524" s="6" t="n"/>
      <c r="F524" s="15" t="n"/>
      <c r="G524" s="15" t="n"/>
      <c r="H524" s="13">
        <f>IF($B524="","",SUMIFS($F:$F,$B:$B,$B524,$D:$D,"&lt;="&amp;$D524)-SUMIFS($G:$G,$B:$B,$B524,$D:$D,"&lt;="&amp;$D524))</f>
        <v/>
      </c>
      <c r="I524" s="6" t="n"/>
      <c r="J524" s="6" t="n"/>
    </row>
    <row r="525">
      <c r="A525" s="2" t="n"/>
      <c r="B525" s="2" t="n"/>
      <c r="C525" s="2" t="n"/>
      <c r="D525" s="12" t="n"/>
      <c r="E525" s="2" t="n"/>
      <c r="F525" s="13" t="n"/>
      <c r="G525" s="13" t="n"/>
      <c r="H525" s="13">
        <f>IF($B525="","",SUMIFS($F:$F,$B:$B,$B525,$D:$D,"&lt;="&amp;$D525)-SUMIFS($G:$G,$B:$B,$B525,$D:$D,"&lt;="&amp;$D525))</f>
        <v/>
      </c>
      <c r="I525" s="2" t="n"/>
      <c r="J525" s="2" t="n"/>
    </row>
    <row r="526">
      <c r="A526" s="6" t="n"/>
      <c r="B526" s="6" t="n"/>
      <c r="C526" s="6" t="n"/>
      <c r="D526" s="14" t="n"/>
      <c r="E526" s="6" t="n"/>
      <c r="F526" s="15" t="n"/>
      <c r="G526" s="15" t="n"/>
      <c r="H526" s="13">
        <f>IF($B526="","",SUMIFS($F:$F,$B:$B,$B526,$D:$D,"&lt;="&amp;$D526)-SUMIFS($G:$G,$B:$B,$B526,$D:$D,"&lt;="&amp;$D526))</f>
        <v/>
      </c>
      <c r="I526" s="6" t="n"/>
      <c r="J526" s="6" t="n"/>
    </row>
    <row r="527">
      <c r="A527" s="2" t="n"/>
      <c r="B527" s="2" t="n"/>
      <c r="C527" s="2" t="n"/>
      <c r="D527" s="12" t="n"/>
      <c r="E527" s="2" t="n"/>
      <c r="F527" s="13" t="n"/>
      <c r="G527" s="13" t="n"/>
      <c r="H527" s="13">
        <f>IF($B527="","",SUMIFS($F:$F,$B:$B,$B527,$D:$D,"&lt;="&amp;$D527)-SUMIFS($G:$G,$B:$B,$B527,$D:$D,"&lt;="&amp;$D527))</f>
        <v/>
      </c>
      <c r="I527" s="2" t="n"/>
      <c r="J527" s="2" t="n"/>
    </row>
    <row r="528">
      <c r="A528" s="6" t="n"/>
      <c r="B528" s="6" t="n"/>
      <c r="C528" s="6" t="n"/>
      <c r="D528" s="14" t="n"/>
      <c r="E528" s="6" t="n"/>
      <c r="F528" s="15" t="n"/>
      <c r="G528" s="15" t="n"/>
      <c r="H528" s="13">
        <f>IF($B528="","",SUMIFS($F:$F,$B:$B,$B528,$D:$D,"&lt;="&amp;$D528)-SUMIFS($G:$G,$B:$B,$B528,$D:$D,"&lt;="&amp;$D528))</f>
        <v/>
      </c>
      <c r="I528" s="6" t="n"/>
      <c r="J528" s="6" t="n"/>
    </row>
    <row r="529">
      <c r="A529" s="2" t="n"/>
      <c r="B529" s="2" t="n"/>
      <c r="C529" s="2" t="n"/>
      <c r="D529" s="12" t="n"/>
      <c r="E529" s="2" t="n"/>
      <c r="F529" s="13" t="n"/>
      <c r="G529" s="13" t="n"/>
      <c r="H529" s="13">
        <f>IF($B529="","",SUMIFS($F:$F,$B:$B,$B529,$D:$D,"&lt;="&amp;$D529)-SUMIFS($G:$G,$B:$B,$B529,$D:$D,"&lt;="&amp;$D529))</f>
        <v/>
      </c>
      <c r="I529" s="2" t="n"/>
      <c r="J529" s="2" t="n"/>
    </row>
    <row r="530">
      <c r="A530" s="6" t="n"/>
      <c r="B530" s="6" t="n"/>
      <c r="C530" s="6" t="n"/>
      <c r="D530" s="14" t="n"/>
      <c r="E530" s="6" t="n"/>
      <c r="F530" s="15" t="n"/>
      <c r="G530" s="15" t="n"/>
      <c r="H530" s="13">
        <f>IF($B530="","",SUMIFS($F:$F,$B:$B,$B530,$D:$D,"&lt;="&amp;$D530)-SUMIFS($G:$G,$B:$B,$B530,$D:$D,"&lt;="&amp;$D530))</f>
        <v/>
      </c>
      <c r="I530" s="6" t="n"/>
      <c r="J530" s="6" t="n"/>
    </row>
    <row r="531">
      <c r="A531" s="2" t="n"/>
      <c r="B531" s="2" t="n"/>
      <c r="C531" s="2" t="n"/>
      <c r="D531" s="12" t="n"/>
      <c r="E531" s="2" t="n"/>
      <c r="F531" s="13" t="n"/>
      <c r="G531" s="13" t="n"/>
      <c r="H531" s="13">
        <f>IF($B531="","",SUMIFS($F:$F,$B:$B,$B531,$D:$D,"&lt;="&amp;$D531)-SUMIFS($G:$G,$B:$B,$B531,$D:$D,"&lt;="&amp;$D531))</f>
        <v/>
      </c>
      <c r="I531" s="2" t="n"/>
      <c r="J531" s="2" t="n"/>
    </row>
    <row r="532">
      <c r="A532" s="6" t="n"/>
      <c r="B532" s="6" t="n"/>
      <c r="C532" s="6" t="n"/>
      <c r="D532" s="14" t="n"/>
      <c r="E532" s="6" t="n"/>
      <c r="F532" s="15" t="n"/>
      <c r="G532" s="15" t="n"/>
      <c r="H532" s="13">
        <f>IF($B532="","",SUMIFS($F:$F,$B:$B,$B532,$D:$D,"&lt;="&amp;$D532)-SUMIFS($G:$G,$B:$B,$B532,$D:$D,"&lt;="&amp;$D532))</f>
        <v/>
      </c>
      <c r="I532" s="6" t="n"/>
      <c r="J532" s="6" t="n"/>
    </row>
    <row r="533">
      <c r="A533" s="2" t="n"/>
      <c r="B533" s="2" t="n"/>
      <c r="C533" s="2" t="n"/>
      <c r="D533" s="12" t="n"/>
      <c r="E533" s="2" t="n"/>
      <c r="F533" s="13" t="n"/>
      <c r="G533" s="13" t="n"/>
      <c r="H533" s="13">
        <f>IF($B533="","",SUMIFS($F:$F,$B:$B,$B533,$D:$D,"&lt;="&amp;$D533)-SUMIFS($G:$G,$B:$B,$B533,$D:$D,"&lt;="&amp;$D533))</f>
        <v/>
      </c>
      <c r="I533" s="2" t="n"/>
      <c r="J533" s="2" t="n"/>
    </row>
    <row r="534">
      <c r="A534" s="6" t="n"/>
      <c r="B534" s="6" t="n"/>
      <c r="C534" s="6" t="n"/>
      <c r="D534" s="14" t="n"/>
      <c r="E534" s="6" t="n"/>
      <c r="F534" s="15" t="n"/>
      <c r="G534" s="15" t="n"/>
      <c r="H534" s="13">
        <f>IF($B534="","",SUMIFS($F:$F,$B:$B,$B534,$D:$D,"&lt;="&amp;$D534)-SUMIFS($G:$G,$B:$B,$B534,$D:$D,"&lt;="&amp;$D534))</f>
        <v/>
      </c>
      <c r="I534" s="6" t="n"/>
      <c r="J534" s="6" t="n"/>
    </row>
    <row r="535">
      <c r="A535" s="2" t="n"/>
      <c r="B535" s="2" t="n"/>
      <c r="C535" s="2" t="n"/>
      <c r="D535" s="12" t="n"/>
      <c r="E535" s="2" t="n"/>
      <c r="F535" s="13" t="n"/>
      <c r="G535" s="13" t="n"/>
      <c r="H535" s="13">
        <f>IF($B535="","",SUMIFS($F:$F,$B:$B,$B535,$D:$D,"&lt;="&amp;$D535)-SUMIFS($G:$G,$B:$B,$B535,$D:$D,"&lt;="&amp;$D535))</f>
        <v/>
      </c>
      <c r="I535" s="2" t="n"/>
      <c r="J535" s="2" t="n"/>
    </row>
    <row r="536">
      <c r="A536" s="6" t="n"/>
      <c r="B536" s="6" t="n"/>
      <c r="C536" s="6" t="n"/>
      <c r="D536" s="14" t="n"/>
      <c r="E536" s="6" t="n"/>
      <c r="F536" s="15" t="n"/>
      <c r="G536" s="15" t="n"/>
      <c r="H536" s="13">
        <f>IF($B536="","",SUMIFS($F:$F,$B:$B,$B536,$D:$D,"&lt;="&amp;$D536)-SUMIFS($G:$G,$B:$B,$B536,$D:$D,"&lt;="&amp;$D536))</f>
        <v/>
      </c>
      <c r="I536" s="6" t="n"/>
      <c r="J536" s="6" t="n"/>
    </row>
    <row r="537">
      <c r="A537" s="2" t="n"/>
      <c r="B537" s="2" t="n"/>
      <c r="C537" s="2" t="n"/>
      <c r="D537" s="12" t="n"/>
      <c r="E537" s="2" t="n"/>
      <c r="F537" s="13" t="n"/>
      <c r="G537" s="13" t="n"/>
      <c r="H537" s="13">
        <f>IF($B537="","",SUMIFS($F:$F,$B:$B,$B537,$D:$D,"&lt;="&amp;$D537)-SUMIFS($G:$G,$B:$B,$B537,$D:$D,"&lt;="&amp;$D537))</f>
        <v/>
      </c>
      <c r="I537" s="2" t="n"/>
      <c r="J537" s="2" t="n"/>
    </row>
    <row r="538">
      <c r="A538" s="6" t="n"/>
      <c r="B538" s="6" t="n"/>
      <c r="C538" s="6" t="n"/>
      <c r="D538" s="14" t="n"/>
      <c r="E538" s="6" t="n"/>
      <c r="F538" s="15" t="n"/>
      <c r="G538" s="15" t="n"/>
      <c r="H538" s="13">
        <f>IF($B538="","",SUMIFS($F:$F,$B:$B,$B538,$D:$D,"&lt;="&amp;$D538)-SUMIFS($G:$G,$B:$B,$B538,$D:$D,"&lt;="&amp;$D538))</f>
        <v/>
      </c>
      <c r="I538" s="6" t="n"/>
      <c r="J538" s="6" t="n"/>
    </row>
    <row r="539">
      <c r="A539" s="2" t="n"/>
      <c r="B539" s="2" t="n"/>
      <c r="C539" s="2" t="n"/>
      <c r="D539" s="12" t="n"/>
      <c r="E539" s="2" t="n"/>
      <c r="F539" s="13" t="n"/>
      <c r="G539" s="13" t="n"/>
      <c r="H539" s="13">
        <f>IF($B539="","",SUMIFS($F:$F,$B:$B,$B539,$D:$D,"&lt;="&amp;$D539)-SUMIFS($G:$G,$B:$B,$B539,$D:$D,"&lt;="&amp;$D539))</f>
        <v/>
      </c>
      <c r="I539" s="2" t="n"/>
      <c r="J539" s="2" t="n"/>
    </row>
    <row r="540">
      <c r="A540" s="6" t="n"/>
      <c r="B540" s="6" t="n"/>
      <c r="C540" s="6" t="n"/>
      <c r="D540" s="14" t="n"/>
      <c r="E540" s="6" t="n"/>
      <c r="F540" s="15" t="n"/>
      <c r="G540" s="15" t="n"/>
      <c r="H540" s="13">
        <f>IF($B540="","",SUMIFS($F:$F,$B:$B,$B540,$D:$D,"&lt;="&amp;$D540)-SUMIFS($G:$G,$B:$B,$B540,$D:$D,"&lt;="&amp;$D540))</f>
        <v/>
      </c>
      <c r="I540" s="6" t="n"/>
      <c r="J540" s="6" t="n"/>
    </row>
    <row r="541">
      <c r="A541" s="2" t="n"/>
      <c r="B541" s="2" t="n"/>
      <c r="C541" s="2" t="n"/>
      <c r="D541" s="12" t="n"/>
      <c r="E541" s="2" t="n"/>
      <c r="F541" s="13" t="n"/>
      <c r="G541" s="13" t="n"/>
      <c r="H541" s="13">
        <f>IF($B541="","",SUMIFS($F:$F,$B:$B,$B541,$D:$D,"&lt;="&amp;$D541)-SUMIFS($G:$G,$B:$B,$B541,$D:$D,"&lt;="&amp;$D541))</f>
        <v/>
      </c>
      <c r="I541" s="2" t="n"/>
      <c r="J541" s="2" t="n"/>
    </row>
    <row r="542">
      <c r="A542" s="6" t="n"/>
      <c r="B542" s="6" t="n"/>
      <c r="C542" s="6" t="n"/>
      <c r="D542" s="14" t="n"/>
      <c r="E542" s="6" t="n"/>
      <c r="F542" s="15" t="n"/>
      <c r="G542" s="15" t="n"/>
      <c r="H542" s="13">
        <f>IF($B542="","",SUMIFS($F:$F,$B:$B,$B542,$D:$D,"&lt;="&amp;$D542)-SUMIFS($G:$G,$B:$B,$B542,$D:$D,"&lt;="&amp;$D542))</f>
        <v/>
      </c>
      <c r="I542" s="6" t="n"/>
      <c r="J542" s="6" t="n"/>
    </row>
    <row r="543">
      <c r="A543" s="2" t="n"/>
      <c r="B543" s="2" t="n"/>
      <c r="C543" s="2" t="n"/>
      <c r="D543" s="12" t="n"/>
      <c r="E543" s="2" t="n"/>
      <c r="F543" s="13" t="n"/>
      <c r="G543" s="13" t="n"/>
      <c r="H543" s="13">
        <f>IF($B543="","",SUMIFS($F:$F,$B:$B,$B543,$D:$D,"&lt;="&amp;$D543)-SUMIFS($G:$G,$B:$B,$B543,$D:$D,"&lt;="&amp;$D543))</f>
        <v/>
      </c>
      <c r="I543" s="2" t="n"/>
      <c r="J543" s="2" t="n"/>
    </row>
    <row r="544">
      <c r="A544" s="6" t="n"/>
      <c r="B544" s="6" t="n"/>
      <c r="C544" s="6" t="n"/>
      <c r="D544" s="14" t="n"/>
      <c r="E544" s="6" t="n"/>
      <c r="F544" s="15" t="n"/>
      <c r="G544" s="15" t="n"/>
      <c r="H544" s="13">
        <f>IF($B544="","",SUMIFS($F:$F,$B:$B,$B544,$D:$D,"&lt;="&amp;$D544)-SUMIFS($G:$G,$B:$B,$B544,$D:$D,"&lt;="&amp;$D544))</f>
        <v/>
      </c>
      <c r="I544" s="6" t="n"/>
      <c r="J544" s="6" t="n"/>
    </row>
    <row r="545">
      <c r="A545" s="2" t="n"/>
      <c r="B545" s="2" t="n"/>
      <c r="C545" s="2" t="n"/>
      <c r="D545" s="12" t="n"/>
      <c r="E545" s="2" t="n"/>
      <c r="F545" s="13" t="n"/>
      <c r="G545" s="13" t="n"/>
      <c r="H545" s="13">
        <f>IF($B545="","",SUMIFS($F:$F,$B:$B,$B545,$D:$D,"&lt;="&amp;$D545)-SUMIFS($G:$G,$B:$B,$B545,$D:$D,"&lt;="&amp;$D545))</f>
        <v/>
      </c>
      <c r="I545" s="2" t="n"/>
      <c r="J545" s="2" t="n"/>
    </row>
    <row r="546">
      <c r="A546" s="6" t="n"/>
      <c r="B546" s="6" t="n"/>
      <c r="C546" s="6" t="n"/>
      <c r="D546" s="14" t="n"/>
      <c r="E546" s="6" t="n"/>
      <c r="F546" s="15" t="n"/>
      <c r="G546" s="15" t="n"/>
      <c r="H546" s="13">
        <f>IF($B546="","",SUMIFS($F:$F,$B:$B,$B546,$D:$D,"&lt;="&amp;$D546)-SUMIFS($G:$G,$B:$B,$B546,$D:$D,"&lt;="&amp;$D546))</f>
        <v/>
      </c>
      <c r="I546" s="6" t="n"/>
      <c r="J546" s="6" t="n"/>
    </row>
    <row r="547">
      <c r="A547" s="2" t="n"/>
      <c r="B547" s="2" t="n"/>
      <c r="C547" s="2" t="n"/>
      <c r="D547" s="12" t="n"/>
      <c r="E547" s="2" t="n"/>
      <c r="F547" s="13" t="n"/>
      <c r="G547" s="13" t="n"/>
      <c r="H547" s="13">
        <f>IF($B547="","",SUMIFS($F:$F,$B:$B,$B547,$D:$D,"&lt;="&amp;$D547)-SUMIFS($G:$G,$B:$B,$B547,$D:$D,"&lt;="&amp;$D547))</f>
        <v/>
      </c>
      <c r="I547" s="2" t="n"/>
      <c r="J547" s="2" t="n"/>
    </row>
    <row r="548">
      <c r="A548" s="6" t="n"/>
      <c r="B548" s="6" t="n"/>
      <c r="C548" s="6" t="n"/>
      <c r="D548" s="14" t="n"/>
      <c r="E548" s="6" t="n"/>
      <c r="F548" s="15" t="n"/>
      <c r="G548" s="15" t="n"/>
      <c r="H548" s="13">
        <f>IF($B548="","",SUMIFS($F:$F,$B:$B,$B548,$D:$D,"&lt;="&amp;$D548)-SUMIFS($G:$G,$B:$B,$B548,$D:$D,"&lt;="&amp;$D548))</f>
        <v/>
      </c>
      <c r="I548" s="6" t="n"/>
      <c r="J548" s="6" t="n"/>
    </row>
    <row r="549">
      <c r="A549" s="2" t="n"/>
      <c r="B549" s="2" t="n"/>
      <c r="C549" s="2" t="n"/>
      <c r="D549" s="12" t="n"/>
      <c r="E549" s="2" t="n"/>
      <c r="F549" s="13" t="n"/>
      <c r="G549" s="13" t="n"/>
      <c r="H549" s="13">
        <f>IF($B549="","",SUMIFS($F:$F,$B:$B,$B549,$D:$D,"&lt;="&amp;$D549)-SUMIFS($G:$G,$B:$B,$B549,$D:$D,"&lt;="&amp;$D549))</f>
        <v/>
      </c>
      <c r="I549" s="2" t="n"/>
      <c r="J549" s="2" t="n"/>
    </row>
    <row r="550">
      <c r="A550" s="6" t="n"/>
      <c r="B550" s="6" t="n"/>
      <c r="C550" s="6" t="n"/>
      <c r="D550" s="14" t="n"/>
      <c r="E550" s="6" t="n"/>
      <c r="F550" s="15" t="n"/>
      <c r="G550" s="15" t="n"/>
      <c r="H550" s="13">
        <f>IF($B550="","",SUMIFS($F:$F,$B:$B,$B550,$D:$D,"&lt;="&amp;$D550)-SUMIFS($G:$G,$B:$B,$B550,$D:$D,"&lt;="&amp;$D550))</f>
        <v/>
      </c>
      <c r="I550" s="6" t="n"/>
      <c r="J550" s="6" t="n"/>
    </row>
    <row r="551">
      <c r="A551" s="2" t="n"/>
      <c r="B551" s="2" t="n"/>
      <c r="C551" s="2" t="n"/>
      <c r="D551" s="12" t="n"/>
      <c r="E551" s="2" t="n"/>
      <c r="F551" s="13" t="n"/>
      <c r="G551" s="13" t="n"/>
      <c r="H551" s="13">
        <f>IF($B551="","",SUMIFS($F:$F,$B:$B,$B551,$D:$D,"&lt;="&amp;$D551)-SUMIFS($G:$G,$B:$B,$B551,$D:$D,"&lt;="&amp;$D551))</f>
        <v/>
      </c>
      <c r="I551" s="2" t="n"/>
      <c r="J551" s="2" t="n"/>
    </row>
    <row r="552">
      <c r="A552" s="6" t="n"/>
      <c r="B552" s="6" t="n"/>
      <c r="C552" s="6" t="n"/>
      <c r="D552" s="14" t="n"/>
      <c r="E552" s="6" t="n"/>
      <c r="F552" s="15" t="n"/>
      <c r="G552" s="15" t="n"/>
      <c r="H552" s="13">
        <f>IF($B552="","",SUMIFS($F:$F,$B:$B,$B552,$D:$D,"&lt;="&amp;$D552)-SUMIFS($G:$G,$B:$B,$B552,$D:$D,"&lt;="&amp;$D552))</f>
        <v/>
      </c>
      <c r="I552" s="6" t="n"/>
      <c r="J552" s="6" t="n"/>
    </row>
    <row r="553">
      <c r="A553" s="2" t="n"/>
      <c r="B553" s="2" t="n"/>
      <c r="C553" s="2" t="n"/>
      <c r="D553" s="12" t="n"/>
      <c r="E553" s="2" t="n"/>
      <c r="F553" s="13" t="n"/>
      <c r="G553" s="13" t="n"/>
      <c r="H553" s="13">
        <f>IF($B553="","",SUMIFS($F:$F,$B:$B,$B553,$D:$D,"&lt;="&amp;$D553)-SUMIFS($G:$G,$B:$B,$B553,$D:$D,"&lt;="&amp;$D553))</f>
        <v/>
      </c>
      <c r="I553" s="2" t="n"/>
      <c r="J553" s="2" t="n"/>
    </row>
    <row r="554">
      <c r="A554" s="6" t="n"/>
      <c r="B554" s="6" t="n"/>
      <c r="C554" s="6" t="n"/>
      <c r="D554" s="14" t="n"/>
      <c r="E554" s="6" t="n"/>
      <c r="F554" s="15" t="n"/>
      <c r="G554" s="15" t="n"/>
      <c r="H554" s="13">
        <f>IF($B554="","",SUMIFS($F:$F,$B:$B,$B554,$D:$D,"&lt;="&amp;$D554)-SUMIFS($G:$G,$B:$B,$B554,$D:$D,"&lt;="&amp;$D554))</f>
        <v/>
      </c>
      <c r="I554" s="6" t="n"/>
      <c r="J554" s="6" t="n"/>
    </row>
    <row r="555">
      <c r="A555" s="2" t="n"/>
      <c r="B555" s="2" t="n"/>
      <c r="C555" s="2" t="n"/>
      <c r="D555" s="12" t="n"/>
      <c r="E555" s="2" t="n"/>
      <c r="F555" s="13" t="n"/>
      <c r="G555" s="13" t="n"/>
      <c r="H555" s="13">
        <f>IF($B555="","",SUMIFS($F:$F,$B:$B,$B555,$D:$D,"&lt;="&amp;$D555)-SUMIFS($G:$G,$B:$B,$B555,$D:$D,"&lt;="&amp;$D555))</f>
        <v/>
      </c>
      <c r="I555" s="2" t="n"/>
      <c r="J555" s="2" t="n"/>
    </row>
    <row r="556">
      <c r="A556" s="6" t="n"/>
      <c r="B556" s="6" t="n"/>
      <c r="C556" s="6" t="n"/>
      <c r="D556" s="14" t="n"/>
      <c r="E556" s="6" t="n"/>
      <c r="F556" s="15" t="n"/>
      <c r="G556" s="15" t="n"/>
      <c r="H556" s="13">
        <f>IF($B556="","",SUMIFS($F:$F,$B:$B,$B556,$D:$D,"&lt;="&amp;$D556)-SUMIFS($G:$G,$B:$B,$B556,$D:$D,"&lt;="&amp;$D556))</f>
        <v/>
      </c>
      <c r="I556" s="6" t="n"/>
      <c r="J556" s="6" t="n"/>
    </row>
    <row r="557">
      <c r="A557" s="2" t="n"/>
      <c r="B557" s="2" t="n"/>
      <c r="C557" s="2" t="n"/>
      <c r="D557" s="12" t="n"/>
      <c r="E557" s="2" t="n"/>
      <c r="F557" s="13" t="n"/>
      <c r="G557" s="13" t="n"/>
      <c r="H557" s="13">
        <f>IF($B557="","",SUMIFS($F:$F,$B:$B,$B557,$D:$D,"&lt;="&amp;$D557)-SUMIFS($G:$G,$B:$B,$B557,$D:$D,"&lt;="&amp;$D557))</f>
        <v/>
      </c>
      <c r="I557" s="2" t="n"/>
      <c r="J557" s="2" t="n"/>
    </row>
    <row r="558">
      <c r="A558" s="6" t="n"/>
      <c r="B558" s="6" t="n"/>
      <c r="C558" s="6" t="n"/>
      <c r="D558" s="14" t="n"/>
      <c r="E558" s="6" t="n"/>
      <c r="F558" s="15" t="n"/>
      <c r="G558" s="15" t="n"/>
      <c r="H558" s="13">
        <f>IF($B558="","",SUMIFS($F:$F,$B:$B,$B558,$D:$D,"&lt;="&amp;$D558)-SUMIFS($G:$G,$B:$B,$B558,$D:$D,"&lt;="&amp;$D558))</f>
        <v/>
      </c>
      <c r="I558" s="6" t="n"/>
      <c r="J558" s="6" t="n"/>
    </row>
    <row r="559">
      <c r="A559" s="2" t="n"/>
      <c r="B559" s="2" t="n"/>
      <c r="C559" s="2" t="n"/>
      <c r="D559" s="12" t="n"/>
      <c r="E559" s="2" t="n"/>
      <c r="F559" s="13" t="n"/>
      <c r="G559" s="13" t="n"/>
      <c r="H559" s="13">
        <f>IF($B559="","",SUMIFS($F:$F,$B:$B,$B559,$D:$D,"&lt;="&amp;$D559)-SUMIFS($G:$G,$B:$B,$B559,$D:$D,"&lt;="&amp;$D559))</f>
        <v/>
      </c>
      <c r="I559" s="2" t="n"/>
      <c r="J559" s="2" t="n"/>
    </row>
    <row r="560">
      <c r="A560" s="6" t="n"/>
      <c r="B560" s="6" t="n"/>
      <c r="C560" s="6" t="n"/>
      <c r="D560" s="14" t="n"/>
      <c r="E560" s="6" t="n"/>
      <c r="F560" s="15" t="n"/>
      <c r="G560" s="15" t="n"/>
      <c r="H560" s="13">
        <f>IF($B560="","",SUMIFS($F:$F,$B:$B,$B560,$D:$D,"&lt;="&amp;$D560)-SUMIFS($G:$G,$B:$B,$B560,$D:$D,"&lt;="&amp;$D560))</f>
        <v/>
      </c>
      <c r="I560" s="6" t="n"/>
      <c r="J560" s="6" t="n"/>
    </row>
    <row r="561">
      <c r="A561" s="2" t="n"/>
      <c r="B561" s="2" t="n"/>
      <c r="C561" s="2" t="n"/>
      <c r="D561" s="12" t="n"/>
      <c r="E561" s="2" t="n"/>
      <c r="F561" s="13" t="n"/>
      <c r="G561" s="13" t="n"/>
      <c r="H561" s="13">
        <f>IF($B561="","",SUMIFS($F:$F,$B:$B,$B561,$D:$D,"&lt;="&amp;$D561)-SUMIFS($G:$G,$B:$B,$B561,$D:$D,"&lt;="&amp;$D561))</f>
        <v/>
      </c>
      <c r="I561" s="2" t="n"/>
      <c r="J561" s="2" t="n"/>
    </row>
    <row r="562">
      <c r="A562" s="6" t="n"/>
      <c r="B562" s="6" t="n"/>
      <c r="C562" s="6" t="n"/>
      <c r="D562" s="14" t="n"/>
      <c r="E562" s="6" t="n"/>
      <c r="F562" s="15" t="n"/>
      <c r="G562" s="15" t="n"/>
      <c r="H562" s="13">
        <f>IF($B562="","",SUMIFS($F:$F,$B:$B,$B562,$D:$D,"&lt;="&amp;$D562)-SUMIFS($G:$G,$B:$B,$B562,$D:$D,"&lt;="&amp;$D562))</f>
        <v/>
      </c>
      <c r="I562" s="6" t="n"/>
      <c r="J562" s="6" t="n"/>
    </row>
    <row r="563">
      <c r="A563" s="2" t="n"/>
      <c r="B563" s="2" t="n"/>
      <c r="C563" s="2" t="n"/>
      <c r="D563" s="12" t="n"/>
      <c r="E563" s="2" t="n"/>
      <c r="F563" s="13" t="n"/>
      <c r="G563" s="13" t="n"/>
      <c r="H563" s="13">
        <f>IF($B563="","",SUMIFS($F:$F,$B:$B,$B563,$D:$D,"&lt;="&amp;$D563)-SUMIFS($G:$G,$B:$B,$B563,$D:$D,"&lt;="&amp;$D563))</f>
        <v/>
      </c>
      <c r="I563" s="2" t="n"/>
      <c r="J563" s="2" t="n"/>
    </row>
    <row r="564">
      <c r="A564" s="6" t="n"/>
      <c r="B564" s="6" t="n"/>
      <c r="C564" s="6" t="n"/>
      <c r="D564" s="14" t="n"/>
      <c r="E564" s="6" t="n"/>
      <c r="F564" s="15" t="n"/>
      <c r="G564" s="15" t="n"/>
      <c r="H564" s="13">
        <f>IF($B564="","",SUMIFS($F:$F,$B:$B,$B564,$D:$D,"&lt;="&amp;$D564)-SUMIFS($G:$G,$B:$B,$B564,$D:$D,"&lt;="&amp;$D564))</f>
        <v/>
      </c>
      <c r="I564" s="6" t="n"/>
      <c r="J564" s="6" t="n"/>
    </row>
    <row r="565">
      <c r="A565" s="2" t="n"/>
      <c r="B565" s="2" t="n"/>
      <c r="C565" s="2" t="n"/>
      <c r="D565" s="12" t="n"/>
      <c r="E565" s="2" t="n"/>
      <c r="F565" s="13" t="n"/>
      <c r="G565" s="13" t="n"/>
      <c r="H565" s="13">
        <f>IF($B565="","",SUMIFS($F:$F,$B:$B,$B565,$D:$D,"&lt;="&amp;$D565)-SUMIFS($G:$G,$B:$B,$B565,$D:$D,"&lt;="&amp;$D565))</f>
        <v/>
      </c>
      <c r="I565" s="2" t="n"/>
      <c r="J565" s="2" t="n"/>
    </row>
    <row r="566">
      <c r="A566" s="6" t="n"/>
      <c r="B566" s="6" t="n"/>
      <c r="C566" s="6" t="n"/>
      <c r="D566" s="14" t="n"/>
      <c r="E566" s="6" t="n"/>
      <c r="F566" s="15" t="n"/>
      <c r="G566" s="15" t="n"/>
      <c r="H566" s="13">
        <f>IF($B566="","",SUMIFS($F:$F,$B:$B,$B566,$D:$D,"&lt;="&amp;$D566)-SUMIFS($G:$G,$B:$B,$B566,$D:$D,"&lt;="&amp;$D566))</f>
        <v/>
      </c>
      <c r="I566" s="6" t="n"/>
      <c r="J566" s="6" t="n"/>
    </row>
    <row r="567">
      <c r="A567" s="2" t="n"/>
      <c r="B567" s="2" t="n"/>
      <c r="C567" s="2" t="n"/>
      <c r="D567" s="12" t="n"/>
      <c r="E567" s="2" t="n"/>
      <c r="F567" s="13" t="n"/>
      <c r="G567" s="13" t="n"/>
      <c r="H567" s="13">
        <f>IF($B567="","",SUMIFS($F:$F,$B:$B,$B567,$D:$D,"&lt;="&amp;$D567)-SUMIFS($G:$G,$B:$B,$B567,$D:$D,"&lt;="&amp;$D567))</f>
        <v/>
      </c>
      <c r="I567" s="2" t="n"/>
      <c r="J567" s="2" t="n"/>
    </row>
    <row r="568">
      <c r="A568" s="6" t="n"/>
      <c r="B568" s="6" t="n"/>
      <c r="C568" s="6" t="n"/>
      <c r="D568" s="14" t="n"/>
      <c r="E568" s="6" t="n"/>
      <c r="F568" s="15" t="n"/>
      <c r="G568" s="15" t="n"/>
      <c r="H568" s="13">
        <f>IF($B568="","",SUMIFS($F:$F,$B:$B,$B568,$D:$D,"&lt;="&amp;$D568)-SUMIFS($G:$G,$B:$B,$B568,$D:$D,"&lt;="&amp;$D568))</f>
        <v/>
      </c>
      <c r="I568" s="6" t="n"/>
      <c r="J568" s="6" t="n"/>
    </row>
    <row r="569">
      <c r="A569" s="2" t="n"/>
      <c r="B569" s="2" t="n"/>
      <c r="C569" s="2" t="n"/>
      <c r="D569" s="12" t="n"/>
      <c r="E569" s="2" t="n"/>
      <c r="F569" s="13" t="n"/>
      <c r="G569" s="13" t="n"/>
      <c r="H569" s="13">
        <f>IF($B569="","",SUMIFS($F:$F,$B:$B,$B569,$D:$D,"&lt;="&amp;$D569)-SUMIFS($G:$G,$B:$B,$B569,$D:$D,"&lt;="&amp;$D569))</f>
        <v/>
      </c>
      <c r="I569" s="2" t="n"/>
      <c r="J569" s="2" t="n"/>
    </row>
    <row r="570">
      <c r="A570" s="6" t="n"/>
      <c r="B570" s="6" t="n"/>
      <c r="C570" s="6" t="n"/>
      <c r="D570" s="14" t="n"/>
      <c r="E570" s="6" t="n"/>
      <c r="F570" s="15" t="n"/>
      <c r="G570" s="15" t="n"/>
      <c r="H570" s="13">
        <f>IF($B570="","",SUMIFS($F:$F,$B:$B,$B570,$D:$D,"&lt;="&amp;$D570)-SUMIFS($G:$G,$B:$B,$B570,$D:$D,"&lt;="&amp;$D570))</f>
        <v/>
      </c>
      <c r="I570" s="6" t="n"/>
      <c r="J570" s="6" t="n"/>
    </row>
    <row r="571">
      <c r="A571" s="2" t="n"/>
      <c r="B571" s="2" t="n"/>
      <c r="C571" s="2" t="n"/>
      <c r="D571" s="12" t="n"/>
      <c r="E571" s="2" t="n"/>
      <c r="F571" s="13" t="n"/>
      <c r="G571" s="13" t="n"/>
      <c r="H571" s="13">
        <f>IF($B571="","",SUMIFS($F:$F,$B:$B,$B571,$D:$D,"&lt;="&amp;$D571)-SUMIFS($G:$G,$B:$B,$B571,$D:$D,"&lt;="&amp;$D571))</f>
        <v/>
      </c>
      <c r="I571" s="2" t="n"/>
      <c r="J571" s="2" t="n"/>
    </row>
    <row r="572">
      <c r="A572" s="6" t="n"/>
      <c r="B572" s="6" t="n"/>
      <c r="C572" s="6" t="n"/>
      <c r="D572" s="14" t="n"/>
      <c r="E572" s="6" t="n"/>
      <c r="F572" s="15" t="n"/>
      <c r="G572" s="15" t="n"/>
      <c r="H572" s="13">
        <f>IF($B572="","",SUMIFS($F:$F,$B:$B,$B572,$D:$D,"&lt;="&amp;$D572)-SUMIFS($G:$G,$B:$B,$B572,$D:$D,"&lt;="&amp;$D572))</f>
        <v/>
      </c>
      <c r="I572" s="6" t="n"/>
      <c r="J572" s="6" t="n"/>
    </row>
    <row r="573">
      <c r="A573" s="2" t="n"/>
      <c r="B573" s="2" t="n"/>
      <c r="C573" s="2" t="n"/>
      <c r="D573" s="12" t="n"/>
      <c r="E573" s="2" t="n"/>
      <c r="F573" s="13" t="n"/>
      <c r="G573" s="13" t="n"/>
      <c r="H573" s="13">
        <f>IF($B573="","",SUMIFS($F:$F,$B:$B,$B573,$D:$D,"&lt;="&amp;$D573)-SUMIFS($G:$G,$B:$B,$B573,$D:$D,"&lt;="&amp;$D573))</f>
        <v/>
      </c>
      <c r="I573" s="2" t="n"/>
      <c r="J573" s="2" t="n"/>
    </row>
    <row r="574">
      <c r="A574" s="6" t="n"/>
      <c r="B574" s="6" t="n"/>
      <c r="C574" s="6" t="n"/>
      <c r="D574" s="14" t="n"/>
      <c r="E574" s="6" t="n"/>
      <c r="F574" s="15" t="n"/>
      <c r="G574" s="15" t="n"/>
      <c r="H574" s="13">
        <f>IF($B574="","",SUMIFS($F:$F,$B:$B,$B574,$D:$D,"&lt;="&amp;$D574)-SUMIFS($G:$G,$B:$B,$B574,$D:$D,"&lt;="&amp;$D574))</f>
        <v/>
      </c>
      <c r="I574" s="6" t="n"/>
      <c r="J574" s="6" t="n"/>
    </row>
    <row r="575">
      <c r="A575" s="2" t="n"/>
      <c r="B575" s="2" t="n"/>
      <c r="C575" s="2" t="n"/>
      <c r="D575" s="12" t="n"/>
      <c r="E575" s="2" t="n"/>
      <c r="F575" s="13" t="n"/>
      <c r="G575" s="13" t="n"/>
      <c r="H575" s="13">
        <f>IF($B575="","",SUMIFS($F:$F,$B:$B,$B575,$D:$D,"&lt;="&amp;$D575)-SUMIFS($G:$G,$B:$B,$B575,$D:$D,"&lt;="&amp;$D575))</f>
        <v/>
      </c>
      <c r="I575" s="2" t="n"/>
      <c r="J575" s="2" t="n"/>
    </row>
    <row r="576">
      <c r="A576" s="6" t="n"/>
      <c r="B576" s="6" t="n"/>
      <c r="C576" s="6" t="n"/>
      <c r="D576" s="14" t="n"/>
      <c r="E576" s="6" t="n"/>
      <c r="F576" s="15" t="n"/>
      <c r="G576" s="15" t="n"/>
      <c r="H576" s="13">
        <f>IF($B576="","",SUMIFS($F:$F,$B:$B,$B576,$D:$D,"&lt;="&amp;$D576)-SUMIFS($G:$G,$B:$B,$B576,$D:$D,"&lt;="&amp;$D576))</f>
        <v/>
      </c>
      <c r="I576" s="6" t="n"/>
      <c r="J576" s="6" t="n"/>
    </row>
    <row r="577">
      <c r="A577" s="2" t="n"/>
      <c r="B577" s="2" t="n"/>
      <c r="C577" s="2" t="n"/>
      <c r="D577" s="12" t="n"/>
      <c r="E577" s="2" t="n"/>
      <c r="F577" s="13" t="n"/>
      <c r="G577" s="13" t="n"/>
      <c r="H577" s="13">
        <f>IF($B577="","",SUMIFS($F:$F,$B:$B,$B577,$D:$D,"&lt;="&amp;$D577)-SUMIFS($G:$G,$B:$B,$B577,$D:$D,"&lt;="&amp;$D577))</f>
        <v/>
      </c>
      <c r="I577" s="2" t="n"/>
      <c r="J577" s="2" t="n"/>
    </row>
    <row r="578">
      <c r="A578" s="6" t="n"/>
      <c r="B578" s="6" t="n"/>
      <c r="C578" s="6" t="n"/>
      <c r="D578" s="14" t="n"/>
      <c r="E578" s="6" t="n"/>
      <c r="F578" s="15" t="n"/>
      <c r="G578" s="15" t="n"/>
      <c r="H578" s="13">
        <f>IF($B578="","",SUMIFS($F:$F,$B:$B,$B578,$D:$D,"&lt;="&amp;$D578)-SUMIFS($G:$G,$B:$B,$B578,$D:$D,"&lt;="&amp;$D578))</f>
        <v/>
      </c>
      <c r="I578" s="6" t="n"/>
      <c r="J578" s="6" t="n"/>
    </row>
    <row r="579">
      <c r="A579" s="2" t="n"/>
      <c r="B579" s="2" t="n"/>
      <c r="C579" s="2" t="n"/>
      <c r="D579" s="12" t="n"/>
      <c r="E579" s="2" t="n"/>
      <c r="F579" s="13" t="n"/>
      <c r="G579" s="13" t="n"/>
      <c r="H579" s="13">
        <f>IF($B579="","",SUMIFS($F:$F,$B:$B,$B579,$D:$D,"&lt;="&amp;$D579)-SUMIFS($G:$G,$B:$B,$B579,$D:$D,"&lt;="&amp;$D579))</f>
        <v/>
      </c>
      <c r="I579" s="2" t="n"/>
      <c r="J579" s="2" t="n"/>
    </row>
    <row r="580">
      <c r="A580" s="6" t="n"/>
      <c r="B580" s="6" t="n"/>
      <c r="C580" s="6" t="n"/>
      <c r="D580" s="14" t="n"/>
      <c r="E580" s="6" t="n"/>
      <c r="F580" s="15" t="n"/>
      <c r="G580" s="15" t="n"/>
      <c r="H580" s="13">
        <f>IF($B580="","",SUMIFS($F:$F,$B:$B,$B580,$D:$D,"&lt;="&amp;$D580)-SUMIFS($G:$G,$B:$B,$B580,$D:$D,"&lt;="&amp;$D580))</f>
        <v/>
      </c>
      <c r="I580" s="6" t="n"/>
      <c r="J580" s="6" t="n"/>
    </row>
    <row r="581">
      <c r="A581" s="2" t="n"/>
      <c r="B581" s="2" t="n"/>
      <c r="C581" s="2" t="n"/>
      <c r="D581" s="12" t="n"/>
      <c r="E581" s="2" t="n"/>
      <c r="F581" s="13" t="n"/>
      <c r="G581" s="13" t="n"/>
      <c r="H581" s="13">
        <f>IF($B581="","",SUMIFS($F:$F,$B:$B,$B581,$D:$D,"&lt;="&amp;$D581)-SUMIFS($G:$G,$B:$B,$B581,$D:$D,"&lt;="&amp;$D581))</f>
        <v/>
      </c>
      <c r="I581" s="2" t="n"/>
      <c r="J581" s="2" t="n"/>
    </row>
    <row r="582">
      <c r="A582" s="6" t="n"/>
      <c r="B582" s="6" t="n"/>
      <c r="C582" s="6" t="n"/>
      <c r="D582" s="14" t="n"/>
      <c r="E582" s="6" t="n"/>
      <c r="F582" s="15" t="n"/>
      <c r="G582" s="15" t="n"/>
      <c r="H582" s="13">
        <f>IF($B582="","",SUMIFS($F:$F,$B:$B,$B582,$D:$D,"&lt;="&amp;$D582)-SUMIFS($G:$G,$B:$B,$B582,$D:$D,"&lt;="&amp;$D582))</f>
        <v/>
      </c>
      <c r="I582" s="6" t="n"/>
      <c r="J582" s="6" t="n"/>
    </row>
    <row r="583">
      <c r="A583" s="2" t="n"/>
      <c r="B583" s="2" t="n"/>
      <c r="C583" s="2" t="n"/>
      <c r="D583" s="12" t="n"/>
      <c r="E583" s="2" t="n"/>
      <c r="F583" s="13" t="n"/>
      <c r="G583" s="13" t="n"/>
      <c r="H583" s="13">
        <f>IF($B583="","",SUMIFS($F:$F,$B:$B,$B583,$D:$D,"&lt;="&amp;$D583)-SUMIFS($G:$G,$B:$B,$B583,$D:$D,"&lt;="&amp;$D583))</f>
        <v/>
      </c>
      <c r="I583" s="2" t="n"/>
      <c r="J583" s="2" t="n"/>
    </row>
    <row r="584">
      <c r="A584" s="6" t="n"/>
      <c r="B584" s="6" t="n"/>
      <c r="C584" s="6" t="n"/>
      <c r="D584" s="14" t="n"/>
      <c r="E584" s="6" t="n"/>
      <c r="F584" s="15" t="n"/>
      <c r="G584" s="15" t="n"/>
      <c r="H584" s="13">
        <f>IF($B584="","",SUMIFS($F:$F,$B:$B,$B584,$D:$D,"&lt;="&amp;$D584)-SUMIFS($G:$G,$B:$B,$B584,$D:$D,"&lt;="&amp;$D584))</f>
        <v/>
      </c>
      <c r="I584" s="6" t="n"/>
      <c r="J584" s="6" t="n"/>
    </row>
    <row r="585">
      <c r="A585" s="2" t="n"/>
      <c r="B585" s="2" t="n"/>
      <c r="C585" s="2" t="n"/>
      <c r="D585" s="12" t="n"/>
      <c r="E585" s="2" t="n"/>
      <c r="F585" s="13" t="n"/>
      <c r="G585" s="13" t="n"/>
      <c r="H585" s="13">
        <f>IF($B585="","",SUMIFS($F:$F,$B:$B,$B585,$D:$D,"&lt;="&amp;$D585)-SUMIFS($G:$G,$B:$B,$B585,$D:$D,"&lt;="&amp;$D585))</f>
        <v/>
      </c>
      <c r="I585" s="2" t="n"/>
      <c r="J585" s="2" t="n"/>
    </row>
    <row r="586">
      <c r="A586" s="6" t="n"/>
      <c r="B586" s="6" t="n"/>
      <c r="C586" s="6" t="n"/>
      <c r="D586" s="14" t="n"/>
      <c r="E586" s="6" t="n"/>
      <c r="F586" s="15" t="n"/>
      <c r="G586" s="15" t="n"/>
      <c r="H586" s="13">
        <f>IF($B586="","",SUMIFS($F:$F,$B:$B,$B586,$D:$D,"&lt;="&amp;$D586)-SUMIFS($G:$G,$B:$B,$B586,$D:$D,"&lt;="&amp;$D586))</f>
        <v/>
      </c>
      <c r="I586" s="6" t="n"/>
      <c r="J586" s="6" t="n"/>
    </row>
    <row r="587">
      <c r="A587" s="2" t="n"/>
      <c r="B587" s="2" t="n"/>
      <c r="C587" s="2" t="n"/>
      <c r="D587" s="12" t="n"/>
      <c r="E587" s="2" t="n"/>
      <c r="F587" s="13" t="n"/>
      <c r="G587" s="13" t="n"/>
      <c r="H587" s="13">
        <f>IF($B587="","",SUMIFS($F:$F,$B:$B,$B587,$D:$D,"&lt;="&amp;$D587)-SUMIFS($G:$G,$B:$B,$B587,$D:$D,"&lt;="&amp;$D587))</f>
        <v/>
      </c>
      <c r="I587" s="2" t="n"/>
      <c r="J587" s="2" t="n"/>
    </row>
    <row r="588">
      <c r="A588" s="6" t="n"/>
      <c r="B588" s="6" t="n"/>
      <c r="C588" s="6" t="n"/>
      <c r="D588" s="14" t="n"/>
      <c r="E588" s="6" t="n"/>
      <c r="F588" s="15" t="n"/>
      <c r="G588" s="15" t="n"/>
      <c r="H588" s="13">
        <f>IF($B588="","",SUMIFS($F:$F,$B:$B,$B588,$D:$D,"&lt;="&amp;$D588)-SUMIFS($G:$G,$B:$B,$B588,$D:$D,"&lt;="&amp;$D588))</f>
        <v/>
      </c>
      <c r="I588" s="6" t="n"/>
      <c r="J588" s="6" t="n"/>
    </row>
    <row r="589">
      <c r="A589" s="2" t="n"/>
      <c r="B589" s="2" t="n"/>
      <c r="C589" s="2" t="n"/>
      <c r="D589" s="12" t="n"/>
      <c r="E589" s="2" t="n"/>
      <c r="F589" s="13" t="n"/>
      <c r="G589" s="13" t="n"/>
      <c r="H589" s="13">
        <f>IF($B589="","",SUMIFS($F:$F,$B:$B,$B589,$D:$D,"&lt;="&amp;$D589)-SUMIFS($G:$G,$B:$B,$B589,$D:$D,"&lt;="&amp;$D589))</f>
        <v/>
      </c>
      <c r="I589" s="2" t="n"/>
      <c r="J589" s="2" t="n"/>
    </row>
    <row r="590">
      <c r="A590" s="6" t="n"/>
      <c r="B590" s="6" t="n"/>
      <c r="C590" s="6" t="n"/>
      <c r="D590" s="14" t="n"/>
      <c r="E590" s="6" t="n"/>
      <c r="F590" s="15" t="n"/>
      <c r="G590" s="15" t="n"/>
      <c r="H590" s="13">
        <f>IF($B590="","",SUMIFS($F:$F,$B:$B,$B590,$D:$D,"&lt;="&amp;$D590)-SUMIFS($G:$G,$B:$B,$B590,$D:$D,"&lt;="&amp;$D590))</f>
        <v/>
      </c>
      <c r="I590" s="6" t="n"/>
      <c r="J590" s="6" t="n"/>
    </row>
    <row r="591">
      <c r="A591" s="2" t="n"/>
      <c r="B591" s="2" t="n"/>
      <c r="C591" s="2" t="n"/>
      <c r="D591" s="12" t="n"/>
      <c r="E591" s="2" t="n"/>
      <c r="F591" s="13" t="n"/>
      <c r="G591" s="13" t="n"/>
      <c r="H591" s="13">
        <f>IF($B591="","",SUMIFS($F:$F,$B:$B,$B591,$D:$D,"&lt;="&amp;$D591)-SUMIFS($G:$G,$B:$B,$B591,$D:$D,"&lt;="&amp;$D591))</f>
        <v/>
      </c>
      <c r="I591" s="2" t="n"/>
      <c r="J591" s="2" t="n"/>
    </row>
    <row r="592">
      <c r="A592" s="6" t="n"/>
      <c r="B592" s="6" t="n"/>
      <c r="C592" s="6" t="n"/>
      <c r="D592" s="14" t="n"/>
      <c r="E592" s="6" t="n"/>
      <c r="F592" s="15" t="n"/>
      <c r="G592" s="15" t="n"/>
      <c r="H592" s="13">
        <f>IF($B592="","",SUMIFS($F:$F,$B:$B,$B592,$D:$D,"&lt;="&amp;$D592)-SUMIFS($G:$G,$B:$B,$B592,$D:$D,"&lt;="&amp;$D592))</f>
        <v/>
      </c>
      <c r="I592" s="6" t="n"/>
      <c r="J592" s="6" t="n"/>
    </row>
    <row r="593">
      <c r="A593" s="2" t="n"/>
      <c r="B593" s="2" t="n"/>
      <c r="C593" s="2" t="n"/>
      <c r="D593" s="12" t="n"/>
      <c r="E593" s="2" t="n"/>
      <c r="F593" s="13" t="n"/>
      <c r="G593" s="13" t="n"/>
      <c r="H593" s="13">
        <f>IF($B593="","",SUMIFS($F:$F,$B:$B,$B593,$D:$D,"&lt;="&amp;$D593)-SUMIFS($G:$G,$B:$B,$B593,$D:$D,"&lt;="&amp;$D593))</f>
        <v/>
      </c>
      <c r="I593" s="2" t="n"/>
      <c r="J593" s="2" t="n"/>
    </row>
    <row r="594">
      <c r="A594" s="6" t="n"/>
      <c r="B594" s="6" t="n"/>
      <c r="C594" s="6" t="n"/>
      <c r="D594" s="14" t="n"/>
      <c r="E594" s="6" t="n"/>
      <c r="F594" s="15" t="n"/>
      <c r="G594" s="15" t="n"/>
      <c r="H594" s="13">
        <f>IF($B594="","",SUMIFS($F:$F,$B:$B,$B594,$D:$D,"&lt;="&amp;$D594)-SUMIFS($G:$G,$B:$B,$B594,$D:$D,"&lt;="&amp;$D594))</f>
        <v/>
      </c>
      <c r="I594" s="6" t="n"/>
      <c r="J594" s="6" t="n"/>
    </row>
    <row r="595">
      <c r="A595" s="2" t="n"/>
      <c r="B595" s="2" t="n"/>
      <c r="C595" s="2" t="n"/>
      <c r="D595" s="12" t="n"/>
      <c r="E595" s="2" t="n"/>
      <c r="F595" s="13" t="n"/>
      <c r="G595" s="13" t="n"/>
      <c r="H595" s="13">
        <f>IF($B595="","",SUMIFS($F:$F,$B:$B,$B595,$D:$D,"&lt;="&amp;$D595)-SUMIFS($G:$G,$B:$B,$B595,$D:$D,"&lt;="&amp;$D595))</f>
        <v/>
      </c>
      <c r="I595" s="2" t="n"/>
      <c r="J595" s="2" t="n"/>
    </row>
    <row r="596">
      <c r="A596" s="6" t="n"/>
      <c r="B596" s="6" t="n"/>
      <c r="C596" s="6" t="n"/>
      <c r="D596" s="14" t="n"/>
      <c r="E596" s="6" t="n"/>
      <c r="F596" s="15" t="n"/>
      <c r="G596" s="15" t="n"/>
      <c r="H596" s="13">
        <f>IF($B596="","",SUMIFS($F:$F,$B:$B,$B596,$D:$D,"&lt;="&amp;$D596)-SUMIFS($G:$G,$B:$B,$B596,$D:$D,"&lt;="&amp;$D596))</f>
        <v/>
      </c>
      <c r="I596" s="6" t="n"/>
      <c r="J596" s="6" t="n"/>
    </row>
    <row r="597">
      <c r="A597" s="2" t="n"/>
      <c r="B597" s="2" t="n"/>
      <c r="C597" s="2" t="n"/>
      <c r="D597" s="12" t="n"/>
      <c r="E597" s="2" t="n"/>
      <c r="F597" s="13" t="n"/>
      <c r="G597" s="13" t="n"/>
      <c r="H597" s="13">
        <f>IF($B597="","",SUMIFS($F:$F,$B:$B,$B597,$D:$D,"&lt;="&amp;$D597)-SUMIFS($G:$G,$B:$B,$B597,$D:$D,"&lt;="&amp;$D597))</f>
        <v/>
      </c>
      <c r="I597" s="2" t="n"/>
      <c r="J597" s="2" t="n"/>
    </row>
    <row r="598">
      <c r="A598" s="6" t="n"/>
      <c r="B598" s="6" t="n"/>
      <c r="C598" s="6" t="n"/>
      <c r="D598" s="14" t="n"/>
      <c r="E598" s="6" t="n"/>
      <c r="F598" s="15" t="n"/>
      <c r="G598" s="15" t="n"/>
      <c r="H598" s="13">
        <f>IF($B598="","",SUMIFS($F:$F,$B:$B,$B598,$D:$D,"&lt;="&amp;$D598)-SUMIFS($G:$G,$B:$B,$B598,$D:$D,"&lt;="&amp;$D598))</f>
        <v/>
      </c>
      <c r="I598" s="6" t="n"/>
      <c r="J598" s="6" t="n"/>
    </row>
    <row r="599">
      <c r="A599" s="2" t="n"/>
      <c r="B599" s="2" t="n"/>
      <c r="C599" s="2" t="n"/>
      <c r="D599" s="12" t="n"/>
      <c r="E599" s="2" t="n"/>
      <c r="F599" s="13" t="n"/>
      <c r="G599" s="13" t="n"/>
      <c r="H599" s="13">
        <f>IF($B599="","",SUMIFS($F:$F,$B:$B,$B599,$D:$D,"&lt;="&amp;$D599)-SUMIFS($G:$G,$B:$B,$B599,$D:$D,"&lt;="&amp;$D599))</f>
        <v/>
      </c>
      <c r="I599" s="2" t="n"/>
      <c r="J599" s="2" t="n"/>
    </row>
    <row r="600">
      <c r="A600" s="6" t="n"/>
      <c r="B600" s="6" t="n"/>
      <c r="C600" s="6" t="n"/>
      <c r="D600" s="14" t="n"/>
      <c r="E600" s="6" t="n"/>
      <c r="F600" s="15" t="n"/>
      <c r="G600" s="15" t="n"/>
      <c r="H600" s="13">
        <f>IF($B600="","",SUMIFS($F:$F,$B:$B,$B600,$D:$D,"&lt;="&amp;$D600)-SUMIFS($G:$G,$B:$B,$B600,$D:$D,"&lt;="&amp;$D600))</f>
        <v/>
      </c>
      <c r="I600" s="6" t="n"/>
      <c r="J600" s="6" t="n"/>
    </row>
    <row r="601">
      <c r="A601" s="2" t="n"/>
      <c r="B601" s="2" t="n"/>
      <c r="C601" s="2" t="n"/>
      <c r="D601" s="12" t="n"/>
      <c r="E601" s="2" t="n"/>
      <c r="F601" s="13" t="n"/>
      <c r="G601" s="13" t="n"/>
      <c r="H601" s="13">
        <f>IF($B601="","",SUMIFS($F:$F,$B:$B,$B601,$D:$D,"&lt;="&amp;$D601)-SUMIFS($G:$G,$B:$B,$B601,$D:$D,"&lt;="&amp;$D601))</f>
        <v/>
      </c>
      <c r="I601" s="2" t="n"/>
      <c r="J601" s="2" t="n"/>
    </row>
    <row r="602">
      <c r="A602" s="6" t="n"/>
      <c r="B602" s="6" t="n"/>
      <c r="C602" s="6" t="n"/>
      <c r="D602" s="14" t="n"/>
      <c r="E602" s="6" t="n"/>
      <c r="F602" s="15" t="n"/>
      <c r="G602" s="15" t="n"/>
      <c r="H602" s="13">
        <f>IF($B602="","",SUMIFS($F:$F,$B:$B,$B602,$D:$D,"&lt;="&amp;$D602)-SUMIFS($G:$G,$B:$B,$B602,$D:$D,"&lt;="&amp;$D602))</f>
        <v/>
      </c>
      <c r="I602" s="6" t="n"/>
      <c r="J602" s="6" t="n"/>
    </row>
    <row r="603">
      <c r="A603" s="2" t="n"/>
      <c r="B603" s="2" t="n"/>
      <c r="C603" s="2" t="n"/>
      <c r="D603" s="12" t="n"/>
      <c r="E603" s="2" t="n"/>
      <c r="F603" s="13" t="n"/>
      <c r="G603" s="13" t="n"/>
      <c r="H603" s="13">
        <f>IF($B603="","",SUMIFS($F:$F,$B:$B,$B603,$D:$D,"&lt;="&amp;$D603)-SUMIFS($G:$G,$B:$B,$B603,$D:$D,"&lt;="&amp;$D603))</f>
        <v/>
      </c>
      <c r="I603" s="2" t="n"/>
      <c r="J603" s="2" t="n"/>
    </row>
    <row r="604">
      <c r="A604" s="6" t="n"/>
      <c r="B604" s="6" t="n"/>
      <c r="C604" s="6" t="n"/>
      <c r="D604" s="14" t="n"/>
      <c r="E604" s="6" t="n"/>
      <c r="F604" s="15" t="n"/>
      <c r="G604" s="15" t="n"/>
      <c r="H604" s="13">
        <f>IF($B604="","",SUMIFS($F:$F,$B:$B,$B604,$D:$D,"&lt;="&amp;$D604)-SUMIFS($G:$G,$B:$B,$B604,$D:$D,"&lt;="&amp;$D604))</f>
        <v/>
      </c>
      <c r="I604" s="6" t="n"/>
      <c r="J604" s="6" t="n"/>
    </row>
    <row r="605">
      <c r="A605" s="2" t="n"/>
      <c r="B605" s="2" t="n"/>
      <c r="C605" s="2" t="n"/>
      <c r="D605" s="12" t="n"/>
      <c r="E605" s="2" t="n"/>
      <c r="F605" s="13" t="n"/>
      <c r="G605" s="13" t="n"/>
      <c r="H605" s="13">
        <f>IF($B605="","",SUMIFS($F:$F,$B:$B,$B605,$D:$D,"&lt;="&amp;$D605)-SUMIFS($G:$G,$B:$B,$B605,$D:$D,"&lt;="&amp;$D605))</f>
        <v/>
      </c>
      <c r="I605" s="2" t="n"/>
      <c r="J605" s="2" t="n"/>
    </row>
    <row r="606">
      <c r="A606" s="6" t="n"/>
      <c r="B606" s="6" t="n"/>
      <c r="C606" s="6" t="n"/>
      <c r="D606" s="14" t="n"/>
      <c r="E606" s="6" t="n"/>
      <c r="F606" s="15" t="n"/>
      <c r="G606" s="15" t="n"/>
      <c r="H606" s="13">
        <f>IF($B606="","",SUMIFS($F:$F,$B:$B,$B606,$D:$D,"&lt;="&amp;$D606)-SUMIFS($G:$G,$B:$B,$B606,$D:$D,"&lt;="&amp;$D606))</f>
        <v/>
      </c>
      <c r="I606" s="6" t="n"/>
      <c r="J606" s="6" t="n"/>
    </row>
    <row r="607">
      <c r="A607" s="2" t="n"/>
      <c r="B607" s="2" t="n"/>
      <c r="C607" s="2" t="n"/>
      <c r="D607" s="12" t="n"/>
      <c r="E607" s="2" t="n"/>
      <c r="F607" s="13" t="n"/>
      <c r="G607" s="13" t="n"/>
      <c r="H607" s="13">
        <f>IF($B607="","",SUMIFS($F:$F,$B:$B,$B607,$D:$D,"&lt;="&amp;$D607)-SUMIFS($G:$G,$B:$B,$B607,$D:$D,"&lt;="&amp;$D607))</f>
        <v/>
      </c>
      <c r="I607" s="2" t="n"/>
      <c r="J607" s="2" t="n"/>
    </row>
    <row r="608">
      <c r="A608" s="6" t="n"/>
      <c r="B608" s="6" t="n"/>
      <c r="C608" s="6" t="n"/>
      <c r="D608" s="14" t="n"/>
      <c r="E608" s="6" t="n"/>
      <c r="F608" s="15" t="n"/>
      <c r="G608" s="15" t="n"/>
      <c r="H608" s="13">
        <f>IF($B608="","",SUMIFS($F:$F,$B:$B,$B608,$D:$D,"&lt;="&amp;$D608)-SUMIFS($G:$G,$B:$B,$B608,$D:$D,"&lt;="&amp;$D608))</f>
        <v/>
      </c>
      <c r="I608" s="6" t="n"/>
      <c r="J608" s="6" t="n"/>
    </row>
    <row r="609">
      <c r="A609" s="2" t="n"/>
      <c r="B609" s="2" t="n"/>
      <c r="C609" s="2" t="n"/>
      <c r="D609" s="12" t="n"/>
      <c r="E609" s="2" t="n"/>
      <c r="F609" s="13" t="n"/>
      <c r="G609" s="13" t="n"/>
      <c r="H609" s="13">
        <f>IF($B609="","",SUMIFS($F:$F,$B:$B,$B609,$D:$D,"&lt;="&amp;$D609)-SUMIFS($G:$G,$B:$B,$B609,$D:$D,"&lt;="&amp;$D609))</f>
        <v/>
      </c>
      <c r="I609" s="2" t="n"/>
      <c r="J609" s="2" t="n"/>
    </row>
    <row r="610">
      <c r="A610" s="6" t="n"/>
      <c r="B610" s="6" t="n"/>
      <c r="C610" s="6" t="n"/>
      <c r="D610" s="14" t="n"/>
      <c r="E610" s="6" t="n"/>
      <c r="F610" s="15" t="n"/>
      <c r="G610" s="15" t="n"/>
      <c r="H610" s="13">
        <f>IF($B610="","",SUMIFS($F:$F,$B:$B,$B610,$D:$D,"&lt;="&amp;$D610)-SUMIFS($G:$G,$B:$B,$B610,$D:$D,"&lt;="&amp;$D610))</f>
        <v/>
      </c>
      <c r="I610" s="6" t="n"/>
      <c r="J610" s="6" t="n"/>
    </row>
    <row r="611">
      <c r="A611" s="2" t="n"/>
      <c r="B611" s="2" t="n"/>
      <c r="C611" s="2" t="n"/>
      <c r="D611" s="12" t="n"/>
      <c r="E611" s="2" t="n"/>
      <c r="F611" s="13" t="n"/>
      <c r="G611" s="13" t="n"/>
      <c r="H611" s="13">
        <f>IF($B611="","",SUMIFS($F:$F,$B:$B,$B611,$D:$D,"&lt;="&amp;$D611)-SUMIFS($G:$G,$B:$B,$B611,$D:$D,"&lt;="&amp;$D611))</f>
        <v/>
      </c>
      <c r="I611" s="2" t="n"/>
      <c r="J611" s="2" t="n"/>
    </row>
    <row r="612">
      <c r="A612" s="6" t="n"/>
      <c r="B612" s="6" t="n"/>
      <c r="C612" s="6" t="n"/>
      <c r="D612" s="14" t="n"/>
      <c r="E612" s="6" t="n"/>
      <c r="F612" s="15" t="n"/>
      <c r="G612" s="15" t="n"/>
      <c r="H612" s="13">
        <f>IF($B612="","",SUMIFS($F:$F,$B:$B,$B612,$D:$D,"&lt;="&amp;$D612)-SUMIFS($G:$G,$B:$B,$B612,$D:$D,"&lt;="&amp;$D612))</f>
        <v/>
      </c>
      <c r="I612" s="6" t="n"/>
      <c r="J612" s="6" t="n"/>
    </row>
    <row r="613">
      <c r="A613" s="2" t="n"/>
      <c r="B613" s="2" t="n"/>
      <c r="C613" s="2" t="n"/>
      <c r="D613" s="12" t="n"/>
      <c r="E613" s="2" t="n"/>
      <c r="F613" s="13" t="n"/>
      <c r="G613" s="13" t="n"/>
      <c r="H613" s="13">
        <f>IF($B613="","",SUMIFS($F:$F,$B:$B,$B613,$D:$D,"&lt;="&amp;$D613)-SUMIFS($G:$G,$B:$B,$B613,$D:$D,"&lt;="&amp;$D613))</f>
        <v/>
      </c>
      <c r="I613" s="2" t="n"/>
      <c r="J613" s="2" t="n"/>
    </row>
    <row r="614">
      <c r="A614" s="6" t="n"/>
      <c r="B614" s="6" t="n"/>
      <c r="C614" s="6" t="n"/>
      <c r="D614" s="14" t="n"/>
      <c r="E614" s="6" t="n"/>
      <c r="F614" s="15" t="n"/>
      <c r="G614" s="15" t="n"/>
      <c r="H614" s="13">
        <f>IF($B614="","",SUMIFS($F:$F,$B:$B,$B614,$D:$D,"&lt;="&amp;$D614)-SUMIFS($G:$G,$B:$B,$B614,$D:$D,"&lt;="&amp;$D614))</f>
        <v/>
      </c>
      <c r="I614" s="6" t="n"/>
      <c r="J614" s="6" t="n"/>
    </row>
    <row r="615">
      <c r="A615" s="2" t="n"/>
      <c r="B615" s="2" t="n"/>
      <c r="C615" s="2" t="n"/>
      <c r="D615" s="12" t="n"/>
      <c r="E615" s="2" t="n"/>
      <c r="F615" s="13" t="n"/>
      <c r="G615" s="13" t="n"/>
      <c r="H615" s="13">
        <f>IF($B615="","",SUMIFS($F:$F,$B:$B,$B615,$D:$D,"&lt;="&amp;$D615)-SUMIFS($G:$G,$B:$B,$B615,$D:$D,"&lt;="&amp;$D615))</f>
        <v/>
      </c>
      <c r="I615" s="2" t="n"/>
      <c r="J615" s="2" t="n"/>
    </row>
    <row r="616">
      <c r="A616" s="6" t="n"/>
      <c r="B616" s="6" t="n"/>
      <c r="C616" s="6" t="n"/>
      <c r="D616" s="14" t="n"/>
      <c r="E616" s="6" t="n"/>
      <c r="F616" s="15" t="n"/>
      <c r="G616" s="15" t="n"/>
      <c r="H616" s="13">
        <f>IF($B616="","",SUMIFS($F:$F,$B:$B,$B616,$D:$D,"&lt;="&amp;$D616)-SUMIFS($G:$G,$B:$B,$B616,$D:$D,"&lt;="&amp;$D616))</f>
        <v/>
      </c>
      <c r="I616" s="6" t="n"/>
      <c r="J616" s="6" t="n"/>
    </row>
    <row r="617">
      <c r="A617" s="2" t="n"/>
      <c r="B617" s="2" t="n"/>
      <c r="C617" s="2" t="n"/>
      <c r="D617" s="12" t="n"/>
      <c r="E617" s="2" t="n"/>
      <c r="F617" s="13" t="n"/>
      <c r="G617" s="13" t="n"/>
      <c r="H617" s="13">
        <f>IF($B617="","",SUMIFS($F:$F,$B:$B,$B617,$D:$D,"&lt;="&amp;$D617)-SUMIFS($G:$G,$B:$B,$B617,$D:$D,"&lt;="&amp;$D617))</f>
        <v/>
      </c>
      <c r="I617" s="2" t="n"/>
      <c r="J617" s="2" t="n"/>
    </row>
    <row r="618">
      <c r="A618" s="6" t="n"/>
      <c r="B618" s="6" t="n"/>
      <c r="C618" s="6" t="n"/>
      <c r="D618" s="14" t="n"/>
      <c r="E618" s="6" t="n"/>
      <c r="F618" s="15" t="n"/>
      <c r="G618" s="15" t="n"/>
      <c r="H618" s="13">
        <f>IF($B618="","",SUMIFS($F:$F,$B:$B,$B618,$D:$D,"&lt;="&amp;$D618)-SUMIFS($G:$G,$B:$B,$B618,$D:$D,"&lt;="&amp;$D618))</f>
        <v/>
      </c>
      <c r="I618" s="6" t="n"/>
      <c r="J618" s="6" t="n"/>
    </row>
    <row r="619">
      <c r="A619" s="2" t="n"/>
      <c r="B619" s="2" t="n"/>
      <c r="C619" s="2" t="n"/>
      <c r="D619" s="12" t="n"/>
      <c r="E619" s="2" t="n"/>
      <c r="F619" s="13" t="n"/>
      <c r="G619" s="13" t="n"/>
      <c r="H619" s="13">
        <f>IF($B619="","",SUMIFS($F:$F,$B:$B,$B619,$D:$D,"&lt;="&amp;$D619)-SUMIFS($G:$G,$B:$B,$B619,$D:$D,"&lt;="&amp;$D619))</f>
        <v/>
      </c>
      <c r="I619" s="2" t="n"/>
      <c r="J619" s="2" t="n"/>
    </row>
    <row r="620">
      <c r="A620" s="6" t="n"/>
      <c r="B620" s="6" t="n"/>
      <c r="C620" s="6" t="n"/>
      <c r="D620" s="14" t="n"/>
      <c r="E620" s="6" t="n"/>
      <c r="F620" s="15" t="n"/>
      <c r="G620" s="15" t="n"/>
      <c r="H620" s="13">
        <f>IF($B620="","",SUMIFS($F:$F,$B:$B,$B620,$D:$D,"&lt;="&amp;$D620)-SUMIFS($G:$G,$B:$B,$B620,$D:$D,"&lt;="&amp;$D620))</f>
        <v/>
      </c>
      <c r="I620" s="6" t="n"/>
      <c r="J620" s="6" t="n"/>
    </row>
    <row r="621">
      <c r="A621" s="2" t="n"/>
      <c r="B621" s="2" t="n"/>
      <c r="C621" s="2" t="n"/>
      <c r="D621" s="12" t="n"/>
      <c r="E621" s="2" t="n"/>
      <c r="F621" s="13" t="n"/>
      <c r="G621" s="13" t="n"/>
      <c r="H621" s="13">
        <f>IF($B621="","",SUMIFS($F:$F,$B:$B,$B621,$D:$D,"&lt;="&amp;$D621)-SUMIFS($G:$G,$B:$B,$B621,$D:$D,"&lt;="&amp;$D621))</f>
        <v/>
      </c>
      <c r="I621" s="2" t="n"/>
      <c r="J621" s="2" t="n"/>
    </row>
    <row r="622">
      <c r="A622" s="6" t="n"/>
      <c r="B622" s="6" t="n"/>
      <c r="C622" s="6" t="n"/>
      <c r="D622" s="14" t="n"/>
      <c r="E622" s="6" t="n"/>
      <c r="F622" s="15" t="n"/>
      <c r="G622" s="15" t="n"/>
      <c r="H622" s="13">
        <f>IF($B622="","",SUMIFS($F:$F,$B:$B,$B622,$D:$D,"&lt;="&amp;$D622)-SUMIFS($G:$G,$B:$B,$B622,$D:$D,"&lt;="&amp;$D622))</f>
        <v/>
      </c>
      <c r="I622" s="6" t="n"/>
      <c r="J622" s="6" t="n"/>
    </row>
    <row r="623">
      <c r="A623" s="2" t="n"/>
      <c r="B623" s="2" t="n"/>
      <c r="C623" s="2" t="n"/>
      <c r="D623" s="12" t="n"/>
      <c r="E623" s="2" t="n"/>
      <c r="F623" s="13" t="n"/>
      <c r="G623" s="13" t="n"/>
      <c r="H623" s="13">
        <f>IF($B623="","",SUMIFS($F:$F,$B:$B,$B623,$D:$D,"&lt;="&amp;$D623)-SUMIFS($G:$G,$B:$B,$B623,$D:$D,"&lt;="&amp;$D623))</f>
        <v/>
      </c>
      <c r="I623" s="2" t="n"/>
      <c r="J623" s="2" t="n"/>
    </row>
    <row r="624">
      <c r="A624" s="6" t="n"/>
      <c r="B624" s="6" t="n"/>
      <c r="C624" s="6" t="n"/>
      <c r="D624" s="14" t="n"/>
      <c r="E624" s="6" t="n"/>
      <c r="F624" s="15" t="n"/>
      <c r="G624" s="15" t="n"/>
      <c r="H624" s="13">
        <f>IF($B624="","",SUMIFS($F:$F,$B:$B,$B624,$D:$D,"&lt;="&amp;$D624)-SUMIFS($G:$G,$B:$B,$B624,$D:$D,"&lt;="&amp;$D624))</f>
        <v/>
      </c>
      <c r="I624" s="6" t="n"/>
      <c r="J624" s="6" t="n"/>
    </row>
    <row r="625">
      <c r="A625" s="2" t="n"/>
      <c r="B625" s="2" t="n"/>
      <c r="C625" s="2" t="n"/>
      <c r="D625" s="12" t="n"/>
      <c r="E625" s="2" t="n"/>
      <c r="F625" s="13" t="n"/>
      <c r="G625" s="13" t="n"/>
      <c r="H625" s="13">
        <f>IF($B625="","",SUMIFS($F:$F,$B:$B,$B625,$D:$D,"&lt;="&amp;$D625)-SUMIFS($G:$G,$B:$B,$B625,$D:$D,"&lt;="&amp;$D625))</f>
        <v/>
      </c>
      <c r="I625" s="2" t="n"/>
      <c r="J625" s="2" t="n"/>
    </row>
    <row r="626">
      <c r="A626" s="6" t="n"/>
      <c r="B626" s="6" t="n"/>
      <c r="C626" s="6" t="n"/>
      <c r="D626" s="14" t="n"/>
      <c r="E626" s="6" t="n"/>
      <c r="F626" s="15" t="n"/>
      <c r="G626" s="15" t="n"/>
      <c r="H626" s="13">
        <f>IF($B626="","",SUMIFS($F:$F,$B:$B,$B626,$D:$D,"&lt;="&amp;$D626)-SUMIFS($G:$G,$B:$B,$B626,$D:$D,"&lt;="&amp;$D626))</f>
        <v/>
      </c>
      <c r="I626" s="6" t="n"/>
      <c r="J626" s="6" t="n"/>
    </row>
    <row r="627">
      <c r="A627" s="2" t="n"/>
      <c r="B627" s="2" t="n"/>
      <c r="C627" s="2" t="n"/>
      <c r="D627" s="12" t="n"/>
      <c r="E627" s="2" t="n"/>
      <c r="F627" s="13" t="n"/>
      <c r="G627" s="13" t="n"/>
      <c r="H627" s="13">
        <f>IF($B627="","",SUMIFS($F:$F,$B:$B,$B627,$D:$D,"&lt;="&amp;$D627)-SUMIFS($G:$G,$B:$B,$B627,$D:$D,"&lt;="&amp;$D627))</f>
        <v/>
      </c>
      <c r="I627" s="2" t="n"/>
      <c r="J627" s="2" t="n"/>
    </row>
    <row r="628">
      <c r="A628" s="6" t="n"/>
      <c r="B628" s="6" t="n"/>
      <c r="C628" s="6" t="n"/>
      <c r="D628" s="14" t="n"/>
      <c r="E628" s="6" t="n"/>
      <c r="F628" s="15" t="n"/>
      <c r="G628" s="15" t="n"/>
      <c r="H628" s="13">
        <f>IF($B628="","",SUMIFS($F:$F,$B:$B,$B628,$D:$D,"&lt;="&amp;$D628)-SUMIFS($G:$G,$B:$B,$B628,$D:$D,"&lt;="&amp;$D628))</f>
        <v/>
      </c>
      <c r="I628" s="6" t="n"/>
      <c r="J628" s="6" t="n"/>
    </row>
    <row r="629">
      <c r="A629" s="2" t="n"/>
      <c r="B629" s="2" t="n"/>
      <c r="C629" s="2" t="n"/>
      <c r="D629" s="12" t="n"/>
      <c r="E629" s="2" t="n"/>
      <c r="F629" s="13" t="n"/>
      <c r="G629" s="13" t="n"/>
      <c r="H629" s="13">
        <f>IF($B629="","",SUMIFS($F:$F,$B:$B,$B629,$D:$D,"&lt;="&amp;$D629)-SUMIFS($G:$G,$B:$B,$B629,$D:$D,"&lt;="&amp;$D629))</f>
        <v/>
      </c>
      <c r="I629" s="2" t="n"/>
      <c r="J629" s="2" t="n"/>
    </row>
    <row r="630">
      <c r="A630" s="6" t="n"/>
      <c r="B630" s="6" t="n"/>
      <c r="C630" s="6" t="n"/>
      <c r="D630" s="14" t="n"/>
      <c r="E630" s="6" t="n"/>
      <c r="F630" s="15" t="n"/>
      <c r="G630" s="15" t="n"/>
      <c r="H630" s="13">
        <f>IF($B630="","",SUMIFS($F:$F,$B:$B,$B630,$D:$D,"&lt;="&amp;$D630)-SUMIFS($G:$G,$B:$B,$B630,$D:$D,"&lt;="&amp;$D630))</f>
        <v/>
      </c>
      <c r="I630" s="6" t="n"/>
      <c r="J630" s="6" t="n"/>
    </row>
    <row r="631">
      <c r="A631" s="2" t="n"/>
      <c r="B631" s="2" t="n"/>
      <c r="C631" s="2" t="n"/>
      <c r="D631" s="12" t="n"/>
      <c r="E631" s="2" t="n"/>
      <c r="F631" s="13" t="n"/>
      <c r="G631" s="13" t="n"/>
      <c r="H631" s="13">
        <f>IF($B631="","",SUMIFS($F:$F,$B:$B,$B631,$D:$D,"&lt;="&amp;$D631)-SUMIFS($G:$G,$B:$B,$B631,$D:$D,"&lt;="&amp;$D631))</f>
        <v/>
      </c>
      <c r="I631" s="2" t="n"/>
      <c r="J631" s="2" t="n"/>
    </row>
    <row r="632">
      <c r="A632" s="6" t="n"/>
      <c r="B632" s="6" t="n"/>
      <c r="C632" s="6" t="n"/>
      <c r="D632" s="14" t="n"/>
      <c r="E632" s="6" t="n"/>
      <c r="F632" s="15" t="n"/>
      <c r="G632" s="15" t="n"/>
      <c r="H632" s="13">
        <f>IF($B632="","",SUMIFS($F:$F,$B:$B,$B632,$D:$D,"&lt;="&amp;$D632)-SUMIFS($G:$G,$B:$B,$B632,$D:$D,"&lt;="&amp;$D632))</f>
        <v/>
      </c>
      <c r="I632" s="6" t="n"/>
      <c r="J632" s="6" t="n"/>
    </row>
    <row r="633">
      <c r="A633" s="2" t="n"/>
      <c r="B633" s="2" t="n"/>
      <c r="C633" s="2" t="n"/>
      <c r="D633" s="12" t="n"/>
      <c r="E633" s="2" t="n"/>
      <c r="F633" s="13" t="n"/>
      <c r="G633" s="13" t="n"/>
      <c r="H633" s="13">
        <f>IF($B633="","",SUMIFS($F:$F,$B:$B,$B633,$D:$D,"&lt;="&amp;$D633)-SUMIFS($G:$G,$B:$B,$B633,$D:$D,"&lt;="&amp;$D633))</f>
        <v/>
      </c>
      <c r="I633" s="2" t="n"/>
      <c r="J633" s="2" t="n"/>
    </row>
    <row r="634">
      <c r="A634" s="6" t="n"/>
      <c r="B634" s="6" t="n"/>
      <c r="C634" s="6" t="n"/>
      <c r="D634" s="14" t="n"/>
      <c r="E634" s="6" t="n"/>
      <c r="F634" s="15" t="n"/>
      <c r="G634" s="15" t="n"/>
      <c r="H634" s="13">
        <f>IF($B634="","",SUMIFS($F:$F,$B:$B,$B634,$D:$D,"&lt;="&amp;$D634)-SUMIFS($G:$G,$B:$B,$B634,$D:$D,"&lt;="&amp;$D634))</f>
        <v/>
      </c>
      <c r="I634" s="6" t="n"/>
      <c r="J634" s="6" t="n"/>
    </row>
    <row r="635">
      <c r="A635" s="2" t="n"/>
      <c r="B635" s="2" t="n"/>
      <c r="C635" s="2" t="n"/>
      <c r="D635" s="12" t="n"/>
      <c r="E635" s="2" t="n"/>
      <c r="F635" s="13" t="n"/>
      <c r="G635" s="13" t="n"/>
      <c r="H635" s="13">
        <f>IF($B635="","",SUMIFS($F:$F,$B:$B,$B635,$D:$D,"&lt;="&amp;$D635)-SUMIFS($G:$G,$B:$B,$B635,$D:$D,"&lt;="&amp;$D635))</f>
        <v/>
      </c>
      <c r="I635" s="2" t="n"/>
      <c r="J635" s="2" t="n"/>
    </row>
    <row r="636">
      <c r="A636" s="6" t="n"/>
      <c r="B636" s="6" t="n"/>
      <c r="C636" s="6" t="n"/>
      <c r="D636" s="14" t="n"/>
      <c r="E636" s="6" t="n"/>
      <c r="F636" s="15" t="n"/>
      <c r="G636" s="15" t="n"/>
      <c r="H636" s="13">
        <f>IF($B636="","",SUMIFS($F:$F,$B:$B,$B636,$D:$D,"&lt;="&amp;$D636)-SUMIFS($G:$G,$B:$B,$B636,$D:$D,"&lt;="&amp;$D636))</f>
        <v/>
      </c>
      <c r="I636" s="6" t="n"/>
      <c r="J636" s="6" t="n"/>
    </row>
    <row r="637">
      <c r="A637" s="2" t="n"/>
      <c r="B637" s="2" t="n"/>
      <c r="C637" s="2" t="n"/>
      <c r="D637" s="12" t="n"/>
      <c r="E637" s="2" t="n"/>
      <c r="F637" s="13" t="n"/>
      <c r="G637" s="13" t="n"/>
      <c r="H637" s="13">
        <f>IF($B637="","",SUMIFS($F:$F,$B:$B,$B637,$D:$D,"&lt;="&amp;$D637)-SUMIFS($G:$G,$B:$B,$B637,$D:$D,"&lt;="&amp;$D637))</f>
        <v/>
      </c>
      <c r="I637" s="2" t="n"/>
      <c r="J637" s="2" t="n"/>
    </row>
    <row r="638">
      <c r="A638" s="6" t="n"/>
      <c r="B638" s="6" t="n"/>
      <c r="C638" s="6" t="n"/>
      <c r="D638" s="14" t="n"/>
      <c r="E638" s="6" t="n"/>
      <c r="F638" s="15" t="n"/>
      <c r="G638" s="15" t="n"/>
      <c r="H638" s="13">
        <f>IF($B638="","",SUMIFS($F:$F,$B:$B,$B638,$D:$D,"&lt;="&amp;$D638)-SUMIFS($G:$G,$B:$B,$B638,$D:$D,"&lt;="&amp;$D638))</f>
        <v/>
      </c>
      <c r="I638" s="6" t="n"/>
      <c r="J638" s="6" t="n"/>
    </row>
    <row r="639">
      <c r="A639" s="2" t="n"/>
      <c r="B639" s="2" t="n"/>
      <c r="C639" s="2" t="n"/>
      <c r="D639" s="12" t="n"/>
      <c r="E639" s="2" t="n"/>
      <c r="F639" s="13" t="n"/>
      <c r="G639" s="13" t="n"/>
      <c r="H639" s="13">
        <f>IF($B639="","",SUMIFS($F:$F,$B:$B,$B639,$D:$D,"&lt;="&amp;$D639)-SUMIFS($G:$G,$B:$B,$B639,$D:$D,"&lt;="&amp;$D639))</f>
        <v/>
      </c>
      <c r="I639" s="2" t="n"/>
      <c r="J639" s="2" t="n"/>
    </row>
    <row r="640">
      <c r="A640" s="6" t="n"/>
      <c r="B640" s="6" t="n"/>
      <c r="C640" s="6" t="n"/>
      <c r="D640" s="14" t="n"/>
      <c r="E640" s="6" t="n"/>
      <c r="F640" s="15" t="n"/>
      <c r="G640" s="15" t="n"/>
      <c r="H640" s="13">
        <f>IF($B640="","",SUMIFS($F:$F,$B:$B,$B640,$D:$D,"&lt;="&amp;$D640)-SUMIFS($G:$G,$B:$B,$B640,$D:$D,"&lt;="&amp;$D640))</f>
        <v/>
      </c>
      <c r="I640" s="6" t="n"/>
      <c r="J640" s="6" t="n"/>
    </row>
    <row r="641">
      <c r="A641" s="2" t="n"/>
      <c r="B641" s="2" t="n"/>
      <c r="C641" s="2" t="n"/>
      <c r="D641" s="12" t="n"/>
      <c r="E641" s="2" t="n"/>
      <c r="F641" s="13" t="n"/>
      <c r="G641" s="13" t="n"/>
      <c r="H641" s="13">
        <f>IF($B641="","",SUMIFS($F:$F,$B:$B,$B641,$D:$D,"&lt;="&amp;$D641)-SUMIFS($G:$G,$B:$B,$B641,$D:$D,"&lt;="&amp;$D641))</f>
        <v/>
      </c>
      <c r="I641" s="2" t="n"/>
      <c r="J641" s="2" t="n"/>
    </row>
    <row r="642">
      <c r="A642" s="6" t="n"/>
      <c r="B642" s="6" t="n"/>
      <c r="C642" s="6" t="n"/>
      <c r="D642" s="14" t="n"/>
      <c r="E642" s="6" t="n"/>
      <c r="F642" s="15" t="n"/>
      <c r="G642" s="15" t="n"/>
      <c r="H642" s="13">
        <f>IF($B642="","",SUMIFS($F:$F,$B:$B,$B642,$D:$D,"&lt;="&amp;$D642)-SUMIFS($G:$G,$B:$B,$B642,$D:$D,"&lt;="&amp;$D642))</f>
        <v/>
      </c>
      <c r="I642" s="6" t="n"/>
      <c r="J642" s="6" t="n"/>
    </row>
    <row r="643">
      <c r="A643" s="2" t="n"/>
      <c r="B643" s="2" t="n"/>
      <c r="C643" s="2" t="n"/>
      <c r="D643" s="12" t="n"/>
      <c r="E643" s="2" t="n"/>
      <c r="F643" s="13" t="n"/>
      <c r="G643" s="13" t="n"/>
      <c r="H643" s="13">
        <f>IF($B643="","",SUMIFS($F:$F,$B:$B,$B643,$D:$D,"&lt;="&amp;$D643)-SUMIFS($G:$G,$B:$B,$B643,$D:$D,"&lt;="&amp;$D643))</f>
        <v/>
      </c>
      <c r="I643" s="2" t="n"/>
      <c r="J643" s="2" t="n"/>
    </row>
    <row r="644">
      <c r="A644" s="6" t="n"/>
      <c r="B644" s="6" t="n"/>
      <c r="C644" s="6" t="n"/>
      <c r="D644" s="14" t="n"/>
      <c r="E644" s="6" t="n"/>
      <c r="F644" s="15" t="n"/>
      <c r="G644" s="15" t="n"/>
      <c r="H644" s="13">
        <f>IF($B644="","",SUMIFS($F:$F,$B:$B,$B644,$D:$D,"&lt;="&amp;$D644)-SUMIFS($G:$G,$B:$B,$B644,$D:$D,"&lt;="&amp;$D644))</f>
        <v/>
      </c>
      <c r="I644" s="6" t="n"/>
      <c r="J644" s="6" t="n"/>
    </row>
    <row r="645">
      <c r="A645" s="2" t="n"/>
      <c r="B645" s="2" t="n"/>
      <c r="C645" s="2" t="n"/>
      <c r="D645" s="12" t="n"/>
      <c r="E645" s="2" t="n"/>
      <c r="F645" s="13" t="n"/>
      <c r="G645" s="13" t="n"/>
      <c r="H645" s="13">
        <f>IF($B645="","",SUMIFS($F:$F,$B:$B,$B645,$D:$D,"&lt;="&amp;$D645)-SUMIFS($G:$G,$B:$B,$B645,$D:$D,"&lt;="&amp;$D645))</f>
        <v/>
      </c>
      <c r="I645" s="2" t="n"/>
      <c r="J645" s="2" t="n"/>
    </row>
    <row r="646">
      <c r="A646" s="6" t="n"/>
      <c r="B646" s="6" t="n"/>
      <c r="C646" s="6" t="n"/>
      <c r="D646" s="14" t="n"/>
      <c r="E646" s="6" t="n"/>
      <c r="F646" s="15" t="n"/>
      <c r="G646" s="15" t="n"/>
      <c r="H646" s="13">
        <f>IF($B646="","",SUMIFS($F:$F,$B:$B,$B646,$D:$D,"&lt;="&amp;$D646)-SUMIFS($G:$G,$B:$B,$B646,$D:$D,"&lt;="&amp;$D646))</f>
        <v/>
      </c>
      <c r="I646" s="6" t="n"/>
      <c r="J646" s="6" t="n"/>
    </row>
    <row r="647">
      <c r="A647" s="2" t="n"/>
      <c r="B647" s="2" t="n"/>
      <c r="C647" s="2" t="n"/>
      <c r="D647" s="12" t="n"/>
      <c r="E647" s="2" t="n"/>
      <c r="F647" s="13" t="n"/>
      <c r="G647" s="13" t="n"/>
      <c r="H647" s="13">
        <f>IF($B647="","",SUMIFS($F:$F,$B:$B,$B647,$D:$D,"&lt;="&amp;$D647)-SUMIFS($G:$G,$B:$B,$B647,$D:$D,"&lt;="&amp;$D647))</f>
        <v/>
      </c>
      <c r="I647" s="2" t="n"/>
      <c r="J647" s="2" t="n"/>
    </row>
    <row r="648">
      <c r="A648" s="6" t="n"/>
      <c r="B648" s="6" t="n"/>
      <c r="C648" s="6" t="n"/>
      <c r="D648" s="14" t="n"/>
      <c r="E648" s="6" t="n"/>
      <c r="F648" s="15" t="n"/>
      <c r="G648" s="15" t="n"/>
      <c r="H648" s="13">
        <f>IF($B648="","",SUMIFS($F:$F,$B:$B,$B648,$D:$D,"&lt;="&amp;$D648)-SUMIFS($G:$G,$B:$B,$B648,$D:$D,"&lt;="&amp;$D648))</f>
        <v/>
      </c>
      <c r="I648" s="6" t="n"/>
      <c r="J648" s="6" t="n"/>
    </row>
    <row r="649">
      <c r="A649" s="2" t="n"/>
      <c r="B649" s="2" t="n"/>
      <c r="C649" s="2" t="n"/>
      <c r="D649" s="12" t="n"/>
      <c r="E649" s="2" t="n"/>
      <c r="F649" s="13" t="n"/>
      <c r="G649" s="13" t="n"/>
      <c r="H649" s="13">
        <f>IF($B649="","",SUMIFS($F:$F,$B:$B,$B649,$D:$D,"&lt;="&amp;$D649)-SUMIFS($G:$G,$B:$B,$B649,$D:$D,"&lt;="&amp;$D649))</f>
        <v/>
      </c>
      <c r="I649" s="2" t="n"/>
      <c r="J649" s="2" t="n"/>
    </row>
    <row r="650">
      <c r="A650" s="6" t="n"/>
      <c r="B650" s="6" t="n"/>
      <c r="C650" s="6" t="n"/>
      <c r="D650" s="14" t="n"/>
      <c r="E650" s="6" t="n"/>
      <c r="F650" s="15" t="n"/>
      <c r="G650" s="15" t="n"/>
      <c r="H650" s="13">
        <f>IF($B650="","",SUMIFS($F:$F,$B:$B,$B650,$D:$D,"&lt;="&amp;$D650)-SUMIFS($G:$G,$B:$B,$B650,$D:$D,"&lt;="&amp;$D650))</f>
        <v/>
      </c>
      <c r="I650" s="6" t="n"/>
      <c r="J650" s="6" t="n"/>
    </row>
    <row r="651">
      <c r="A651" s="2" t="n"/>
      <c r="B651" s="2" t="n"/>
      <c r="C651" s="2" t="n"/>
      <c r="D651" s="12" t="n"/>
      <c r="E651" s="2" t="n"/>
      <c r="F651" s="13" t="n"/>
      <c r="G651" s="13" t="n"/>
      <c r="H651" s="13">
        <f>IF($B651="","",SUMIFS($F:$F,$B:$B,$B651,$D:$D,"&lt;="&amp;$D651)-SUMIFS($G:$G,$B:$B,$B651,$D:$D,"&lt;="&amp;$D651))</f>
        <v/>
      </c>
      <c r="I651" s="2" t="n"/>
      <c r="J651" s="2" t="n"/>
    </row>
    <row r="652">
      <c r="A652" s="6" t="n"/>
      <c r="B652" s="6" t="n"/>
      <c r="C652" s="6" t="n"/>
      <c r="D652" s="14" t="n"/>
      <c r="E652" s="6" t="n"/>
      <c r="F652" s="15" t="n"/>
      <c r="G652" s="15" t="n"/>
      <c r="H652" s="13">
        <f>IF($B652="","",SUMIFS($F:$F,$B:$B,$B652,$D:$D,"&lt;="&amp;$D652)-SUMIFS($G:$G,$B:$B,$B652,$D:$D,"&lt;="&amp;$D652))</f>
        <v/>
      </c>
      <c r="I652" s="6" t="n"/>
      <c r="J652" s="6" t="n"/>
    </row>
    <row r="653">
      <c r="A653" s="2" t="n"/>
      <c r="B653" s="2" t="n"/>
      <c r="C653" s="2" t="n"/>
      <c r="D653" s="12" t="n"/>
      <c r="E653" s="2" t="n"/>
      <c r="F653" s="13" t="n"/>
      <c r="G653" s="13" t="n"/>
      <c r="H653" s="13">
        <f>IF($B653="","",SUMIFS($F:$F,$B:$B,$B653,$D:$D,"&lt;="&amp;$D653)-SUMIFS($G:$G,$B:$B,$B653,$D:$D,"&lt;="&amp;$D653))</f>
        <v/>
      </c>
      <c r="I653" s="2" t="n"/>
      <c r="J653" s="2" t="n"/>
    </row>
    <row r="654">
      <c r="A654" s="6" t="n"/>
      <c r="B654" s="6" t="n"/>
      <c r="C654" s="6" t="n"/>
      <c r="D654" s="14" t="n"/>
      <c r="E654" s="6" t="n"/>
      <c r="F654" s="15" t="n"/>
      <c r="G654" s="15" t="n"/>
      <c r="H654" s="13">
        <f>IF($B654="","",SUMIFS($F:$F,$B:$B,$B654,$D:$D,"&lt;="&amp;$D654)-SUMIFS($G:$G,$B:$B,$B654,$D:$D,"&lt;="&amp;$D654))</f>
        <v/>
      </c>
      <c r="I654" s="6" t="n"/>
      <c r="J654" s="6" t="n"/>
    </row>
    <row r="655">
      <c r="A655" s="2" t="n"/>
      <c r="B655" s="2" t="n"/>
      <c r="C655" s="2" t="n"/>
      <c r="D655" s="12" t="n"/>
      <c r="E655" s="2" t="n"/>
      <c r="F655" s="13" t="n"/>
      <c r="G655" s="13" t="n"/>
      <c r="H655" s="13">
        <f>IF($B655="","",SUMIFS($F:$F,$B:$B,$B655,$D:$D,"&lt;="&amp;$D655)-SUMIFS($G:$G,$B:$B,$B655,$D:$D,"&lt;="&amp;$D655))</f>
        <v/>
      </c>
      <c r="I655" s="2" t="n"/>
      <c r="J655" s="2" t="n"/>
    </row>
    <row r="656">
      <c r="A656" s="6" t="n"/>
      <c r="B656" s="6" t="n"/>
      <c r="C656" s="6" t="n"/>
      <c r="D656" s="14" t="n"/>
      <c r="E656" s="6" t="n"/>
      <c r="F656" s="15" t="n"/>
      <c r="G656" s="15" t="n"/>
      <c r="H656" s="13">
        <f>IF($B656="","",SUMIFS($F:$F,$B:$B,$B656,$D:$D,"&lt;="&amp;$D656)-SUMIFS($G:$G,$B:$B,$B656,$D:$D,"&lt;="&amp;$D656))</f>
        <v/>
      </c>
      <c r="I656" s="6" t="n"/>
      <c r="J656" s="6" t="n"/>
    </row>
    <row r="657">
      <c r="A657" s="2" t="n"/>
      <c r="B657" s="2" t="n"/>
      <c r="C657" s="2" t="n"/>
      <c r="D657" s="12" t="n"/>
      <c r="E657" s="2" t="n"/>
      <c r="F657" s="13" t="n"/>
      <c r="G657" s="13" t="n"/>
      <c r="H657" s="13">
        <f>IF($B657="","",SUMIFS($F:$F,$B:$B,$B657,$D:$D,"&lt;="&amp;$D657)-SUMIFS($G:$G,$B:$B,$B657,$D:$D,"&lt;="&amp;$D657))</f>
        <v/>
      </c>
      <c r="I657" s="2" t="n"/>
      <c r="J657" s="2" t="n"/>
    </row>
    <row r="658">
      <c r="A658" s="6" t="n"/>
      <c r="B658" s="6" t="n"/>
      <c r="C658" s="6" t="n"/>
      <c r="D658" s="14" t="n"/>
      <c r="E658" s="6" t="n"/>
      <c r="F658" s="15" t="n"/>
      <c r="G658" s="15" t="n"/>
      <c r="H658" s="13">
        <f>IF($B658="","",SUMIFS($F:$F,$B:$B,$B658,$D:$D,"&lt;="&amp;$D658)-SUMIFS($G:$G,$B:$B,$B658,$D:$D,"&lt;="&amp;$D658))</f>
        <v/>
      </c>
      <c r="I658" s="6" t="n"/>
      <c r="J658" s="6" t="n"/>
    </row>
    <row r="659">
      <c r="A659" s="2" t="n"/>
      <c r="B659" s="2" t="n"/>
      <c r="C659" s="2" t="n"/>
      <c r="D659" s="12" t="n"/>
      <c r="E659" s="2" t="n"/>
      <c r="F659" s="13" t="n"/>
      <c r="G659" s="13" t="n"/>
      <c r="H659" s="13">
        <f>IF($B659="","",SUMIFS($F:$F,$B:$B,$B659,$D:$D,"&lt;="&amp;$D659)-SUMIFS($G:$G,$B:$B,$B659,$D:$D,"&lt;="&amp;$D659))</f>
        <v/>
      </c>
      <c r="I659" s="2" t="n"/>
      <c r="J659" s="2" t="n"/>
    </row>
    <row r="660">
      <c r="A660" s="6" t="n"/>
      <c r="B660" s="6" t="n"/>
      <c r="C660" s="6" t="n"/>
      <c r="D660" s="14" t="n"/>
      <c r="E660" s="6" t="n"/>
      <c r="F660" s="15" t="n"/>
      <c r="G660" s="15" t="n"/>
      <c r="H660" s="13">
        <f>IF($B660="","",SUMIFS($F:$F,$B:$B,$B660,$D:$D,"&lt;="&amp;$D660)-SUMIFS($G:$G,$B:$B,$B660,$D:$D,"&lt;="&amp;$D660))</f>
        <v/>
      </c>
      <c r="I660" s="6" t="n"/>
      <c r="J660" s="6" t="n"/>
    </row>
    <row r="661">
      <c r="A661" s="2" t="n"/>
      <c r="B661" s="2" t="n"/>
      <c r="C661" s="2" t="n"/>
      <c r="D661" s="12" t="n"/>
      <c r="E661" s="2" t="n"/>
      <c r="F661" s="13" t="n"/>
      <c r="G661" s="13" t="n"/>
      <c r="H661" s="13">
        <f>IF($B661="","",SUMIFS($F:$F,$B:$B,$B661,$D:$D,"&lt;="&amp;$D661)-SUMIFS($G:$G,$B:$B,$B661,$D:$D,"&lt;="&amp;$D661))</f>
        <v/>
      </c>
      <c r="I661" s="2" t="n"/>
      <c r="J661" s="2" t="n"/>
    </row>
    <row r="662">
      <c r="A662" s="6" t="n"/>
      <c r="B662" s="6" t="n"/>
      <c r="C662" s="6" t="n"/>
      <c r="D662" s="14" t="n"/>
      <c r="E662" s="6" t="n"/>
      <c r="F662" s="15" t="n"/>
      <c r="G662" s="15" t="n"/>
      <c r="H662" s="13">
        <f>IF($B662="","",SUMIFS($F:$F,$B:$B,$B662,$D:$D,"&lt;="&amp;$D662)-SUMIFS($G:$G,$B:$B,$B662,$D:$D,"&lt;="&amp;$D662))</f>
        <v/>
      </c>
      <c r="I662" s="6" t="n"/>
      <c r="J662" s="6" t="n"/>
    </row>
    <row r="663">
      <c r="A663" s="2" t="n"/>
      <c r="B663" s="2" t="n"/>
      <c r="C663" s="2" t="n"/>
      <c r="D663" s="12" t="n"/>
      <c r="E663" s="2" t="n"/>
      <c r="F663" s="13" t="n"/>
      <c r="G663" s="13" t="n"/>
      <c r="H663" s="13">
        <f>IF($B663="","",SUMIFS($F:$F,$B:$B,$B663,$D:$D,"&lt;="&amp;$D663)-SUMIFS($G:$G,$B:$B,$B663,$D:$D,"&lt;="&amp;$D663))</f>
        <v/>
      </c>
      <c r="I663" s="2" t="n"/>
      <c r="J663" s="2" t="n"/>
    </row>
    <row r="664">
      <c r="A664" s="6" t="n"/>
      <c r="B664" s="6" t="n"/>
      <c r="C664" s="6" t="n"/>
      <c r="D664" s="14" t="n"/>
      <c r="E664" s="6" t="n"/>
      <c r="F664" s="15" t="n"/>
      <c r="G664" s="15" t="n"/>
      <c r="H664" s="13">
        <f>IF($B664="","",SUMIFS($F:$F,$B:$B,$B664,$D:$D,"&lt;="&amp;$D664)-SUMIFS($G:$G,$B:$B,$B664,$D:$D,"&lt;="&amp;$D664))</f>
        <v/>
      </c>
      <c r="I664" s="6" t="n"/>
      <c r="J664" s="6" t="n"/>
    </row>
    <row r="665">
      <c r="A665" s="2" t="n"/>
      <c r="B665" s="2" t="n"/>
      <c r="C665" s="2" t="n"/>
      <c r="D665" s="12" t="n"/>
      <c r="E665" s="2" t="n"/>
      <c r="F665" s="13" t="n"/>
      <c r="G665" s="13" t="n"/>
      <c r="H665" s="13">
        <f>IF($B665="","",SUMIFS($F:$F,$B:$B,$B665,$D:$D,"&lt;="&amp;$D665)-SUMIFS($G:$G,$B:$B,$B665,$D:$D,"&lt;="&amp;$D665))</f>
        <v/>
      </c>
      <c r="I665" s="2" t="n"/>
      <c r="J665" s="2" t="n"/>
    </row>
    <row r="666">
      <c r="A666" s="6" t="n"/>
      <c r="B666" s="6" t="n"/>
      <c r="C666" s="6" t="n"/>
      <c r="D666" s="14" t="n"/>
      <c r="E666" s="6" t="n"/>
      <c r="F666" s="15" t="n"/>
      <c r="G666" s="15" t="n"/>
      <c r="H666" s="13">
        <f>IF($B666="","",SUMIFS($F:$F,$B:$B,$B666,$D:$D,"&lt;="&amp;$D666)-SUMIFS($G:$G,$B:$B,$B666,$D:$D,"&lt;="&amp;$D666))</f>
        <v/>
      </c>
      <c r="I666" s="6" t="n"/>
      <c r="J666" s="6" t="n"/>
    </row>
    <row r="667">
      <c r="A667" s="2" t="n"/>
      <c r="B667" s="2" t="n"/>
      <c r="C667" s="2" t="n"/>
      <c r="D667" s="12" t="n"/>
      <c r="E667" s="2" t="n"/>
      <c r="F667" s="13" t="n"/>
      <c r="G667" s="13" t="n"/>
      <c r="H667" s="13">
        <f>IF($B667="","",SUMIFS($F:$F,$B:$B,$B667,$D:$D,"&lt;="&amp;$D667)-SUMIFS($G:$G,$B:$B,$B667,$D:$D,"&lt;="&amp;$D667))</f>
        <v/>
      </c>
      <c r="I667" s="2" t="n"/>
      <c r="J667" s="2" t="n"/>
    </row>
    <row r="668">
      <c r="A668" s="6" t="n"/>
      <c r="B668" s="6" t="n"/>
      <c r="C668" s="6" t="n"/>
      <c r="D668" s="14" t="n"/>
      <c r="E668" s="6" t="n"/>
      <c r="F668" s="15" t="n"/>
      <c r="G668" s="15" t="n"/>
      <c r="H668" s="13">
        <f>IF($B668="","",SUMIFS($F:$F,$B:$B,$B668,$D:$D,"&lt;="&amp;$D668)-SUMIFS($G:$G,$B:$B,$B668,$D:$D,"&lt;="&amp;$D668))</f>
        <v/>
      </c>
      <c r="I668" s="6" t="n"/>
      <c r="J668" s="6" t="n"/>
    </row>
    <row r="669">
      <c r="A669" s="2" t="n"/>
      <c r="B669" s="2" t="n"/>
      <c r="C669" s="2" t="n"/>
      <c r="D669" s="12" t="n"/>
      <c r="E669" s="2" t="n"/>
      <c r="F669" s="13" t="n"/>
      <c r="G669" s="13" t="n"/>
      <c r="H669" s="13">
        <f>IF($B669="","",SUMIFS($F:$F,$B:$B,$B669,$D:$D,"&lt;="&amp;$D669)-SUMIFS($G:$G,$B:$B,$B669,$D:$D,"&lt;="&amp;$D669))</f>
        <v/>
      </c>
      <c r="I669" s="2" t="n"/>
      <c r="J669" s="2" t="n"/>
    </row>
    <row r="670">
      <c r="A670" s="6" t="n"/>
      <c r="B670" s="6" t="n"/>
      <c r="C670" s="6" t="n"/>
      <c r="D670" s="14" t="n"/>
      <c r="E670" s="6" t="n"/>
      <c r="F670" s="15" t="n"/>
      <c r="G670" s="15" t="n"/>
      <c r="H670" s="13">
        <f>IF($B670="","",SUMIFS($F:$F,$B:$B,$B670,$D:$D,"&lt;="&amp;$D670)-SUMIFS($G:$G,$B:$B,$B670,$D:$D,"&lt;="&amp;$D670))</f>
        <v/>
      </c>
      <c r="I670" s="6" t="n"/>
      <c r="J670" s="6" t="n"/>
    </row>
    <row r="671">
      <c r="A671" s="2" t="n"/>
      <c r="B671" s="2" t="n"/>
      <c r="C671" s="2" t="n"/>
      <c r="D671" s="12" t="n"/>
      <c r="E671" s="2" t="n"/>
      <c r="F671" s="13" t="n"/>
      <c r="G671" s="13" t="n"/>
      <c r="H671" s="13">
        <f>IF($B671="","",SUMIFS($F:$F,$B:$B,$B671,$D:$D,"&lt;="&amp;$D671)-SUMIFS($G:$G,$B:$B,$B671,$D:$D,"&lt;="&amp;$D671))</f>
        <v/>
      </c>
      <c r="I671" s="2" t="n"/>
      <c r="J671" s="2" t="n"/>
    </row>
    <row r="672">
      <c r="A672" s="6" t="n"/>
      <c r="B672" s="6" t="n"/>
      <c r="C672" s="6" t="n"/>
      <c r="D672" s="14" t="n"/>
      <c r="E672" s="6" t="n"/>
      <c r="F672" s="15" t="n"/>
      <c r="G672" s="15" t="n"/>
      <c r="H672" s="13">
        <f>IF($B672="","",SUMIFS($F:$F,$B:$B,$B672,$D:$D,"&lt;="&amp;$D672)-SUMIFS($G:$G,$B:$B,$B672,$D:$D,"&lt;="&amp;$D672))</f>
        <v/>
      </c>
      <c r="I672" s="6" t="n"/>
      <c r="J672" s="6" t="n"/>
    </row>
    <row r="673">
      <c r="A673" s="2" t="n"/>
      <c r="B673" s="2" t="n"/>
      <c r="C673" s="2" t="n"/>
      <c r="D673" s="12" t="n"/>
      <c r="E673" s="2" t="n"/>
      <c r="F673" s="13" t="n"/>
      <c r="G673" s="13" t="n"/>
      <c r="H673" s="13">
        <f>IF($B673="","",SUMIFS($F:$F,$B:$B,$B673,$D:$D,"&lt;="&amp;$D673)-SUMIFS($G:$G,$B:$B,$B673,$D:$D,"&lt;="&amp;$D673))</f>
        <v/>
      </c>
      <c r="I673" s="2" t="n"/>
      <c r="J673" s="2" t="n"/>
    </row>
    <row r="674">
      <c r="A674" s="6" t="n"/>
      <c r="B674" s="6" t="n"/>
      <c r="C674" s="6" t="n"/>
      <c r="D674" s="14" t="n"/>
      <c r="E674" s="6" t="n"/>
      <c r="F674" s="15" t="n"/>
      <c r="G674" s="15" t="n"/>
      <c r="H674" s="13">
        <f>IF($B674="","",SUMIFS($F:$F,$B:$B,$B674,$D:$D,"&lt;="&amp;$D674)-SUMIFS($G:$G,$B:$B,$B674,$D:$D,"&lt;="&amp;$D674))</f>
        <v/>
      </c>
      <c r="I674" s="6" t="n"/>
      <c r="J674" s="6" t="n"/>
    </row>
    <row r="675">
      <c r="A675" s="2" t="n"/>
      <c r="B675" s="2" t="n"/>
      <c r="C675" s="2" t="n"/>
      <c r="D675" s="12" t="n"/>
      <c r="E675" s="2" t="n"/>
      <c r="F675" s="13" t="n"/>
      <c r="G675" s="13" t="n"/>
      <c r="H675" s="13">
        <f>IF($B675="","",SUMIFS($F:$F,$B:$B,$B675,$D:$D,"&lt;="&amp;$D675)-SUMIFS($G:$G,$B:$B,$B675,$D:$D,"&lt;="&amp;$D675))</f>
        <v/>
      </c>
      <c r="I675" s="2" t="n"/>
      <c r="J675" s="2" t="n"/>
    </row>
    <row r="676">
      <c r="A676" s="6" t="n"/>
      <c r="B676" s="6" t="n"/>
      <c r="C676" s="6" t="n"/>
      <c r="D676" s="14" t="n"/>
      <c r="E676" s="6" t="n"/>
      <c r="F676" s="15" t="n"/>
      <c r="G676" s="15" t="n"/>
      <c r="H676" s="13">
        <f>IF($B676="","",SUMIFS($F:$F,$B:$B,$B676,$D:$D,"&lt;="&amp;$D676)-SUMIFS($G:$G,$B:$B,$B676,$D:$D,"&lt;="&amp;$D676))</f>
        <v/>
      </c>
      <c r="I676" s="6" t="n"/>
      <c r="J676" s="6" t="n"/>
    </row>
    <row r="677">
      <c r="A677" s="2" t="n"/>
      <c r="B677" s="2" t="n"/>
      <c r="C677" s="2" t="n"/>
      <c r="D677" s="12" t="n"/>
      <c r="E677" s="2" t="n"/>
      <c r="F677" s="13" t="n"/>
      <c r="G677" s="13" t="n"/>
      <c r="H677" s="13">
        <f>IF($B677="","",SUMIFS($F:$F,$B:$B,$B677,$D:$D,"&lt;="&amp;$D677)-SUMIFS($G:$G,$B:$B,$B677,$D:$D,"&lt;="&amp;$D677))</f>
        <v/>
      </c>
      <c r="I677" s="2" t="n"/>
      <c r="J677" s="2" t="n"/>
    </row>
    <row r="678">
      <c r="A678" s="6" t="n"/>
      <c r="B678" s="6" t="n"/>
      <c r="C678" s="6" t="n"/>
      <c r="D678" s="14" t="n"/>
      <c r="E678" s="6" t="n"/>
      <c r="F678" s="15" t="n"/>
      <c r="G678" s="15" t="n"/>
      <c r="H678" s="13">
        <f>IF($B678="","",SUMIFS($F:$F,$B:$B,$B678,$D:$D,"&lt;="&amp;$D678)-SUMIFS($G:$G,$B:$B,$B678,$D:$D,"&lt;="&amp;$D678))</f>
        <v/>
      </c>
      <c r="I678" s="6" t="n"/>
      <c r="J678" s="6" t="n"/>
    </row>
    <row r="679">
      <c r="A679" s="2" t="n"/>
      <c r="B679" s="2" t="n"/>
      <c r="C679" s="2" t="n"/>
      <c r="D679" s="12" t="n"/>
      <c r="E679" s="2" t="n"/>
      <c r="F679" s="13" t="n"/>
      <c r="G679" s="13" t="n"/>
      <c r="H679" s="13">
        <f>IF($B679="","",SUMIFS($F:$F,$B:$B,$B679,$D:$D,"&lt;="&amp;$D679)-SUMIFS($G:$G,$B:$B,$B679,$D:$D,"&lt;="&amp;$D679))</f>
        <v/>
      </c>
      <c r="I679" s="2" t="n"/>
      <c r="J679" s="2" t="n"/>
    </row>
    <row r="680">
      <c r="A680" s="6" t="n"/>
      <c r="B680" s="6" t="n"/>
      <c r="C680" s="6" t="n"/>
      <c r="D680" s="14" t="n"/>
      <c r="E680" s="6" t="n"/>
      <c r="F680" s="15" t="n"/>
      <c r="G680" s="15" t="n"/>
      <c r="H680" s="13">
        <f>IF($B680="","",SUMIFS($F:$F,$B:$B,$B680,$D:$D,"&lt;="&amp;$D680)-SUMIFS($G:$G,$B:$B,$B680,$D:$D,"&lt;="&amp;$D680))</f>
        <v/>
      </c>
      <c r="I680" s="6" t="n"/>
      <c r="J680" s="6" t="n"/>
    </row>
    <row r="681">
      <c r="A681" s="2" t="n"/>
      <c r="B681" s="2" t="n"/>
      <c r="C681" s="2" t="n"/>
      <c r="D681" s="12" t="n"/>
      <c r="E681" s="2" t="n"/>
      <c r="F681" s="13" t="n"/>
      <c r="G681" s="13" t="n"/>
      <c r="H681" s="13">
        <f>IF($B681="","",SUMIFS($F:$F,$B:$B,$B681,$D:$D,"&lt;="&amp;$D681)-SUMIFS($G:$G,$B:$B,$B681,$D:$D,"&lt;="&amp;$D681))</f>
        <v/>
      </c>
      <c r="I681" s="2" t="n"/>
      <c r="J681" s="2" t="n"/>
    </row>
    <row r="682">
      <c r="A682" s="6" t="n"/>
      <c r="B682" s="6" t="n"/>
      <c r="C682" s="6" t="n"/>
      <c r="D682" s="14" t="n"/>
      <c r="E682" s="6" t="n"/>
      <c r="F682" s="15" t="n"/>
      <c r="G682" s="15" t="n"/>
      <c r="H682" s="13">
        <f>IF($B682="","",SUMIFS($F:$F,$B:$B,$B682,$D:$D,"&lt;="&amp;$D682)-SUMIFS($G:$G,$B:$B,$B682,$D:$D,"&lt;="&amp;$D682))</f>
        <v/>
      </c>
      <c r="I682" s="6" t="n"/>
      <c r="J682" s="6" t="n"/>
    </row>
    <row r="683">
      <c r="A683" s="2" t="n"/>
      <c r="B683" s="2" t="n"/>
      <c r="C683" s="2" t="n"/>
      <c r="D683" s="12" t="n"/>
      <c r="E683" s="2" t="n"/>
      <c r="F683" s="13" t="n"/>
      <c r="G683" s="13" t="n"/>
      <c r="H683" s="13">
        <f>IF($B683="","",SUMIFS($F:$F,$B:$B,$B683,$D:$D,"&lt;="&amp;$D683)-SUMIFS($G:$G,$B:$B,$B683,$D:$D,"&lt;="&amp;$D683))</f>
        <v/>
      </c>
      <c r="I683" s="2" t="n"/>
      <c r="J683" s="2" t="n"/>
    </row>
    <row r="684">
      <c r="A684" s="6" t="n"/>
      <c r="B684" s="6" t="n"/>
      <c r="C684" s="6" t="n"/>
      <c r="D684" s="14" t="n"/>
      <c r="E684" s="6" t="n"/>
      <c r="F684" s="15" t="n"/>
      <c r="G684" s="15" t="n"/>
      <c r="H684" s="13">
        <f>IF($B684="","",SUMIFS($F:$F,$B:$B,$B684,$D:$D,"&lt;="&amp;$D684)-SUMIFS($G:$G,$B:$B,$B684,$D:$D,"&lt;="&amp;$D684))</f>
        <v/>
      </c>
      <c r="I684" s="6" t="n"/>
      <c r="J684" s="6" t="n"/>
    </row>
    <row r="685">
      <c r="A685" s="2" t="n"/>
      <c r="B685" s="2" t="n"/>
      <c r="C685" s="2" t="n"/>
      <c r="D685" s="12" t="n"/>
      <c r="E685" s="2" t="n"/>
      <c r="F685" s="13" t="n"/>
      <c r="G685" s="13" t="n"/>
      <c r="H685" s="13">
        <f>IF($B685="","",SUMIFS($F:$F,$B:$B,$B685,$D:$D,"&lt;="&amp;$D685)-SUMIFS($G:$G,$B:$B,$B685,$D:$D,"&lt;="&amp;$D685))</f>
        <v/>
      </c>
      <c r="I685" s="2" t="n"/>
      <c r="J685" s="2" t="n"/>
    </row>
    <row r="686">
      <c r="A686" s="6" t="n"/>
      <c r="B686" s="6" t="n"/>
      <c r="C686" s="6" t="n"/>
      <c r="D686" s="14" t="n"/>
      <c r="E686" s="6" t="n"/>
      <c r="F686" s="15" t="n"/>
      <c r="G686" s="15" t="n"/>
      <c r="H686" s="13">
        <f>IF($B686="","",SUMIFS($F:$F,$B:$B,$B686,$D:$D,"&lt;="&amp;$D686)-SUMIFS($G:$G,$B:$B,$B686,$D:$D,"&lt;="&amp;$D686))</f>
        <v/>
      </c>
      <c r="I686" s="6" t="n"/>
      <c r="J686" s="6" t="n"/>
    </row>
    <row r="687">
      <c r="A687" s="2" t="n"/>
      <c r="B687" s="2" t="n"/>
      <c r="C687" s="2" t="n"/>
      <c r="D687" s="12" t="n"/>
      <c r="E687" s="2" t="n"/>
      <c r="F687" s="13" t="n"/>
      <c r="G687" s="13" t="n"/>
      <c r="H687" s="13">
        <f>IF($B687="","",SUMIFS($F:$F,$B:$B,$B687,$D:$D,"&lt;="&amp;$D687)-SUMIFS($G:$G,$B:$B,$B687,$D:$D,"&lt;="&amp;$D687))</f>
        <v/>
      </c>
      <c r="I687" s="2" t="n"/>
      <c r="J687" s="2" t="n"/>
    </row>
    <row r="688">
      <c r="A688" s="6" t="n"/>
      <c r="B688" s="6" t="n"/>
      <c r="C688" s="6" t="n"/>
      <c r="D688" s="14" t="n"/>
      <c r="E688" s="6" t="n"/>
      <c r="F688" s="15" t="n"/>
      <c r="G688" s="15" t="n"/>
      <c r="H688" s="13">
        <f>IF($B688="","",SUMIFS($F:$F,$B:$B,$B688,$D:$D,"&lt;="&amp;$D688)-SUMIFS($G:$G,$B:$B,$B688,$D:$D,"&lt;="&amp;$D688))</f>
        <v/>
      </c>
      <c r="I688" s="6" t="n"/>
      <c r="J688" s="6" t="n"/>
    </row>
    <row r="689">
      <c r="A689" s="2" t="n"/>
      <c r="B689" s="2" t="n"/>
      <c r="C689" s="2" t="n"/>
      <c r="D689" s="12" t="n"/>
      <c r="E689" s="2" t="n"/>
      <c r="F689" s="13" t="n"/>
      <c r="G689" s="13" t="n"/>
      <c r="H689" s="13">
        <f>IF($B689="","",SUMIFS($F:$F,$B:$B,$B689,$D:$D,"&lt;="&amp;$D689)-SUMIFS($G:$G,$B:$B,$B689,$D:$D,"&lt;="&amp;$D689))</f>
        <v/>
      </c>
      <c r="I689" s="2" t="n"/>
      <c r="J689" s="2" t="n"/>
    </row>
    <row r="690">
      <c r="A690" s="6" t="n"/>
      <c r="B690" s="6" t="n"/>
      <c r="C690" s="6" t="n"/>
      <c r="D690" s="14" t="n"/>
      <c r="E690" s="6" t="n"/>
      <c r="F690" s="15" t="n"/>
      <c r="G690" s="15" t="n"/>
      <c r="H690" s="13">
        <f>IF($B690="","",SUMIFS($F:$F,$B:$B,$B690,$D:$D,"&lt;="&amp;$D690)-SUMIFS($G:$G,$B:$B,$B690,$D:$D,"&lt;="&amp;$D690))</f>
        <v/>
      </c>
      <c r="I690" s="6" t="n"/>
      <c r="J690" s="6" t="n"/>
    </row>
    <row r="691">
      <c r="A691" s="2" t="n"/>
      <c r="B691" s="2" t="n"/>
      <c r="C691" s="2" t="n"/>
      <c r="D691" s="12" t="n"/>
      <c r="E691" s="2" t="n"/>
      <c r="F691" s="13" t="n"/>
      <c r="G691" s="13" t="n"/>
      <c r="H691" s="13">
        <f>IF($B691="","",SUMIFS($F:$F,$B:$B,$B691,$D:$D,"&lt;="&amp;$D691)-SUMIFS($G:$G,$B:$B,$B691,$D:$D,"&lt;="&amp;$D691))</f>
        <v/>
      </c>
      <c r="I691" s="2" t="n"/>
      <c r="J691" s="2" t="n"/>
    </row>
    <row r="692">
      <c r="A692" s="6" t="n"/>
      <c r="B692" s="6" t="n"/>
      <c r="C692" s="6" t="n"/>
      <c r="D692" s="14" t="n"/>
      <c r="E692" s="6" t="n"/>
      <c r="F692" s="15" t="n"/>
      <c r="G692" s="15" t="n"/>
      <c r="H692" s="13">
        <f>IF($B692="","",SUMIFS($F:$F,$B:$B,$B692,$D:$D,"&lt;="&amp;$D692)-SUMIFS($G:$G,$B:$B,$B692,$D:$D,"&lt;="&amp;$D692))</f>
        <v/>
      </c>
      <c r="I692" s="6" t="n"/>
      <c r="J692" s="6" t="n"/>
    </row>
    <row r="693">
      <c r="A693" s="2" t="n"/>
      <c r="B693" s="2" t="n"/>
      <c r="C693" s="2" t="n"/>
      <c r="D693" s="12" t="n"/>
      <c r="E693" s="2" t="n"/>
      <c r="F693" s="13" t="n"/>
      <c r="G693" s="13" t="n"/>
      <c r="H693" s="13">
        <f>IF($B693="","",SUMIFS($F:$F,$B:$B,$B693,$D:$D,"&lt;="&amp;$D693)-SUMIFS($G:$G,$B:$B,$B693,$D:$D,"&lt;="&amp;$D693))</f>
        <v/>
      </c>
      <c r="I693" s="2" t="n"/>
      <c r="J693" s="2" t="n"/>
    </row>
    <row r="694">
      <c r="A694" s="6" t="n"/>
      <c r="B694" s="6" t="n"/>
      <c r="C694" s="6" t="n"/>
      <c r="D694" s="14" t="n"/>
      <c r="E694" s="6" t="n"/>
      <c r="F694" s="15" t="n"/>
      <c r="G694" s="15" t="n"/>
      <c r="H694" s="13">
        <f>IF($B694="","",SUMIFS($F:$F,$B:$B,$B694,$D:$D,"&lt;="&amp;$D694)-SUMIFS($G:$G,$B:$B,$B694,$D:$D,"&lt;="&amp;$D694))</f>
        <v/>
      </c>
      <c r="I694" s="6" t="n"/>
      <c r="J694" s="6" t="n"/>
    </row>
    <row r="695">
      <c r="A695" s="2" t="n"/>
      <c r="B695" s="2" t="n"/>
      <c r="C695" s="2" t="n"/>
      <c r="D695" s="12" t="n"/>
      <c r="E695" s="2" t="n"/>
      <c r="F695" s="13" t="n"/>
      <c r="G695" s="13" t="n"/>
      <c r="H695" s="13">
        <f>IF($B695="","",SUMIFS($F:$F,$B:$B,$B695,$D:$D,"&lt;="&amp;$D695)-SUMIFS($G:$G,$B:$B,$B695,$D:$D,"&lt;="&amp;$D695))</f>
        <v/>
      </c>
      <c r="I695" s="2" t="n"/>
      <c r="J695" s="2" t="n"/>
    </row>
    <row r="696">
      <c r="A696" s="6" t="n"/>
      <c r="B696" s="6" t="n"/>
      <c r="C696" s="6" t="n"/>
      <c r="D696" s="14" t="n"/>
      <c r="E696" s="6" t="n"/>
      <c r="F696" s="15" t="n"/>
      <c r="G696" s="15" t="n"/>
      <c r="H696" s="13">
        <f>IF($B696="","",SUMIFS($F:$F,$B:$B,$B696,$D:$D,"&lt;="&amp;$D696)-SUMIFS($G:$G,$B:$B,$B696,$D:$D,"&lt;="&amp;$D696))</f>
        <v/>
      </c>
      <c r="I696" s="6" t="n"/>
      <c r="J696" s="6" t="n"/>
    </row>
    <row r="697">
      <c r="A697" s="2" t="n"/>
      <c r="B697" s="2" t="n"/>
      <c r="C697" s="2" t="n"/>
      <c r="D697" s="12" t="n"/>
      <c r="E697" s="2" t="n"/>
      <c r="F697" s="13" t="n"/>
      <c r="G697" s="13" t="n"/>
      <c r="H697" s="13">
        <f>IF($B697="","",SUMIFS($F:$F,$B:$B,$B697,$D:$D,"&lt;="&amp;$D697)-SUMIFS($G:$G,$B:$B,$B697,$D:$D,"&lt;="&amp;$D697))</f>
        <v/>
      </c>
      <c r="I697" s="2" t="n"/>
      <c r="J697" s="2" t="n"/>
    </row>
    <row r="698">
      <c r="A698" s="6" t="n"/>
      <c r="B698" s="6" t="n"/>
      <c r="C698" s="6" t="n"/>
      <c r="D698" s="14" t="n"/>
      <c r="E698" s="6" t="n"/>
      <c r="F698" s="15" t="n"/>
      <c r="G698" s="15" t="n"/>
      <c r="H698" s="13">
        <f>IF($B698="","",SUMIFS($F:$F,$B:$B,$B698,$D:$D,"&lt;="&amp;$D698)-SUMIFS($G:$G,$B:$B,$B698,$D:$D,"&lt;="&amp;$D698))</f>
        <v/>
      </c>
      <c r="I698" s="6" t="n"/>
      <c r="J698" s="6" t="n"/>
    </row>
    <row r="699">
      <c r="A699" s="2" t="n"/>
      <c r="B699" s="2" t="n"/>
      <c r="C699" s="2" t="n"/>
      <c r="D699" s="12" t="n"/>
      <c r="E699" s="2" t="n"/>
      <c r="F699" s="13" t="n"/>
      <c r="G699" s="13" t="n"/>
      <c r="H699" s="13">
        <f>IF($B699="","",SUMIFS($F:$F,$B:$B,$B699,$D:$D,"&lt;="&amp;$D699)-SUMIFS($G:$G,$B:$B,$B699,$D:$D,"&lt;="&amp;$D699))</f>
        <v/>
      </c>
      <c r="I699" s="2" t="n"/>
      <c r="J699" s="2" t="n"/>
    </row>
    <row r="700">
      <c r="A700" s="6" t="n"/>
      <c r="B700" s="6" t="n"/>
      <c r="C700" s="6" t="n"/>
      <c r="D700" s="14" t="n"/>
      <c r="E700" s="6" t="n"/>
      <c r="F700" s="15" t="n"/>
      <c r="G700" s="15" t="n"/>
      <c r="H700" s="13">
        <f>IF($B700="","",SUMIFS($F:$F,$B:$B,$B700,$D:$D,"&lt;="&amp;$D700)-SUMIFS($G:$G,$B:$B,$B700,$D:$D,"&lt;="&amp;$D700))</f>
        <v/>
      </c>
      <c r="I700" s="6" t="n"/>
      <c r="J700" s="6" t="n"/>
    </row>
    <row r="701">
      <c r="A701" s="2" t="n"/>
      <c r="B701" s="2" t="n"/>
      <c r="C701" s="2" t="n"/>
      <c r="D701" s="12" t="n"/>
      <c r="E701" s="2" t="n"/>
      <c r="F701" s="13" t="n"/>
      <c r="G701" s="13" t="n"/>
      <c r="H701" s="13">
        <f>IF($B701="","",SUMIFS($F:$F,$B:$B,$B701,$D:$D,"&lt;="&amp;$D701)-SUMIFS($G:$G,$B:$B,$B701,$D:$D,"&lt;="&amp;$D701))</f>
        <v/>
      </c>
      <c r="I701" s="2" t="n"/>
      <c r="J701" s="2" t="n"/>
    </row>
    <row r="702">
      <c r="A702" s="6" t="n"/>
      <c r="B702" s="6" t="n"/>
      <c r="C702" s="6" t="n"/>
      <c r="D702" s="14" t="n"/>
      <c r="E702" s="6" t="n"/>
      <c r="F702" s="15" t="n"/>
      <c r="G702" s="15" t="n"/>
      <c r="H702" s="13">
        <f>IF($B702="","",SUMIFS($F:$F,$B:$B,$B702,$D:$D,"&lt;="&amp;$D702)-SUMIFS($G:$G,$B:$B,$B702,$D:$D,"&lt;="&amp;$D702))</f>
        <v/>
      </c>
      <c r="I702" s="6" t="n"/>
      <c r="J702" s="6" t="n"/>
    </row>
    <row r="703">
      <c r="A703" s="2" t="n"/>
      <c r="B703" s="2" t="n"/>
      <c r="C703" s="2" t="n"/>
      <c r="D703" s="12" t="n"/>
      <c r="E703" s="2" t="n"/>
      <c r="F703" s="13" t="n"/>
      <c r="G703" s="13" t="n"/>
      <c r="H703" s="13">
        <f>IF($B703="","",SUMIFS($F:$F,$B:$B,$B703,$D:$D,"&lt;="&amp;$D703)-SUMIFS($G:$G,$B:$B,$B703,$D:$D,"&lt;="&amp;$D703))</f>
        <v/>
      </c>
      <c r="I703" s="2" t="n"/>
      <c r="J703" s="2" t="n"/>
    </row>
    <row r="704">
      <c r="A704" s="6" t="n"/>
      <c r="B704" s="6" t="n"/>
      <c r="C704" s="6" t="n"/>
      <c r="D704" s="14" t="n"/>
      <c r="E704" s="6" t="n"/>
      <c r="F704" s="15" t="n"/>
      <c r="G704" s="15" t="n"/>
      <c r="H704" s="13">
        <f>IF($B704="","",SUMIFS($F:$F,$B:$B,$B704,$D:$D,"&lt;="&amp;$D704)-SUMIFS($G:$G,$B:$B,$B704,$D:$D,"&lt;="&amp;$D704))</f>
        <v/>
      </c>
      <c r="I704" s="6" t="n"/>
      <c r="J704" s="6" t="n"/>
    </row>
    <row r="705">
      <c r="A705" s="2" t="n"/>
      <c r="B705" s="2" t="n"/>
      <c r="C705" s="2" t="n"/>
      <c r="D705" s="12" t="n"/>
      <c r="E705" s="2" t="n"/>
      <c r="F705" s="13" t="n"/>
      <c r="G705" s="13" t="n"/>
      <c r="H705" s="13">
        <f>IF($B705="","",SUMIFS($F:$F,$B:$B,$B705,$D:$D,"&lt;="&amp;$D705)-SUMIFS($G:$G,$B:$B,$B705,$D:$D,"&lt;="&amp;$D705))</f>
        <v/>
      </c>
      <c r="I705" s="2" t="n"/>
      <c r="J705" s="2" t="n"/>
    </row>
    <row r="706">
      <c r="A706" s="6" t="n"/>
      <c r="B706" s="6" t="n"/>
      <c r="C706" s="6" t="n"/>
      <c r="D706" s="14" t="n"/>
      <c r="E706" s="6" t="n"/>
      <c r="F706" s="15" t="n"/>
      <c r="G706" s="15" t="n"/>
      <c r="H706" s="13">
        <f>IF($B706="","",SUMIFS($F:$F,$B:$B,$B706,$D:$D,"&lt;="&amp;$D706)-SUMIFS($G:$G,$B:$B,$B706,$D:$D,"&lt;="&amp;$D706))</f>
        <v/>
      </c>
      <c r="I706" s="6" t="n"/>
      <c r="J706" s="6" t="n"/>
    </row>
    <row r="707">
      <c r="A707" s="2" t="n"/>
      <c r="B707" s="2" t="n"/>
      <c r="C707" s="2" t="n"/>
      <c r="D707" s="12" t="n"/>
      <c r="E707" s="2" t="n"/>
      <c r="F707" s="13" t="n"/>
      <c r="G707" s="13" t="n"/>
      <c r="H707" s="13">
        <f>IF($B707="","",SUMIFS($F:$F,$B:$B,$B707,$D:$D,"&lt;="&amp;$D707)-SUMIFS($G:$G,$B:$B,$B707,$D:$D,"&lt;="&amp;$D707))</f>
        <v/>
      </c>
      <c r="I707" s="2" t="n"/>
      <c r="J707" s="2" t="n"/>
    </row>
    <row r="708">
      <c r="A708" s="6" t="n"/>
      <c r="B708" s="6" t="n"/>
      <c r="C708" s="6" t="n"/>
      <c r="D708" s="14" t="n"/>
      <c r="E708" s="6" t="n"/>
      <c r="F708" s="15" t="n"/>
      <c r="G708" s="15" t="n"/>
      <c r="H708" s="13">
        <f>IF($B708="","",SUMIFS($F:$F,$B:$B,$B708,$D:$D,"&lt;="&amp;$D708)-SUMIFS($G:$G,$B:$B,$B708,$D:$D,"&lt;="&amp;$D708))</f>
        <v/>
      </c>
      <c r="I708" s="6" t="n"/>
      <c r="J708" s="6" t="n"/>
    </row>
    <row r="709">
      <c r="A709" s="2" t="n"/>
      <c r="B709" s="2" t="n"/>
      <c r="C709" s="2" t="n"/>
      <c r="D709" s="12" t="n"/>
      <c r="E709" s="2" t="n"/>
      <c r="F709" s="13" t="n"/>
      <c r="G709" s="13" t="n"/>
      <c r="H709" s="13">
        <f>IF($B709="","",SUMIFS($F:$F,$B:$B,$B709,$D:$D,"&lt;="&amp;$D709)-SUMIFS($G:$G,$B:$B,$B709,$D:$D,"&lt;="&amp;$D709))</f>
        <v/>
      </c>
      <c r="I709" s="2" t="n"/>
      <c r="J709" s="2" t="n"/>
    </row>
    <row r="710">
      <c r="A710" s="6" t="n"/>
      <c r="B710" s="6" t="n"/>
      <c r="C710" s="6" t="n"/>
      <c r="D710" s="14" t="n"/>
      <c r="E710" s="6" t="n"/>
      <c r="F710" s="15" t="n"/>
      <c r="G710" s="15" t="n"/>
      <c r="H710" s="13">
        <f>IF($B710="","",SUMIFS($F:$F,$B:$B,$B710,$D:$D,"&lt;="&amp;$D710)-SUMIFS($G:$G,$B:$B,$B710,$D:$D,"&lt;="&amp;$D710))</f>
        <v/>
      </c>
      <c r="I710" s="6" t="n"/>
      <c r="J710" s="6" t="n"/>
    </row>
    <row r="711">
      <c r="A711" s="2" t="n"/>
      <c r="B711" s="2" t="n"/>
      <c r="C711" s="2" t="n"/>
      <c r="D711" s="12" t="n"/>
      <c r="E711" s="2" t="n"/>
      <c r="F711" s="13" t="n"/>
      <c r="G711" s="13" t="n"/>
      <c r="H711" s="13">
        <f>IF($B711="","",SUMIFS($F:$F,$B:$B,$B711,$D:$D,"&lt;="&amp;$D711)-SUMIFS($G:$G,$B:$B,$B711,$D:$D,"&lt;="&amp;$D711))</f>
        <v/>
      </c>
      <c r="I711" s="2" t="n"/>
      <c r="J711" s="2" t="n"/>
    </row>
    <row r="712">
      <c r="A712" s="6" t="n"/>
      <c r="B712" s="6" t="n"/>
      <c r="C712" s="6" t="n"/>
      <c r="D712" s="14" t="n"/>
      <c r="E712" s="6" t="n"/>
      <c r="F712" s="15" t="n"/>
      <c r="G712" s="15" t="n"/>
      <c r="H712" s="13">
        <f>IF($B712="","",SUMIFS($F:$F,$B:$B,$B712,$D:$D,"&lt;="&amp;$D712)-SUMIFS($G:$G,$B:$B,$B712,$D:$D,"&lt;="&amp;$D712))</f>
        <v/>
      </c>
      <c r="I712" s="6" t="n"/>
      <c r="J712" s="6" t="n"/>
    </row>
    <row r="713">
      <c r="A713" s="2" t="n"/>
      <c r="B713" s="2" t="n"/>
      <c r="C713" s="2" t="n"/>
      <c r="D713" s="12" t="n"/>
      <c r="E713" s="2" t="n"/>
      <c r="F713" s="13" t="n"/>
      <c r="G713" s="13" t="n"/>
      <c r="H713" s="13">
        <f>IF($B713="","",SUMIFS($F:$F,$B:$B,$B713,$D:$D,"&lt;="&amp;$D713)-SUMIFS($G:$G,$B:$B,$B713,$D:$D,"&lt;="&amp;$D713))</f>
        <v/>
      </c>
      <c r="I713" s="2" t="n"/>
      <c r="J713" s="2" t="n"/>
    </row>
    <row r="714">
      <c r="A714" s="6" t="n"/>
      <c r="B714" s="6" t="n"/>
      <c r="C714" s="6" t="n"/>
      <c r="D714" s="14" t="n"/>
      <c r="E714" s="6" t="n"/>
      <c r="F714" s="15" t="n"/>
      <c r="G714" s="15" t="n"/>
      <c r="H714" s="13">
        <f>IF($B714="","",SUMIFS($F:$F,$B:$B,$B714,$D:$D,"&lt;="&amp;$D714)-SUMIFS($G:$G,$B:$B,$B714,$D:$D,"&lt;="&amp;$D714))</f>
        <v/>
      </c>
      <c r="I714" s="6" t="n"/>
      <c r="J714" s="6" t="n"/>
    </row>
    <row r="715">
      <c r="A715" s="2" t="n"/>
      <c r="B715" s="2" t="n"/>
      <c r="C715" s="2" t="n"/>
      <c r="D715" s="12" t="n"/>
      <c r="E715" s="2" t="n"/>
      <c r="F715" s="13" t="n"/>
      <c r="G715" s="13" t="n"/>
      <c r="H715" s="13">
        <f>IF($B715="","",SUMIFS($F:$F,$B:$B,$B715,$D:$D,"&lt;="&amp;$D715)-SUMIFS($G:$G,$B:$B,$B715,$D:$D,"&lt;="&amp;$D715))</f>
        <v/>
      </c>
      <c r="I715" s="2" t="n"/>
      <c r="J715" s="2" t="n"/>
    </row>
    <row r="716">
      <c r="A716" s="6" t="n"/>
      <c r="B716" s="6" t="n"/>
      <c r="C716" s="6" t="n"/>
      <c r="D716" s="14" t="n"/>
      <c r="E716" s="6" t="n"/>
      <c r="F716" s="15" t="n"/>
      <c r="G716" s="15" t="n"/>
      <c r="H716" s="13">
        <f>IF($B716="","",SUMIFS($F:$F,$B:$B,$B716,$D:$D,"&lt;="&amp;$D716)-SUMIFS($G:$G,$B:$B,$B716,$D:$D,"&lt;="&amp;$D716))</f>
        <v/>
      </c>
      <c r="I716" s="6" t="n"/>
      <c r="J716" s="6" t="n"/>
    </row>
    <row r="717">
      <c r="A717" s="2" t="n"/>
      <c r="B717" s="2" t="n"/>
      <c r="C717" s="2" t="n"/>
      <c r="D717" s="12" t="n"/>
      <c r="E717" s="2" t="n"/>
      <c r="F717" s="13" t="n"/>
      <c r="G717" s="13" t="n"/>
      <c r="H717" s="13">
        <f>IF($B717="","",SUMIFS($F:$F,$B:$B,$B717,$D:$D,"&lt;="&amp;$D717)-SUMIFS($G:$G,$B:$B,$B717,$D:$D,"&lt;="&amp;$D717))</f>
        <v/>
      </c>
      <c r="I717" s="2" t="n"/>
      <c r="J717" s="2" t="n"/>
    </row>
    <row r="718">
      <c r="A718" s="6" t="n"/>
      <c r="B718" s="6" t="n"/>
      <c r="C718" s="6" t="n"/>
      <c r="D718" s="14" t="n"/>
      <c r="E718" s="6" t="n"/>
      <c r="F718" s="15" t="n"/>
      <c r="G718" s="15" t="n"/>
      <c r="H718" s="13">
        <f>IF($B718="","",SUMIFS($F:$F,$B:$B,$B718,$D:$D,"&lt;="&amp;$D718)-SUMIFS($G:$G,$B:$B,$B718,$D:$D,"&lt;="&amp;$D718))</f>
        <v/>
      </c>
      <c r="I718" s="6" t="n"/>
      <c r="J718" s="6" t="n"/>
    </row>
    <row r="719">
      <c r="A719" s="2" t="n"/>
      <c r="B719" s="2" t="n"/>
      <c r="C719" s="2" t="n"/>
      <c r="D719" s="12" t="n"/>
      <c r="E719" s="2" t="n"/>
      <c r="F719" s="13" t="n"/>
      <c r="G719" s="13" t="n"/>
      <c r="H719" s="13">
        <f>IF($B719="","",SUMIFS($F:$F,$B:$B,$B719,$D:$D,"&lt;="&amp;$D719)-SUMIFS($G:$G,$B:$B,$B719,$D:$D,"&lt;="&amp;$D719))</f>
        <v/>
      </c>
      <c r="I719" s="2" t="n"/>
      <c r="J719" s="2" t="n"/>
    </row>
    <row r="720">
      <c r="A720" s="6" t="n"/>
      <c r="B720" s="6" t="n"/>
      <c r="C720" s="6" t="n"/>
      <c r="D720" s="14" t="n"/>
      <c r="E720" s="6" t="n"/>
      <c r="F720" s="15" t="n"/>
      <c r="G720" s="15" t="n"/>
      <c r="H720" s="13">
        <f>IF($B720="","",SUMIFS($F:$F,$B:$B,$B720,$D:$D,"&lt;="&amp;$D720)-SUMIFS($G:$G,$B:$B,$B720,$D:$D,"&lt;="&amp;$D720))</f>
        <v/>
      </c>
      <c r="I720" s="6" t="n"/>
      <c r="J720" s="6" t="n"/>
    </row>
    <row r="721">
      <c r="A721" s="2" t="n"/>
      <c r="B721" s="2" t="n"/>
      <c r="C721" s="2" t="n"/>
      <c r="D721" s="12" t="n"/>
      <c r="E721" s="2" t="n"/>
      <c r="F721" s="13" t="n"/>
      <c r="G721" s="13" t="n"/>
      <c r="H721" s="13">
        <f>IF($B721="","",SUMIFS($F:$F,$B:$B,$B721,$D:$D,"&lt;="&amp;$D721)-SUMIFS($G:$G,$B:$B,$B721,$D:$D,"&lt;="&amp;$D721))</f>
        <v/>
      </c>
      <c r="I721" s="2" t="n"/>
      <c r="J721" s="2" t="n"/>
    </row>
    <row r="722">
      <c r="A722" s="6" t="n"/>
      <c r="B722" s="6" t="n"/>
      <c r="C722" s="6" t="n"/>
      <c r="D722" s="14" t="n"/>
      <c r="E722" s="6" t="n"/>
      <c r="F722" s="15" t="n"/>
      <c r="G722" s="15" t="n"/>
      <c r="H722" s="13">
        <f>IF($B722="","",SUMIFS($F:$F,$B:$B,$B722,$D:$D,"&lt;="&amp;$D722)-SUMIFS($G:$G,$B:$B,$B722,$D:$D,"&lt;="&amp;$D722))</f>
        <v/>
      </c>
      <c r="I722" s="6" t="n"/>
      <c r="J722" s="6" t="n"/>
    </row>
    <row r="723">
      <c r="A723" s="2" t="n"/>
      <c r="B723" s="2" t="n"/>
      <c r="C723" s="2" t="n"/>
      <c r="D723" s="12" t="n"/>
      <c r="E723" s="2" t="n"/>
      <c r="F723" s="13" t="n"/>
      <c r="G723" s="13" t="n"/>
      <c r="H723" s="13">
        <f>IF($B723="","",SUMIFS($F:$F,$B:$B,$B723,$D:$D,"&lt;="&amp;$D723)-SUMIFS($G:$G,$B:$B,$B723,$D:$D,"&lt;="&amp;$D723))</f>
        <v/>
      </c>
      <c r="I723" s="2" t="n"/>
      <c r="J723" s="2" t="n"/>
    </row>
    <row r="724">
      <c r="A724" s="6" t="n"/>
      <c r="B724" s="6" t="n"/>
      <c r="C724" s="6" t="n"/>
      <c r="D724" s="14" t="n"/>
      <c r="E724" s="6" t="n"/>
      <c r="F724" s="15" t="n"/>
      <c r="G724" s="15" t="n"/>
      <c r="H724" s="13">
        <f>IF($B724="","",SUMIFS($F:$F,$B:$B,$B724,$D:$D,"&lt;="&amp;$D724)-SUMIFS($G:$G,$B:$B,$B724,$D:$D,"&lt;="&amp;$D724))</f>
        <v/>
      </c>
      <c r="I724" s="6" t="n"/>
      <c r="J724" s="6" t="n"/>
    </row>
    <row r="725">
      <c r="A725" s="2" t="n"/>
      <c r="B725" s="2" t="n"/>
      <c r="C725" s="2" t="n"/>
      <c r="D725" s="12" t="n"/>
      <c r="E725" s="2" t="n"/>
      <c r="F725" s="13" t="n"/>
      <c r="G725" s="13" t="n"/>
      <c r="H725" s="13">
        <f>IF($B725="","",SUMIFS($F:$F,$B:$B,$B725,$D:$D,"&lt;="&amp;$D725)-SUMIFS($G:$G,$B:$B,$B725,$D:$D,"&lt;="&amp;$D725))</f>
        <v/>
      </c>
      <c r="I725" s="2" t="n"/>
      <c r="J725" s="2" t="n"/>
    </row>
    <row r="726">
      <c r="A726" s="6" t="n"/>
      <c r="B726" s="6" t="n"/>
      <c r="C726" s="6" t="n"/>
      <c r="D726" s="14" t="n"/>
      <c r="E726" s="6" t="n"/>
      <c r="F726" s="15" t="n"/>
      <c r="G726" s="15" t="n"/>
      <c r="H726" s="13">
        <f>IF($B726="","",SUMIFS($F:$F,$B:$B,$B726,$D:$D,"&lt;="&amp;$D726)-SUMIFS($G:$G,$B:$B,$B726,$D:$D,"&lt;="&amp;$D726))</f>
        <v/>
      </c>
      <c r="I726" s="6" t="n"/>
      <c r="J726" s="6" t="n"/>
    </row>
    <row r="727">
      <c r="A727" s="2" t="n"/>
      <c r="B727" s="2" t="n"/>
      <c r="C727" s="2" t="n"/>
      <c r="D727" s="12" t="n"/>
      <c r="E727" s="2" t="n"/>
      <c r="F727" s="13" t="n"/>
      <c r="G727" s="13" t="n"/>
      <c r="H727" s="13">
        <f>IF($B727="","",SUMIFS($F:$F,$B:$B,$B727,$D:$D,"&lt;="&amp;$D727)-SUMIFS($G:$G,$B:$B,$B727,$D:$D,"&lt;="&amp;$D727))</f>
        <v/>
      </c>
      <c r="I727" s="2" t="n"/>
      <c r="J727" s="2" t="n"/>
    </row>
    <row r="728">
      <c r="A728" s="6" t="n"/>
      <c r="B728" s="6" t="n"/>
      <c r="C728" s="6" t="n"/>
      <c r="D728" s="14" t="n"/>
      <c r="E728" s="6" t="n"/>
      <c r="F728" s="15" t="n"/>
      <c r="G728" s="15" t="n"/>
      <c r="H728" s="13">
        <f>IF($B728="","",SUMIFS($F:$F,$B:$B,$B728,$D:$D,"&lt;="&amp;$D728)-SUMIFS($G:$G,$B:$B,$B728,$D:$D,"&lt;="&amp;$D728))</f>
        <v/>
      </c>
      <c r="I728" s="6" t="n"/>
      <c r="J728" s="6" t="n"/>
    </row>
    <row r="729">
      <c r="A729" s="2" t="n"/>
      <c r="B729" s="2" t="n"/>
      <c r="C729" s="2" t="n"/>
      <c r="D729" s="12" t="n"/>
      <c r="E729" s="2" t="n"/>
      <c r="F729" s="13" t="n"/>
      <c r="G729" s="13" t="n"/>
      <c r="H729" s="13">
        <f>IF($B729="","",SUMIFS($F:$F,$B:$B,$B729,$D:$D,"&lt;="&amp;$D729)-SUMIFS($G:$G,$B:$B,$B729,$D:$D,"&lt;="&amp;$D729))</f>
        <v/>
      </c>
      <c r="I729" s="2" t="n"/>
      <c r="J729" s="2" t="n"/>
    </row>
    <row r="730">
      <c r="A730" s="6" t="n"/>
      <c r="B730" s="6" t="n"/>
      <c r="C730" s="6" t="n"/>
      <c r="D730" s="14" t="n"/>
      <c r="E730" s="6" t="n"/>
      <c r="F730" s="15" t="n"/>
      <c r="G730" s="15" t="n"/>
      <c r="H730" s="13">
        <f>IF($B730="","",SUMIFS($F:$F,$B:$B,$B730,$D:$D,"&lt;="&amp;$D730)-SUMIFS($G:$G,$B:$B,$B730,$D:$D,"&lt;="&amp;$D730))</f>
        <v/>
      </c>
      <c r="I730" s="6" t="n"/>
      <c r="J730" s="6" t="n"/>
    </row>
    <row r="731">
      <c r="A731" s="2" t="n"/>
      <c r="B731" s="2" t="n"/>
      <c r="C731" s="2" t="n"/>
      <c r="D731" s="12" t="n"/>
      <c r="E731" s="2" t="n"/>
      <c r="F731" s="13" t="n"/>
      <c r="G731" s="13" t="n"/>
      <c r="H731" s="13">
        <f>IF($B731="","",SUMIFS($F:$F,$B:$B,$B731,$D:$D,"&lt;="&amp;$D731)-SUMIFS($G:$G,$B:$B,$B731,$D:$D,"&lt;="&amp;$D731))</f>
        <v/>
      </c>
      <c r="I731" s="2" t="n"/>
      <c r="J731" s="2" t="n"/>
    </row>
    <row r="732">
      <c r="A732" s="6" t="n"/>
      <c r="B732" s="6" t="n"/>
      <c r="C732" s="6" t="n"/>
      <c r="D732" s="14" t="n"/>
      <c r="E732" s="6" t="n"/>
      <c r="F732" s="15" t="n"/>
      <c r="G732" s="15" t="n"/>
      <c r="H732" s="13">
        <f>IF($B732="","",SUMIFS($F:$F,$B:$B,$B732,$D:$D,"&lt;="&amp;$D732)-SUMIFS($G:$G,$B:$B,$B732,$D:$D,"&lt;="&amp;$D732))</f>
        <v/>
      </c>
      <c r="I732" s="6" t="n"/>
      <c r="J732" s="6" t="n"/>
    </row>
    <row r="733">
      <c r="A733" s="2" t="n"/>
      <c r="B733" s="2" t="n"/>
      <c r="C733" s="2" t="n"/>
      <c r="D733" s="12" t="n"/>
      <c r="E733" s="2" t="n"/>
      <c r="F733" s="13" t="n"/>
      <c r="G733" s="13" t="n"/>
      <c r="H733" s="13">
        <f>IF($B733="","",SUMIFS($F:$F,$B:$B,$B733,$D:$D,"&lt;="&amp;$D733)-SUMIFS($G:$G,$B:$B,$B733,$D:$D,"&lt;="&amp;$D733))</f>
        <v/>
      </c>
      <c r="I733" s="2" t="n"/>
      <c r="J733" s="2" t="n"/>
    </row>
    <row r="734">
      <c r="A734" s="6" t="n"/>
      <c r="B734" s="6" t="n"/>
      <c r="C734" s="6" t="n"/>
      <c r="D734" s="14" t="n"/>
      <c r="E734" s="6" t="n"/>
      <c r="F734" s="15" t="n"/>
      <c r="G734" s="15" t="n"/>
      <c r="H734" s="13">
        <f>IF($B734="","",SUMIFS($F:$F,$B:$B,$B734,$D:$D,"&lt;="&amp;$D734)-SUMIFS($G:$G,$B:$B,$B734,$D:$D,"&lt;="&amp;$D734))</f>
        <v/>
      </c>
      <c r="I734" s="6" t="n"/>
      <c r="J734" s="6" t="n"/>
    </row>
    <row r="735">
      <c r="A735" s="2" t="n"/>
      <c r="B735" s="2" t="n"/>
      <c r="C735" s="2" t="n"/>
      <c r="D735" s="12" t="n"/>
      <c r="E735" s="2" t="n"/>
      <c r="F735" s="13" t="n"/>
      <c r="G735" s="13" t="n"/>
      <c r="H735" s="13">
        <f>IF($B735="","",SUMIFS($F:$F,$B:$B,$B735,$D:$D,"&lt;="&amp;$D735)-SUMIFS($G:$G,$B:$B,$B735,$D:$D,"&lt;="&amp;$D735))</f>
        <v/>
      </c>
      <c r="I735" s="2" t="n"/>
      <c r="J735" s="2" t="n"/>
    </row>
    <row r="736">
      <c r="A736" s="6" t="n"/>
      <c r="B736" s="6" t="n"/>
      <c r="C736" s="6" t="n"/>
      <c r="D736" s="14" t="n"/>
      <c r="E736" s="6" t="n"/>
      <c r="F736" s="15" t="n"/>
      <c r="G736" s="15" t="n"/>
      <c r="H736" s="13">
        <f>IF($B736="","",SUMIFS($F:$F,$B:$B,$B736,$D:$D,"&lt;="&amp;$D736)-SUMIFS($G:$G,$B:$B,$B736,$D:$D,"&lt;="&amp;$D736))</f>
        <v/>
      </c>
      <c r="I736" s="6" t="n"/>
      <c r="J736" s="6" t="n"/>
    </row>
    <row r="737">
      <c r="A737" s="2" t="n"/>
      <c r="B737" s="2" t="n"/>
      <c r="C737" s="2" t="n"/>
      <c r="D737" s="12" t="n"/>
      <c r="E737" s="2" t="n"/>
      <c r="F737" s="13" t="n"/>
      <c r="G737" s="13" t="n"/>
      <c r="H737" s="13">
        <f>IF($B737="","",SUMIFS($F:$F,$B:$B,$B737,$D:$D,"&lt;="&amp;$D737)-SUMIFS($G:$G,$B:$B,$B737,$D:$D,"&lt;="&amp;$D737))</f>
        <v/>
      </c>
      <c r="I737" s="2" t="n"/>
      <c r="J737" s="2" t="n"/>
    </row>
    <row r="738">
      <c r="A738" s="6" t="n"/>
      <c r="B738" s="6" t="n"/>
      <c r="C738" s="6" t="n"/>
      <c r="D738" s="14" t="n"/>
      <c r="E738" s="6" t="n"/>
      <c r="F738" s="15" t="n"/>
      <c r="G738" s="15" t="n"/>
      <c r="H738" s="13">
        <f>IF($B738="","",SUMIFS($F:$F,$B:$B,$B738,$D:$D,"&lt;="&amp;$D738)-SUMIFS($G:$G,$B:$B,$B738,$D:$D,"&lt;="&amp;$D738))</f>
        <v/>
      </c>
      <c r="I738" s="6" t="n"/>
      <c r="J738" s="6" t="n"/>
    </row>
    <row r="739">
      <c r="A739" s="2" t="n"/>
      <c r="B739" s="2" t="n"/>
      <c r="C739" s="2" t="n"/>
      <c r="D739" s="12" t="n"/>
      <c r="E739" s="2" t="n"/>
      <c r="F739" s="13" t="n"/>
      <c r="G739" s="13" t="n"/>
      <c r="H739" s="13">
        <f>IF($B739="","",SUMIFS($F:$F,$B:$B,$B739,$D:$D,"&lt;="&amp;$D739)-SUMIFS($G:$G,$B:$B,$B739,$D:$D,"&lt;="&amp;$D739))</f>
        <v/>
      </c>
      <c r="I739" s="2" t="n"/>
      <c r="J739" s="2" t="n"/>
    </row>
    <row r="740">
      <c r="A740" s="6" t="n"/>
      <c r="B740" s="6" t="n"/>
      <c r="C740" s="6" t="n"/>
      <c r="D740" s="14" t="n"/>
      <c r="E740" s="6" t="n"/>
      <c r="F740" s="15" t="n"/>
      <c r="G740" s="15" t="n"/>
      <c r="H740" s="13">
        <f>IF($B740="","",SUMIFS($F:$F,$B:$B,$B740,$D:$D,"&lt;="&amp;$D740)-SUMIFS($G:$G,$B:$B,$B740,$D:$D,"&lt;="&amp;$D740))</f>
        <v/>
      </c>
      <c r="I740" s="6" t="n"/>
      <c r="J740" s="6" t="n"/>
    </row>
    <row r="741">
      <c r="A741" s="2" t="n"/>
      <c r="B741" s="2" t="n"/>
      <c r="C741" s="2" t="n"/>
      <c r="D741" s="12" t="n"/>
      <c r="E741" s="2" t="n"/>
      <c r="F741" s="13" t="n"/>
      <c r="G741" s="13" t="n"/>
      <c r="H741" s="13">
        <f>IF($B741="","",SUMIFS($F:$F,$B:$B,$B741,$D:$D,"&lt;="&amp;$D741)-SUMIFS($G:$G,$B:$B,$B741,$D:$D,"&lt;="&amp;$D741))</f>
        <v/>
      </c>
      <c r="I741" s="2" t="n"/>
      <c r="J741" s="2" t="n"/>
    </row>
    <row r="742">
      <c r="A742" s="6" t="n"/>
      <c r="B742" s="6" t="n"/>
      <c r="C742" s="6" t="n"/>
      <c r="D742" s="14" t="n"/>
      <c r="E742" s="6" t="n"/>
      <c r="F742" s="15" t="n"/>
      <c r="G742" s="15" t="n"/>
      <c r="H742" s="13">
        <f>IF($B742="","",SUMIFS($F:$F,$B:$B,$B742,$D:$D,"&lt;="&amp;$D742)-SUMIFS($G:$G,$B:$B,$B742,$D:$D,"&lt;="&amp;$D742))</f>
        <v/>
      </c>
      <c r="I742" s="6" t="n"/>
      <c r="J742" s="6" t="n"/>
    </row>
    <row r="743">
      <c r="A743" s="2" t="n"/>
      <c r="B743" s="2" t="n"/>
      <c r="C743" s="2" t="n"/>
      <c r="D743" s="12" t="n"/>
      <c r="E743" s="2" t="n"/>
      <c r="F743" s="13" t="n"/>
      <c r="G743" s="13" t="n"/>
      <c r="H743" s="13">
        <f>IF($B743="","",SUMIFS($F:$F,$B:$B,$B743,$D:$D,"&lt;="&amp;$D743)-SUMIFS($G:$G,$B:$B,$B743,$D:$D,"&lt;="&amp;$D743))</f>
        <v/>
      </c>
      <c r="I743" s="2" t="n"/>
      <c r="J743" s="2" t="n"/>
    </row>
    <row r="744">
      <c r="A744" s="6" t="n"/>
      <c r="B744" s="6" t="n"/>
      <c r="C744" s="6" t="n"/>
      <c r="D744" s="14" t="n"/>
      <c r="E744" s="6" t="n"/>
      <c r="F744" s="15" t="n"/>
      <c r="G744" s="15" t="n"/>
      <c r="H744" s="13">
        <f>IF($B744="","",SUMIFS($F:$F,$B:$B,$B744,$D:$D,"&lt;="&amp;$D744)-SUMIFS($G:$G,$B:$B,$B744,$D:$D,"&lt;="&amp;$D744))</f>
        <v/>
      </c>
      <c r="I744" s="6" t="n"/>
      <c r="J744" s="6" t="n"/>
    </row>
    <row r="745">
      <c r="A745" s="2" t="n"/>
      <c r="B745" s="2" t="n"/>
      <c r="C745" s="2" t="n"/>
      <c r="D745" s="12" t="n"/>
      <c r="E745" s="2" t="n"/>
      <c r="F745" s="13" t="n"/>
      <c r="G745" s="13" t="n"/>
      <c r="H745" s="13">
        <f>IF($B745="","",SUMIFS($F:$F,$B:$B,$B745,$D:$D,"&lt;="&amp;$D745)-SUMIFS($G:$G,$B:$B,$B745,$D:$D,"&lt;="&amp;$D745))</f>
        <v/>
      </c>
      <c r="I745" s="2" t="n"/>
      <c r="J745" s="2" t="n"/>
    </row>
    <row r="746">
      <c r="A746" s="6" t="n"/>
      <c r="B746" s="6" t="n"/>
      <c r="C746" s="6" t="n"/>
      <c r="D746" s="14" t="n"/>
      <c r="E746" s="6" t="n"/>
      <c r="F746" s="15" t="n"/>
      <c r="G746" s="15" t="n"/>
      <c r="H746" s="13">
        <f>IF($B746="","",SUMIFS($F:$F,$B:$B,$B746,$D:$D,"&lt;="&amp;$D746)-SUMIFS($G:$G,$B:$B,$B746,$D:$D,"&lt;="&amp;$D746))</f>
        <v/>
      </c>
      <c r="I746" s="6" t="n"/>
      <c r="J746" s="6" t="n"/>
    </row>
    <row r="747">
      <c r="A747" s="2" t="n"/>
      <c r="B747" s="2" t="n"/>
      <c r="C747" s="2" t="n"/>
      <c r="D747" s="12" t="n"/>
      <c r="E747" s="2" t="n"/>
      <c r="F747" s="13" t="n"/>
      <c r="G747" s="13" t="n"/>
      <c r="H747" s="13">
        <f>IF($B747="","",SUMIFS($F:$F,$B:$B,$B747,$D:$D,"&lt;="&amp;$D747)-SUMIFS($G:$G,$B:$B,$B747,$D:$D,"&lt;="&amp;$D747))</f>
        <v/>
      </c>
      <c r="I747" s="2" t="n"/>
      <c r="J747" s="2" t="n"/>
    </row>
    <row r="748">
      <c r="A748" s="6" t="n"/>
      <c r="B748" s="6" t="n"/>
      <c r="C748" s="6" t="n"/>
      <c r="D748" s="14" t="n"/>
      <c r="E748" s="6" t="n"/>
      <c r="F748" s="15" t="n"/>
      <c r="G748" s="15" t="n"/>
      <c r="H748" s="13">
        <f>IF($B748="","",SUMIFS($F:$F,$B:$B,$B748,$D:$D,"&lt;="&amp;$D748)-SUMIFS($G:$G,$B:$B,$B748,$D:$D,"&lt;="&amp;$D748))</f>
        <v/>
      </c>
      <c r="I748" s="6" t="n"/>
      <c r="J748" s="6" t="n"/>
    </row>
    <row r="749">
      <c r="A749" s="2" t="n"/>
      <c r="B749" s="2" t="n"/>
      <c r="C749" s="2" t="n"/>
      <c r="D749" s="12" t="n"/>
      <c r="E749" s="2" t="n"/>
      <c r="F749" s="13" t="n"/>
      <c r="G749" s="13" t="n"/>
      <c r="H749" s="13">
        <f>IF($B749="","",SUMIFS($F:$F,$B:$B,$B749,$D:$D,"&lt;="&amp;$D749)-SUMIFS($G:$G,$B:$B,$B749,$D:$D,"&lt;="&amp;$D749))</f>
        <v/>
      </c>
      <c r="I749" s="2" t="n"/>
      <c r="J749" s="2" t="n"/>
    </row>
    <row r="750">
      <c r="A750" s="6" t="n"/>
      <c r="B750" s="6" t="n"/>
      <c r="C750" s="6" t="n"/>
      <c r="D750" s="14" t="n"/>
      <c r="E750" s="6" t="n"/>
      <c r="F750" s="15" t="n"/>
      <c r="G750" s="15" t="n"/>
      <c r="H750" s="13">
        <f>IF($B750="","",SUMIFS($F:$F,$B:$B,$B750,$D:$D,"&lt;="&amp;$D750)-SUMIFS($G:$G,$B:$B,$B750,$D:$D,"&lt;="&amp;$D750))</f>
        <v/>
      </c>
      <c r="I750" s="6" t="n"/>
      <c r="J750" s="6" t="n"/>
    </row>
    <row r="751">
      <c r="A751" s="2" t="n"/>
      <c r="B751" s="2" t="n"/>
      <c r="C751" s="2" t="n"/>
      <c r="D751" s="12" t="n"/>
      <c r="E751" s="2" t="n"/>
      <c r="F751" s="13" t="n"/>
      <c r="G751" s="13" t="n"/>
      <c r="H751" s="13">
        <f>IF($B751="","",SUMIFS($F:$F,$B:$B,$B751,$D:$D,"&lt;="&amp;$D751)-SUMIFS($G:$G,$B:$B,$B751,$D:$D,"&lt;="&amp;$D751))</f>
        <v/>
      </c>
      <c r="I751" s="2" t="n"/>
      <c r="J751" s="2" t="n"/>
    </row>
    <row r="752">
      <c r="A752" s="6" t="n"/>
      <c r="B752" s="6" t="n"/>
      <c r="C752" s="6" t="n"/>
      <c r="D752" s="14" t="n"/>
      <c r="E752" s="6" t="n"/>
      <c r="F752" s="15" t="n"/>
      <c r="G752" s="15" t="n"/>
      <c r="H752" s="13">
        <f>IF($B752="","",SUMIFS($F:$F,$B:$B,$B752,$D:$D,"&lt;="&amp;$D752)-SUMIFS($G:$G,$B:$B,$B752,$D:$D,"&lt;="&amp;$D752))</f>
        <v/>
      </c>
      <c r="I752" s="6" t="n"/>
      <c r="J752" s="6" t="n"/>
    </row>
    <row r="753">
      <c r="A753" s="2" t="n"/>
      <c r="B753" s="2" t="n"/>
      <c r="C753" s="2" t="n"/>
      <c r="D753" s="12" t="n"/>
      <c r="E753" s="2" t="n"/>
      <c r="F753" s="13" t="n"/>
      <c r="G753" s="13" t="n"/>
      <c r="H753" s="13">
        <f>IF($B753="","",SUMIFS($F:$F,$B:$B,$B753,$D:$D,"&lt;="&amp;$D753)-SUMIFS($G:$G,$B:$B,$B753,$D:$D,"&lt;="&amp;$D753))</f>
        <v/>
      </c>
      <c r="I753" s="2" t="n"/>
      <c r="J753" s="2" t="n"/>
    </row>
    <row r="754">
      <c r="A754" s="6" t="n"/>
      <c r="B754" s="6" t="n"/>
      <c r="C754" s="6" t="n"/>
      <c r="D754" s="14" t="n"/>
      <c r="E754" s="6" t="n"/>
      <c r="F754" s="15" t="n"/>
      <c r="G754" s="15" t="n"/>
      <c r="H754" s="13">
        <f>IF($B754="","",SUMIFS($F:$F,$B:$B,$B754,$D:$D,"&lt;="&amp;$D754)-SUMIFS($G:$G,$B:$B,$B754,$D:$D,"&lt;="&amp;$D754))</f>
        <v/>
      </c>
      <c r="I754" s="6" t="n"/>
      <c r="J754" s="6" t="n"/>
    </row>
    <row r="755">
      <c r="A755" s="2" t="n"/>
      <c r="B755" s="2" t="n"/>
      <c r="C755" s="2" t="n"/>
      <c r="D755" s="12" t="n"/>
      <c r="E755" s="2" t="n"/>
      <c r="F755" s="13" t="n"/>
      <c r="G755" s="13" t="n"/>
      <c r="H755" s="13">
        <f>IF($B755="","",SUMIFS($F:$F,$B:$B,$B755,$D:$D,"&lt;="&amp;$D755)-SUMIFS($G:$G,$B:$B,$B755,$D:$D,"&lt;="&amp;$D755))</f>
        <v/>
      </c>
      <c r="I755" s="2" t="n"/>
      <c r="J755" s="2" t="n"/>
    </row>
    <row r="756">
      <c r="A756" s="6" t="n"/>
      <c r="B756" s="6" t="n"/>
      <c r="C756" s="6" t="n"/>
      <c r="D756" s="14" t="n"/>
      <c r="E756" s="6" t="n"/>
      <c r="F756" s="15" t="n"/>
      <c r="G756" s="15" t="n"/>
      <c r="H756" s="13">
        <f>IF($B756="","",SUMIFS($F:$F,$B:$B,$B756,$D:$D,"&lt;="&amp;$D756)-SUMIFS($G:$G,$B:$B,$B756,$D:$D,"&lt;="&amp;$D756))</f>
        <v/>
      </c>
      <c r="I756" s="6" t="n"/>
      <c r="J756" s="6" t="n"/>
    </row>
    <row r="757">
      <c r="A757" s="2" t="n"/>
      <c r="B757" s="2" t="n"/>
      <c r="C757" s="2" t="n"/>
      <c r="D757" s="12" t="n"/>
      <c r="E757" s="2" t="n"/>
      <c r="F757" s="13" t="n"/>
      <c r="G757" s="13" t="n"/>
      <c r="H757" s="13">
        <f>IF($B757="","",SUMIFS($F:$F,$B:$B,$B757,$D:$D,"&lt;="&amp;$D757)-SUMIFS($G:$G,$B:$B,$B757,$D:$D,"&lt;="&amp;$D757))</f>
        <v/>
      </c>
      <c r="I757" s="2" t="n"/>
      <c r="J757" s="2" t="n"/>
    </row>
    <row r="758">
      <c r="A758" s="6" t="n"/>
      <c r="B758" s="6" t="n"/>
      <c r="C758" s="6" t="n"/>
      <c r="D758" s="14" t="n"/>
      <c r="E758" s="6" t="n"/>
      <c r="F758" s="15" t="n"/>
      <c r="G758" s="15" t="n"/>
      <c r="H758" s="13">
        <f>IF($B758="","",SUMIFS($F:$F,$B:$B,$B758,$D:$D,"&lt;="&amp;$D758)-SUMIFS($G:$G,$B:$B,$B758,$D:$D,"&lt;="&amp;$D758))</f>
        <v/>
      </c>
      <c r="I758" s="6" t="n"/>
      <c r="J758" s="6" t="n"/>
    </row>
    <row r="759">
      <c r="A759" s="2" t="n"/>
      <c r="B759" s="2" t="n"/>
      <c r="C759" s="2" t="n"/>
      <c r="D759" s="12" t="n"/>
      <c r="E759" s="2" t="n"/>
      <c r="F759" s="13" t="n"/>
      <c r="G759" s="13" t="n"/>
      <c r="H759" s="13">
        <f>IF($B759="","",SUMIFS($F:$F,$B:$B,$B759,$D:$D,"&lt;="&amp;$D759)-SUMIFS($G:$G,$B:$B,$B759,$D:$D,"&lt;="&amp;$D759))</f>
        <v/>
      </c>
      <c r="I759" s="2" t="n"/>
      <c r="J759" s="2" t="n"/>
    </row>
    <row r="760">
      <c r="A760" s="6" t="n"/>
      <c r="B760" s="6" t="n"/>
      <c r="C760" s="6" t="n"/>
      <c r="D760" s="14" t="n"/>
      <c r="E760" s="6" t="n"/>
      <c r="F760" s="15" t="n"/>
      <c r="G760" s="15" t="n"/>
      <c r="H760" s="13">
        <f>IF($B760="","",SUMIFS($F:$F,$B:$B,$B760,$D:$D,"&lt;="&amp;$D760)-SUMIFS($G:$G,$B:$B,$B760,$D:$D,"&lt;="&amp;$D760))</f>
        <v/>
      </c>
      <c r="I760" s="6" t="n"/>
      <c r="J760" s="6" t="n"/>
    </row>
    <row r="761">
      <c r="A761" s="2" t="n"/>
      <c r="B761" s="2" t="n"/>
      <c r="C761" s="2" t="n"/>
      <c r="D761" s="12" t="n"/>
      <c r="E761" s="2" t="n"/>
      <c r="F761" s="13" t="n"/>
      <c r="G761" s="13" t="n"/>
      <c r="H761" s="13">
        <f>IF($B761="","",SUMIFS($F:$F,$B:$B,$B761,$D:$D,"&lt;="&amp;$D761)-SUMIFS($G:$G,$B:$B,$B761,$D:$D,"&lt;="&amp;$D761))</f>
        <v/>
      </c>
      <c r="I761" s="2" t="n"/>
      <c r="J761" s="2" t="n"/>
    </row>
    <row r="762">
      <c r="A762" s="6" t="n"/>
      <c r="B762" s="6" t="n"/>
      <c r="C762" s="6" t="n"/>
      <c r="D762" s="14" t="n"/>
      <c r="E762" s="6" t="n"/>
      <c r="F762" s="15" t="n"/>
      <c r="G762" s="15" t="n"/>
      <c r="H762" s="13">
        <f>IF($B762="","",SUMIFS($F:$F,$B:$B,$B762,$D:$D,"&lt;="&amp;$D762)-SUMIFS($G:$G,$B:$B,$B762,$D:$D,"&lt;="&amp;$D762))</f>
        <v/>
      </c>
      <c r="I762" s="6" t="n"/>
      <c r="J762" s="6" t="n"/>
    </row>
    <row r="763">
      <c r="A763" s="2" t="n"/>
      <c r="B763" s="2" t="n"/>
      <c r="C763" s="2" t="n"/>
      <c r="D763" s="12" t="n"/>
      <c r="E763" s="2" t="n"/>
      <c r="F763" s="13" t="n"/>
      <c r="G763" s="13" t="n"/>
      <c r="H763" s="13">
        <f>IF($B763="","",SUMIFS($F:$F,$B:$B,$B763,$D:$D,"&lt;="&amp;$D763)-SUMIFS($G:$G,$B:$B,$B763,$D:$D,"&lt;="&amp;$D763))</f>
        <v/>
      </c>
      <c r="I763" s="2" t="n"/>
      <c r="J763" s="2" t="n"/>
    </row>
    <row r="764">
      <c r="A764" s="6" t="n"/>
      <c r="B764" s="6" t="n"/>
      <c r="C764" s="6" t="n"/>
      <c r="D764" s="14" t="n"/>
      <c r="E764" s="6" t="n"/>
      <c r="F764" s="15" t="n"/>
      <c r="G764" s="15" t="n"/>
      <c r="H764" s="13">
        <f>IF($B764="","",SUMIFS($F:$F,$B:$B,$B764,$D:$D,"&lt;="&amp;$D764)-SUMIFS($G:$G,$B:$B,$B764,$D:$D,"&lt;="&amp;$D764))</f>
        <v/>
      </c>
      <c r="I764" s="6" t="n"/>
      <c r="J764" s="6" t="n"/>
    </row>
    <row r="765">
      <c r="A765" s="2" t="n"/>
      <c r="B765" s="2" t="n"/>
      <c r="C765" s="2" t="n"/>
      <c r="D765" s="12" t="n"/>
      <c r="E765" s="2" t="n"/>
      <c r="F765" s="13" t="n"/>
      <c r="G765" s="13" t="n"/>
      <c r="H765" s="13">
        <f>IF($B765="","",SUMIFS($F:$F,$B:$B,$B765,$D:$D,"&lt;="&amp;$D765)-SUMIFS($G:$G,$B:$B,$B765,$D:$D,"&lt;="&amp;$D765))</f>
        <v/>
      </c>
      <c r="I765" s="2" t="n"/>
      <c r="J765" s="2" t="n"/>
    </row>
    <row r="766">
      <c r="A766" s="6" t="n"/>
      <c r="B766" s="6" t="n"/>
      <c r="C766" s="6" t="n"/>
      <c r="D766" s="14" t="n"/>
      <c r="E766" s="6" t="n"/>
      <c r="F766" s="15" t="n"/>
      <c r="G766" s="15" t="n"/>
      <c r="H766" s="13">
        <f>IF($B766="","",SUMIFS($F:$F,$B:$B,$B766,$D:$D,"&lt;="&amp;$D766)-SUMIFS($G:$G,$B:$B,$B766,$D:$D,"&lt;="&amp;$D766))</f>
        <v/>
      </c>
      <c r="I766" s="6" t="n"/>
      <c r="J766" s="6" t="n"/>
    </row>
    <row r="767">
      <c r="A767" s="2" t="n"/>
      <c r="B767" s="2" t="n"/>
      <c r="C767" s="2" t="n"/>
      <c r="D767" s="12" t="n"/>
      <c r="E767" s="2" t="n"/>
      <c r="F767" s="13" t="n"/>
      <c r="G767" s="13" t="n"/>
      <c r="H767" s="13">
        <f>IF($B767="","",SUMIFS($F:$F,$B:$B,$B767,$D:$D,"&lt;="&amp;$D767)-SUMIFS($G:$G,$B:$B,$B767,$D:$D,"&lt;="&amp;$D767))</f>
        <v/>
      </c>
      <c r="I767" s="2" t="n"/>
      <c r="J767" s="2" t="n"/>
    </row>
    <row r="768">
      <c r="A768" s="6" t="n"/>
      <c r="B768" s="6" t="n"/>
      <c r="C768" s="6" t="n"/>
      <c r="D768" s="14" t="n"/>
      <c r="E768" s="6" t="n"/>
      <c r="F768" s="15" t="n"/>
      <c r="G768" s="15" t="n"/>
      <c r="H768" s="13">
        <f>IF($B768="","",SUMIFS($F:$F,$B:$B,$B768,$D:$D,"&lt;="&amp;$D768)-SUMIFS($G:$G,$B:$B,$B768,$D:$D,"&lt;="&amp;$D768))</f>
        <v/>
      </c>
      <c r="I768" s="6" t="n"/>
      <c r="J768" s="6" t="n"/>
    </row>
    <row r="769">
      <c r="A769" s="2" t="n"/>
      <c r="B769" s="2" t="n"/>
      <c r="C769" s="2" t="n"/>
      <c r="D769" s="12" t="n"/>
      <c r="E769" s="2" t="n"/>
      <c r="F769" s="13" t="n"/>
      <c r="G769" s="13" t="n"/>
      <c r="H769" s="13">
        <f>IF($B769="","",SUMIFS($F:$F,$B:$B,$B769,$D:$D,"&lt;="&amp;$D769)-SUMIFS($G:$G,$B:$B,$B769,$D:$D,"&lt;="&amp;$D769))</f>
        <v/>
      </c>
      <c r="I769" s="2" t="n"/>
      <c r="J769" s="2" t="n"/>
    </row>
    <row r="770">
      <c r="A770" s="6" t="n"/>
      <c r="B770" s="6" t="n"/>
      <c r="C770" s="6" t="n"/>
      <c r="D770" s="14" t="n"/>
      <c r="E770" s="6" t="n"/>
      <c r="F770" s="15" t="n"/>
      <c r="G770" s="15" t="n"/>
      <c r="H770" s="13">
        <f>IF($B770="","",SUMIFS($F:$F,$B:$B,$B770,$D:$D,"&lt;="&amp;$D770)-SUMIFS($G:$G,$B:$B,$B770,$D:$D,"&lt;="&amp;$D770))</f>
        <v/>
      </c>
      <c r="I770" s="6" t="n"/>
      <c r="J770" s="6" t="n"/>
    </row>
    <row r="771">
      <c r="A771" s="2" t="n"/>
      <c r="B771" s="2" t="n"/>
      <c r="C771" s="2" t="n"/>
      <c r="D771" s="12" t="n"/>
      <c r="E771" s="2" t="n"/>
      <c r="F771" s="13" t="n"/>
      <c r="G771" s="13" t="n"/>
      <c r="H771" s="13">
        <f>IF($B771="","",SUMIFS($F:$F,$B:$B,$B771,$D:$D,"&lt;="&amp;$D771)-SUMIFS($G:$G,$B:$B,$B771,$D:$D,"&lt;="&amp;$D771))</f>
        <v/>
      </c>
      <c r="I771" s="2" t="n"/>
      <c r="J771" s="2" t="n"/>
    </row>
    <row r="772">
      <c r="A772" s="6" t="n"/>
      <c r="B772" s="6" t="n"/>
      <c r="C772" s="6" t="n"/>
      <c r="D772" s="14" t="n"/>
      <c r="E772" s="6" t="n"/>
      <c r="F772" s="15" t="n"/>
      <c r="G772" s="15" t="n"/>
      <c r="H772" s="13">
        <f>IF($B772="","",SUMIFS($F:$F,$B:$B,$B772,$D:$D,"&lt;="&amp;$D772)-SUMIFS($G:$G,$B:$B,$B772,$D:$D,"&lt;="&amp;$D772))</f>
        <v/>
      </c>
      <c r="I772" s="6" t="n"/>
      <c r="J772" s="6" t="n"/>
    </row>
    <row r="773">
      <c r="A773" s="2" t="n"/>
      <c r="B773" s="2" t="n"/>
      <c r="C773" s="2" t="n"/>
      <c r="D773" s="12" t="n"/>
      <c r="E773" s="2" t="n"/>
      <c r="F773" s="13" t="n"/>
      <c r="G773" s="13" t="n"/>
      <c r="H773" s="13">
        <f>IF($B773="","",SUMIFS($F:$F,$B:$B,$B773,$D:$D,"&lt;="&amp;$D773)-SUMIFS($G:$G,$B:$B,$B773,$D:$D,"&lt;="&amp;$D773))</f>
        <v/>
      </c>
      <c r="I773" s="2" t="n"/>
      <c r="J773" s="2" t="n"/>
    </row>
    <row r="774">
      <c r="A774" s="6" t="n"/>
      <c r="B774" s="6" t="n"/>
      <c r="C774" s="6" t="n"/>
      <c r="D774" s="14" t="n"/>
      <c r="E774" s="6" t="n"/>
      <c r="F774" s="15" t="n"/>
      <c r="G774" s="15" t="n"/>
      <c r="H774" s="13">
        <f>IF($B774="","",SUMIFS($F:$F,$B:$B,$B774,$D:$D,"&lt;="&amp;$D774)-SUMIFS($G:$G,$B:$B,$B774,$D:$D,"&lt;="&amp;$D774))</f>
        <v/>
      </c>
      <c r="I774" s="6" t="n"/>
      <c r="J774" s="6" t="n"/>
    </row>
    <row r="775">
      <c r="A775" s="2" t="n"/>
      <c r="B775" s="2" t="n"/>
      <c r="C775" s="2" t="n"/>
      <c r="D775" s="12" t="n"/>
      <c r="E775" s="2" t="n"/>
      <c r="F775" s="13" t="n"/>
      <c r="G775" s="13" t="n"/>
      <c r="H775" s="13">
        <f>IF($B775="","",SUMIFS($F:$F,$B:$B,$B775,$D:$D,"&lt;="&amp;$D775)-SUMIFS($G:$G,$B:$B,$B775,$D:$D,"&lt;="&amp;$D775))</f>
        <v/>
      </c>
      <c r="I775" s="2" t="n"/>
      <c r="J775" s="2" t="n"/>
    </row>
    <row r="776">
      <c r="A776" s="6" t="n"/>
      <c r="B776" s="6" t="n"/>
      <c r="C776" s="6" t="n"/>
      <c r="D776" s="14" t="n"/>
      <c r="E776" s="6" t="n"/>
      <c r="F776" s="15" t="n"/>
      <c r="G776" s="15" t="n"/>
      <c r="H776" s="13">
        <f>IF($B776="","",SUMIFS($F:$F,$B:$B,$B776,$D:$D,"&lt;="&amp;$D776)-SUMIFS($G:$G,$B:$B,$B776,$D:$D,"&lt;="&amp;$D776))</f>
        <v/>
      </c>
      <c r="I776" s="6" t="n"/>
      <c r="J776" s="6" t="n"/>
    </row>
    <row r="777">
      <c r="A777" s="2" t="n"/>
      <c r="B777" s="2" t="n"/>
      <c r="C777" s="2" t="n"/>
      <c r="D777" s="12" t="n"/>
      <c r="E777" s="2" t="n"/>
      <c r="F777" s="13" t="n"/>
      <c r="G777" s="13" t="n"/>
      <c r="H777" s="13">
        <f>IF($B777="","",SUMIFS($F:$F,$B:$B,$B777,$D:$D,"&lt;="&amp;$D777)-SUMIFS($G:$G,$B:$B,$B777,$D:$D,"&lt;="&amp;$D777))</f>
        <v/>
      </c>
      <c r="I777" s="2" t="n"/>
      <c r="J777" s="2" t="n"/>
    </row>
    <row r="778">
      <c r="A778" s="6" t="n"/>
      <c r="B778" s="6" t="n"/>
      <c r="C778" s="6" t="n"/>
      <c r="D778" s="14" t="n"/>
      <c r="E778" s="6" t="n"/>
      <c r="F778" s="15" t="n"/>
      <c r="G778" s="15" t="n"/>
      <c r="H778" s="13">
        <f>IF($B778="","",SUMIFS($F:$F,$B:$B,$B778,$D:$D,"&lt;="&amp;$D778)-SUMIFS($G:$G,$B:$B,$B778,$D:$D,"&lt;="&amp;$D778))</f>
        <v/>
      </c>
      <c r="I778" s="6" t="n"/>
      <c r="J778" s="6" t="n"/>
    </row>
    <row r="779">
      <c r="A779" s="2" t="n"/>
      <c r="B779" s="2" t="n"/>
      <c r="C779" s="2" t="n"/>
      <c r="D779" s="12" t="n"/>
      <c r="E779" s="2" t="n"/>
      <c r="F779" s="13" t="n"/>
      <c r="G779" s="13" t="n"/>
      <c r="H779" s="13">
        <f>IF($B779="","",SUMIFS($F:$F,$B:$B,$B779,$D:$D,"&lt;="&amp;$D779)-SUMIFS($G:$G,$B:$B,$B779,$D:$D,"&lt;="&amp;$D779))</f>
        <v/>
      </c>
      <c r="I779" s="2" t="n"/>
      <c r="J779" s="2" t="n"/>
    </row>
    <row r="780">
      <c r="A780" s="6" t="n"/>
      <c r="B780" s="6" t="n"/>
      <c r="C780" s="6" t="n"/>
      <c r="D780" s="14" t="n"/>
      <c r="E780" s="6" t="n"/>
      <c r="F780" s="15" t="n"/>
      <c r="G780" s="15" t="n"/>
      <c r="H780" s="13">
        <f>IF($B780="","",SUMIFS($F:$F,$B:$B,$B780,$D:$D,"&lt;="&amp;$D780)-SUMIFS($G:$G,$B:$B,$B780,$D:$D,"&lt;="&amp;$D780))</f>
        <v/>
      </c>
      <c r="I780" s="6" t="n"/>
      <c r="J780" s="6" t="n"/>
    </row>
    <row r="781">
      <c r="A781" s="2" t="n"/>
      <c r="B781" s="2" t="n"/>
      <c r="C781" s="2" t="n"/>
      <c r="D781" s="12" t="n"/>
      <c r="E781" s="2" t="n"/>
      <c r="F781" s="13" t="n"/>
      <c r="G781" s="13" t="n"/>
      <c r="H781" s="13">
        <f>IF($B781="","",SUMIFS($F:$F,$B:$B,$B781,$D:$D,"&lt;="&amp;$D781)-SUMIFS($G:$G,$B:$B,$B781,$D:$D,"&lt;="&amp;$D781))</f>
        <v/>
      </c>
      <c r="I781" s="2" t="n"/>
      <c r="J781" s="2" t="n"/>
    </row>
    <row r="782">
      <c r="A782" s="6" t="n"/>
      <c r="B782" s="6" t="n"/>
      <c r="C782" s="6" t="n"/>
      <c r="D782" s="14" t="n"/>
      <c r="E782" s="6" t="n"/>
      <c r="F782" s="15" t="n"/>
      <c r="G782" s="15" t="n"/>
      <c r="H782" s="13">
        <f>IF($B782="","",SUMIFS($F:$F,$B:$B,$B782,$D:$D,"&lt;="&amp;$D782)-SUMIFS($G:$G,$B:$B,$B782,$D:$D,"&lt;="&amp;$D782))</f>
        <v/>
      </c>
      <c r="I782" s="6" t="n"/>
      <c r="J782" s="6" t="n"/>
    </row>
    <row r="783">
      <c r="A783" s="2" t="n"/>
      <c r="B783" s="2" t="n"/>
      <c r="C783" s="2" t="n"/>
      <c r="D783" s="12" t="n"/>
      <c r="E783" s="2" t="n"/>
      <c r="F783" s="13" t="n"/>
      <c r="G783" s="13" t="n"/>
      <c r="H783" s="13">
        <f>IF($B783="","",SUMIFS($F:$F,$B:$B,$B783,$D:$D,"&lt;="&amp;$D783)-SUMIFS($G:$G,$B:$B,$B783,$D:$D,"&lt;="&amp;$D783))</f>
        <v/>
      </c>
      <c r="I783" s="2" t="n"/>
      <c r="J783" s="2" t="n"/>
    </row>
    <row r="784">
      <c r="A784" s="6" t="n"/>
      <c r="B784" s="6" t="n"/>
      <c r="C784" s="6" t="n"/>
      <c r="D784" s="14" t="n"/>
      <c r="E784" s="6" t="n"/>
      <c r="F784" s="15" t="n"/>
      <c r="G784" s="15" t="n"/>
      <c r="H784" s="13">
        <f>IF($B784="","",SUMIFS($F:$F,$B:$B,$B784,$D:$D,"&lt;="&amp;$D784)-SUMIFS($G:$G,$B:$B,$B784,$D:$D,"&lt;="&amp;$D784))</f>
        <v/>
      </c>
      <c r="I784" s="6" t="n"/>
      <c r="J784" s="6" t="n"/>
    </row>
    <row r="785">
      <c r="A785" s="2" t="n"/>
      <c r="B785" s="2" t="n"/>
      <c r="C785" s="2" t="n"/>
      <c r="D785" s="12" t="n"/>
      <c r="E785" s="2" t="n"/>
      <c r="F785" s="13" t="n"/>
      <c r="G785" s="13" t="n"/>
      <c r="H785" s="13">
        <f>IF($B785="","",SUMIFS($F:$F,$B:$B,$B785,$D:$D,"&lt;="&amp;$D785)-SUMIFS($G:$G,$B:$B,$B785,$D:$D,"&lt;="&amp;$D785))</f>
        <v/>
      </c>
      <c r="I785" s="2" t="n"/>
      <c r="J785" s="2" t="n"/>
    </row>
    <row r="786">
      <c r="A786" s="6" t="n"/>
      <c r="B786" s="6" t="n"/>
      <c r="C786" s="6" t="n"/>
      <c r="D786" s="14" t="n"/>
      <c r="E786" s="6" t="n"/>
      <c r="F786" s="15" t="n"/>
      <c r="G786" s="15" t="n"/>
      <c r="H786" s="13">
        <f>IF($B786="","",SUMIFS($F:$F,$B:$B,$B786,$D:$D,"&lt;="&amp;$D786)-SUMIFS($G:$G,$B:$B,$B786,$D:$D,"&lt;="&amp;$D786))</f>
        <v/>
      </c>
      <c r="I786" s="6" t="n"/>
      <c r="J786" s="6" t="n"/>
    </row>
    <row r="787">
      <c r="A787" s="2" t="n"/>
      <c r="B787" s="2" t="n"/>
      <c r="C787" s="2" t="n"/>
      <c r="D787" s="12" t="n"/>
      <c r="E787" s="2" t="n"/>
      <c r="F787" s="13" t="n"/>
      <c r="G787" s="13" t="n"/>
      <c r="H787" s="13">
        <f>IF($B787="","",SUMIFS($F:$F,$B:$B,$B787,$D:$D,"&lt;="&amp;$D787)-SUMIFS($G:$G,$B:$B,$B787,$D:$D,"&lt;="&amp;$D787))</f>
        <v/>
      </c>
      <c r="I787" s="2" t="n"/>
      <c r="J787" s="2" t="n"/>
    </row>
    <row r="788">
      <c r="A788" s="6" t="n"/>
      <c r="B788" s="6" t="n"/>
      <c r="C788" s="6" t="n"/>
      <c r="D788" s="14" t="n"/>
      <c r="E788" s="6" t="n"/>
      <c r="F788" s="15" t="n"/>
      <c r="G788" s="15" t="n"/>
      <c r="H788" s="13">
        <f>IF($B788="","",SUMIFS($F:$F,$B:$B,$B788,$D:$D,"&lt;="&amp;$D788)-SUMIFS($G:$G,$B:$B,$B788,$D:$D,"&lt;="&amp;$D788))</f>
        <v/>
      </c>
      <c r="I788" s="6" t="n"/>
      <c r="J788" s="6" t="n"/>
    </row>
    <row r="789">
      <c r="A789" s="2" t="n"/>
      <c r="B789" s="2" t="n"/>
      <c r="C789" s="2" t="n"/>
      <c r="D789" s="12" t="n"/>
      <c r="E789" s="2" t="n"/>
      <c r="F789" s="13" t="n"/>
      <c r="G789" s="13" t="n"/>
      <c r="H789" s="13">
        <f>IF($B789="","",SUMIFS($F:$F,$B:$B,$B789,$D:$D,"&lt;="&amp;$D789)-SUMIFS($G:$G,$B:$B,$B789,$D:$D,"&lt;="&amp;$D789))</f>
        <v/>
      </c>
      <c r="I789" s="2" t="n"/>
      <c r="J789" s="2" t="n"/>
    </row>
    <row r="790">
      <c r="A790" s="6" t="n"/>
      <c r="B790" s="6" t="n"/>
      <c r="C790" s="6" t="n"/>
      <c r="D790" s="14" t="n"/>
      <c r="E790" s="6" t="n"/>
      <c r="F790" s="15" t="n"/>
      <c r="G790" s="15" t="n"/>
      <c r="H790" s="13">
        <f>IF($B790="","",SUMIFS($F:$F,$B:$B,$B790,$D:$D,"&lt;="&amp;$D790)-SUMIFS($G:$G,$B:$B,$B790,$D:$D,"&lt;="&amp;$D790))</f>
        <v/>
      </c>
      <c r="I790" s="6" t="n"/>
      <c r="J790" s="6" t="n"/>
    </row>
    <row r="791">
      <c r="A791" s="2" t="n"/>
      <c r="B791" s="2" t="n"/>
      <c r="C791" s="2" t="n"/>
      <c r="D791" s="12" t="n"/>
      <c r="E791" s="2" t="n"/>
      <c r="F791" s="13" t="n"/>
      <c r="G791" s="13" t="n"/>
      <c r="H791" s="13">
        <f>IF($B791="","",SUMIFS($F:$F,$B:$B,$B791,$D:$D,"&lt;="&amp;$D791)-SUMIFS($G:$G,$B:$B,$B791,$D:$D,"&lt;="&amp;$D791))</f>
        <v/>
      </c>
      <c r="I791" s="2" t="n"/>
      <c r="J791" s="2" t="n"/>
    </row>
    <row r="792">
      <c r="A792" s="6" t="n"/>
      <c r="B792" s="6" t="n"/>
      <c r="C792" s="6" t="n"/>
      <c r="D792" s="14" t="n"/>
      <c r="E792" s="6" t="n"/>
      <c r="F792" s="15" t="n"/>
      <c r="G792" s="15" t="n"/>
      <c r="H792" s="13">
        <f>IF($B792="","",SUMIFS($F:$F,$B:$B,$B792,$D:$D,"&lt;="&amp;$D792)-SUMIFS($G:$G,$B:$B,$B792,$D:$D,"&lt;="&amp;$D792))</f>
        <v/>
      </c>
      <c r="I792" s="6" t="n"/>
      <c r="J792" s="6" t="n"/>
    </row>
    <row r="793">
      <c r="A793" s="2" t="n"/>
      <c r="B793" s="2" t="n"/>
      <c r="C793" s="2" t="n"/>
      <c r="D793" s="12" t="n"/>
      <c r="E793" s="2" t="n"/>
      <c r="F793" s="13" t="n"/>
      <c r="G793" s="13" t="n"/>
      <c r="H793" s="13">
        <f>IF($B793="","",SUMIFS($F:$F,$B:$B,$B793,$D:$D,"&lt;="&amp;$D793)-SUMIFS($G:$G,$B:$B,$B793,$D:$D,"&lt;="&amp;$D793))</f>
        <v/>
      </c>
      <c r="I793" s="2" t="n"/>
      <c r="J793" s="2" t="n"/>
    </row>
    <row r="794">
      <c r="A794" s="6" t="n"/>
      <c r="B794" s="6" t="n"/>
      <c r="C794" s="6" t="n"/>
      <c r="D794" s="14" t="n"/>
      <c r="E794" s="6" t="n"/>
      <c r="F794" s="15" t="n"/>
      <c r="G794" s="15" t="n"/>
      <c r="H794" s="13">
        <f>IF($B794="","",SUMIFS($F:$F,$B:$B,$B794,$D:$D,"&lt;="&amp;$D794)-SUMIFS($G:$G,$B:$B,$B794,$D:$D,"&lt;="&amp;$D794))</f>
        <v/>
      </c>
      <c r="I794" s="6" t="n"/>
      <c r="J794" s="6" t="n"/>
    </row>
    <row r="795">
      <c r="A795" s="2" t="n"/>
      <c r="B795" s="2" t="n"/>
      <c r="C795" s="2" t="n"/>
      <c r="D795" s="12" t="n"/>
      <c r="E795" s="2" t="n"/>
      <c r="F795" s="13" t="n"/>
      <c r="G795" s="13" t="n"/>
      <c r="H795" s="13">
        <f>IF($B795="","",SUMIFS($F:$F,$B:$B,$B795,$D:$D,"&lt;="&amp;$D795)-SUMIFS($G:$G,$B:$B,$B795,$D:$D,"&lt;="&amp;$D795))</f>
        <v/>
      </c>
      <c r="I795" s="2" t="n"/>
      <c r="J795" s="2" t="n"/>
    </row>
    <row r="796">
      <c r="A796" s="6" t="n"/>
      <c r="B796" s="6" t="n"/>
      <c r="C796" s="6" t="n"/>
      <c r="D796" s="14" t="n"/>
      <c r="E796" s="6" t="n"/>
      <c r="F796" s="15" t="n"/>
      <c r="G796" s="15" t="n"/>
      <c r="H796" s="13">
        <f>IF($B796="","",SUMIFS($F:$F,$B:$B,$B796,$D:$D,"&lt;="&amp;$D796)-SUMIFS($G:$G,$B:$B,$B796,$D:$D,"&lt;="&amp;$D796))</f>
        <v/>
      </c>
      <c r="I796" s="6" t="n"/>
      <c r="J796" s="6" t="n"/>
    </row>
    <row r="797">
      <c r="A797" s="2" t="n"/>
      <c r="B797" s="2" t="n"/>
      <c r="C797" s="2" t="n"/>
      <c r="D797" s="12" t="n"/>
      <c r="E797" s="2" t="n"/>
      <c r="F797" s="13" t="n"/>
      <c r="G797" s="13" t="n"/>
      <c r="H797" s="13">
        <f>IF($B797="","",SUMIFS($F:$F,$B:$B,$B797,$D:$D,"&lt;="&amp;$D797)-SUMIFS($G:$G,$B:$B,$B797,$D:$D,"&lt;="&amp;$D797))</f>
        <v/>
      </c>
      <c r="I797" s="2" t="n"/>
      <c r="J797" s="2" t="n"/>
    </row>
    <row r="798">
      <c r="A798" s="6" t="n"/>
      <c r="B798" s="6" t="n"/>
      <c r="C798" s="6" t="n"/>
      <c r="D798" s="14" t="n"/>
      <c r="E798" s="6" t="n"/>
      <c r="F798" s="15" t="n"/>
      <c r="G798" s="15" t="n"/>
      <c r="H798" s="13">
        <f>IF($B798="","",SUMIFS($F:$F,$B:$B,$B798,$D:$D,"&lt;="&amp;$D798)-SUMIFS($G:$G,$B:$B,$B798,$D:$D,"&lt;="&amp;$D798))</f>
        <v/>
      </c>
      <c r="I798" s="6" t="n"/>
      <c r="J798" s="6" t="n"/>
    </row>
    <row r="799">
      <c r="A799" s="2" t="n"/>
      <c r="B799" s="2" t="n"/>
      <c r="C799" s="2" t="n"/>
      <c r="D799" s="12" t="n"/>
      <c r="E799" s="2" t="n"/>
      <c r="F799" s="13" t="n"/>
      <c r="G799" s="13" t="n"/>
      <c r="H799" s="13">
        <f>IF($B799="","",SUMIFS($F:$F,$B:$B,$B799,$D:$D,"&lt;="&amp;$D799)-SUMIFS($G:$G,$B:$B,$B799,$D:$D,"&lt;="&amp;$D799))</f>
        <v/>
      </c>
      <c r="I799" s="2" t="n"/>
      <c r="J799" s="2" t="n"/>
    </row>
    <row r="800">
      <c r="A800" s="6" t="n"/>
      <c r="B800" s="6" t="n"/>
      <c r="C800" s="6" t="n"/>
      <c r="D800" s="14" t="n"/>
      <c r="E800" s="6" t="n"/>
      <c r="F800" s="15" t="n"/>
      <c r="G800" s="15" t="n"/>
      <c r="H800" s="13">
        <f>IF($B800="","",SUMIFS($F:$F,$B:$B,$B800,$D:$D,"&lt;="&amp;$D800)-SUMIFS($G:$G,$B:$B,$B800,$D:$D,"&lt;="&amp;$D800))</f>
        <v/>
      </c>
      <c r="I800" s="6" t="n"/>
      <c r="J800" s="6" t="n"/>
    </row>
    <row r="801">
      <c r="A801" s="2" t="n"/>
      <c r="B801" s="2" t="n"/>
      <c r="C801" s="2" t="n"/>
      <c r="D801" s="12" t="n"/>
      <c r="E801" s="2" t="n"/>
      <c r="F801" s="13" t="n"/>
      <c r="G801" s="13" t="n"/>
      <c r="H801" s="13">
        <f>IF($B801="","",SUMIFS($F:$F,$B:$B,$B801,$D:$D,"&lt;="&amp;$D801)-SUMIFS($G:$G,$B:$B,$B801,$D:$D,"&lt;="&amp;$D801))</f>
        <v/>
      </c>
      <c r="I801" s="2" t="n"/>
      <c r="J801" s="2" t="n"/>
    </row>
    <row r="802">
      <c r="A802" s="6" t="n"/>
      <c r="B802" s="6" t="n"/>
      <c r="C802" s="6" t="n"/>
      <c r="D802" s="14" t="n"/>
      <c r="E802" s="6" t="n"/>
      <c r="F802" s="15" t="n"/>
      <c r="G802" s="15" t="n"/>
      <c r="H802" s="13">
        <f>IF($B802="","",SUMIFS($F:$F,$B:$B,$B802,$D:$D,"&lt;="&amp;$D802)-SUMIFS($G:$G,$B:$B,$B802,$D:$D,"&lt;="&amp;$D802))</f>
        <v/>
      </c>
      <c r="I802" s="6" t="n"/>
      <c r="J802" s="6" t="n"/>
    </row>
    <row r="803">
      <c r="A803" s="2" t="n"/>
      <c r="B803" s="2" t="n"/>
      <c r="C803" s="2" t="n"/>
      <c r="D803" s="12" t="n"/>
      <c r="E803" s="2" t="n"/>
      <c r="F803" s="13" t="n"/>
      <c r="G803" s="13" t="n"/>
      <c r="H803" s="13">
        <f>IF($B803="","",SUMIFS($F:$F,$B:$B,$B803,$D:$D,"&lt;="&amp;$D803)-SUMIFS($G:$G,$B:$B,$B803,$D:$D,"&lt;="&amp;$D803))</f>
        <v/>
      </c>
      <c r="I803" s="2" t="n"/>
      <c r="J803" s="2" t="n"/>
    </row>
    <row r="804">
      <c r="A804" s="6" t="n"/>
      <c r="B804" s="6" t="n"/>
      <c r="C804" s="6" t="n"/>
      <c r="D804" s="14" t="n"/>
      <c r="E804" s="6" t="n"/>
      <c r="F804" s="15" t="n"/>
      <c r="G804" s="15" t="n"/>
      <c r="H804" s="13">
        <f>IF($B804="","",SUMIFS($F:$F,$B:$B,$B804,$D:$D,"&lt;="&amp;$D804)-SUMIFS($G:$G,$B:$B,$B804,$D:$D,"&lt;="&amp;$D804))</f>
        <v/>
      </c>
      <c r="I804" s="6" t="n"/>
      <c r="J804" s="6" t="n"/>
    </row>
    <row r="805">
      <c r="A805" s="2" t="n"/>
      <c r="B805" s="2" t="n"/>
      <c r="C805" s="2" t="n"/>
      <c r="D805" s="12" t="n"/>
      <c r="E805" s="2" t="n"/>
      <c r="F805" s="13" t="n"/>
      <c r="G805" s="13" t="n"/>
      <c r="H805" s="13">
        <f>IF($B805="","",SUMIFS($F:$F,$B:$B,$B805,$D:$D,"&lt;="&amp;$D805)-SUMIFS($G:$G,$B:$B,$B805,$D:$D,"&lt;="&amp;$D805))</f>
        <v/>
      </c>
      <c r="I805" s="2" t="n"/>
      <c r="J805" s="2" t="n"/>
    </row>
    <row r="806">
      <c r="A806" s="6" t="n"/>
      <c r="B806" s="6" t="n"/>
      <c r="C806" s="6" t="n"/>
      <c r="D806" s="14" t="n"/>
      <c r="E806" s="6" t="n"/>
      <c r="F806" s="15" t="n"/>
      <c r="G806" s="15" t="n"/>
      <c r="H806" s="13">
        <f>IF($B806="","",SUMIFS($F:$F,$B:$B,$B806,$D:$D,"&lt;="&amp;$D806)-SUMIFS($G:$G,$B:$B,$B806,$D:$D,"&lt;="&amp;$D806))</f>
        <v/>
      </c>
      <c r="I806" s="6" t="n"/>
      <c r="J806" s="6" t="n"/>
    </row>
    <row r="807">
      <c r="A807" s="2" t="n"/>
      <c r="B807" s="2" t="n"/>
      <c r="C807" s="2" t="n"/>
      <c r="D807" s="12" t="n"/>
      <c r="E807" s="2" t="n"/>
      <c r="F807" s="13" t="n"/>
      <c r="G807" s="13" t="n"/>
      <c r="H807" s="13">
        <f>IF($B807="","",SUMIFS($F:$F,$B:$B,$B807,$D:$D,"&lt;="&amp;$D807)-SUMIFS($G:$G,$B:$B,$B807,$D:$D,"&lt;="&amp;$D807))</f>
        <v/>
      </c>
      <c r="I807" s="2" t="n"/>
      <c r="J807" s="2" t="n"/>
    </row>
    <row r="808">
      <c r="A808" s="6" t="n"/>
      <c r="B808" s="6" t="n"/>
      <c r="C808" s="6" t="n"/>
      <c r="D808" s="14" t="n"/>
      <c r="E808" s="6" t="n"/>
      <c r="F808" s="15" t="n"/>
      <c r="G808" s="15" t="n"/>
      <c r="H808" s="13">
        <f>IF($B808="","",SUMIFS($F:$F,$B:$B,$B808,$D:$D,"&lt;="&amp;$D808)-SUMIFS($G:$G,$B:$B,$B808,$D:$D,"&lt;="&amp;$D808))</f>
        <v/>
      </c>
      <c r="I808" s="6" t="n"/>
      <c r="J808" s="6" t="n"/>
    </row>
    <row r="809">
      <c r="A809" s="2" t="n"/>
      <c r="B809" s="2" t="n"/>
      <c r="C809" s="2" t="n"/>
      <c r="D809" s="12" t="n"/>
      <c r="E809" s="2" t="n"/>
      <c r="F809" s="13" t="n"/>
      <c r="G809" s="13" t="n"/>
      <c r="H809" s="13">
        <f>IF($B809="","",SUMIFS($F:$F,$B:$B,$B809,$D:$D,"&lt;="&amp;$D809)-SUMIFS($G:$G,$B:$B,$B809,$D:$D,"&lt;="&amp;$D809))</f>
        <v/>
      </c>
      <c r="I809" s="2" t="n"/>
      <c r="J809" s="2" t="n"/>
    </row>
    <row r="810">
      <c r="A810" s="6" t="n"/>
      <c r="B810" s="6" t="n"/>
      <c r="C810" s="6" t="n"/>
      <c r="D810" s="14" t="n"/>
      <c r="E810" s="6" t="n"/>
      <c r="F810" s="15" t="n"/>
      <c r="G810" s="15" t="n"/>
      <c r="H810" s="13">
        <f>IF($B810="","",SUMIFS($F:$F,$B:$B,$B810,$D:$D,"&lt;="&amp;$D810)-SUMIFS($G:$G,$B:$B,$B810,$D:$D,"&lt;="&amp;$D810))</f>
        <v/>
      </c>
      <c r="I810" s="6" t="n"/>
      <c r="J810" s="6" t="n"/>
    </row>
    <row r="811">
      <c r="A811" s="2" t="n"/>
      <c r="B811" s="2" t="n"/>
      <c r="C811" s="2" t="n"/>
      <c r="D811" s="12" t="n"/>
      <c r="E811" s="2" t="n"/>
      <c r="F811" s="13" t="n"/>
      <c r="G811" s="13" t="n"/>
      <c r="H811" s="13">
        <f>IF($B811="","",SUMIFS($F:$F,$B:$B,$B811,$D:$D,"&lt;="&amp;$D811)-SUMIFS($G:$G,$B:$B,$B811,$D:$D,"&lt;="&amp;$D811))</f>
        <v/>
      </c>
      <c r="I811" s="2" t="n"/>
      <c r="J811" s="2" t="n"/>
    </row>
    <row r="812">
      <c r="A812" s="6" t="n"/>
      <c r="B812" s="6" t="n"/>
      <c r="C812" s="6" t="n"/>
      <c r="D812" s="14" t="n"/>
      <c r="E812" s="6" t="n"/>
      <c r="F812" s="15" t="n"/>
      <c r="G812" s="15" t="n"/>
      <c r="H812" s="13">
        <f>IF($B812="","",SUMIFS($F:$F,$B:$B,$B812,$D:$D,"&lt;="&amp;$D812)-SUMIFS($G:$G,$B:$B,$B812,$D:$D,"&lt;="&amp;$D812))</f>
        <v/>
      </c>
      <c r="I812" s="6" t="n"/>
      <c r="J812" s="6" t="n"/>
    </row>
    <row r="813">
      <c r="A813" s="2" t="n"/>
      <c r="B813" s="2" t="n"/>
      <c r="C813" s="2" t="n"/>
      <c r="D813" s="12" t="n"/>
      <c r="E813" s="2" t="n"/>
      <c r="F813" s="13" t="n"/>
      <c r="G813" s="13" t="n"/>
      <c r="H813" s="13">
        <f>IF($B813="","",SUMIFS($F:$F,$B:$B,$B813,$D:$D,"&lt;="&amp;$D813)-SUMIFS($G:$G,$B:$B,$B813,$D:$D,"&lt;="&amp;$D813))</f>
        <v/>
      </c>
      <c r="I813" s="2" t="n"/>
      <c r="J813" s="2" t="n"/>
    </row>
    <row r="814">
      <c r="A814" s="6" t="n"/>
      <c r="B814" s="6" t="n"/>
      <c r="C814" s="6" t="n"/>
      <c r="D814" s="14" t="n"/>
      <c r="E814" s="6" t="n"/>
      <c r="F814" s="15" t="n"/>
      <c r="G814" s="15" t="n"/>
      <c r="H814" s="13">
        <f>IF($B814="","",SUMIFS($F:$F,$B:$B,$B814,$D:$D,"&lt;="&amp;$D814)-SUMIFS($G:$G,$B:$B,$B814,$D:$D,"&lt;="&amp;$D814))</f>
        <v/>
      </c>
      <c r="I814" s="6" t="n"/>
      <c r="J814" s="6" t="n"/>
    </row>
    <row r="815">
      <c r="A815" s="2" t="n"/>
      <c r="B815" s="2" t="n"/>
      <c r="C815" s="2" t="n"/>
      <c r="D815" s="12" t="n"/>
      <c r="E815" s="2" t="n"/>
      <c r="F815" s="13" t="n"/>
      <c r="G815" s="13" t="n"/>
      <c r="H815" s="13">
        <f>IF($B815="","",SUMIFS($F:$F,$B:$B,$B815,$D:$D,"&lt;="&amp;$D815)-SUMIFS($G:$G,$B:$B,$B815,$D:$D,"&lt;="&amp;$D815))</f>
        <v/>
      </c>
      <c r="I815" s="2" t="n"/>
      <c r="J815" s="2" t="n"/>
    </row>
    <row r="816">
      <c r="A816" s="6" t="n"/>
      <c r="B816" s="6" t="n"/>
      <c r="C816" s="6" t="n"/>
      <c r="D816" s="14" t="n"/>
      <c r="E816" s="6" t="n"/>
      <c r="F816" s="15" t="n"/>
      <c r="G816" s="15" t="n"/>
      <c r="H816" s="13">
        <f>IF($B816="","",SUMIFS($F:$F,$B:$B,$B816,$D:$D,"&lt;="&amp;$D816)-SUMIFS($G:$G,$B:$B,$B816,$D:$D,"&lt;="&amp;$D816))</f>
        <v/>
      </c>
      <c r="I816" s="6" t="n"/>
      <c r="J816" s="6" t="n"/>
    </row>
    <row r="817">
      <c r="A817" s="2" t="n"/>
      <c r="B817" s="2" t="n"/>
      <c r="C817" s="2" t="n"/>
      <c r="D817" s="12" t="n"/>
      <c r="E817" s="2" t="n"/>
      <c r="F817" s="13" t="n"/>
      <c r="G817" s="13" t="n"/>
      <c r="H817" s="13">
        <f>IF($B817="","",SUMIFS($F:$F,$B:$B,$B817,$D:$D,"&lt;="&amp;$D817)-SUMIFS($G:$G,$B:$B,$B817,$D:$D,"&lt;="&amp;$D817))</f>
        <v/>
      </c>
      <c r="I817" s="2" t="n"/>
      <c r="J817" s="2" t="n"/>
    </row>
    <row r="818">
      <c r="A818" s="6" t="n"/>
      <c r="B818" s="6" t="n"/>
      <c r="C818" s="6" t="n"/>
      <c r="D818" s="14" t="n"/>
      <c r="E818" s="6" t="n"/>
      <c r="F818" s="15" t="n"/>
      <c r="G818" s="15" t="n"/>
      <c r="H818" s="13">
        <f>IF($B818="","",SUMIFS($F:$F,$B:$B,$B818,$D:$D,"&lt;="&amp;$D818)-SUMIFS($G:$G,$B:$B,$B818,$D:$D,"&lt;="&amp;$D818))</f>
        <v/>
      </c>
      <c r="I818" s="6" t="n"/>
      <c r="J818" s="6" t="n"/>
    </row>
    <row r="819">
      <c r="A819" s="2" t="n"/>
      <c r="B819" s="2" t="n"/>
      <c r="C819" s="2" t="n"/>
      <c r="D819" s="12" t="n"/>
      <c r="E819" s="2" t="n"/>
      <c r="F819" s="13" t="n"/>
      <c r="G819" s="13" t="n"/>
      <c r="H819" s="13">
        <f>IF($B819="","",SUMIFS($F:$F,$B:$B,$B819,$D:$D,"&lt;="&amp;$D819)-SUMIFS($G:$G,$B:$B,$B819,$D:$D,"&lt;="&amp;$D819))</f>
        <v/>
      </c>
      <c r="I819" s="2" t="n"/>
      <c r="J819" s="2" t="n"/>
    </row>
    <row r="820">
      <c r="A820" s="6" t="n"/>
      <c r="B820" s="6" t="n"/>
      <c r="C820" s="6" t="n"/>
      <c r="D820" s="14" t="n"/>
      <c r="E820" s="6" t="n"/>
      <c r="F820" s="15" t="n"/>
      <c r="G820" s="15" t="n"/>
      <c r="H820" s="13">
        <f>IF($B820="","",SUMIFS($F:$F,$B:$B,$B820,$D:$D,"&lt;="&amp;$D820)-SUMIFS($G:$G,$B:$B,$B820,$D:$D,"&lt;="&amp;$D820))</f>
        <v/>
      </c>
      <c r="I820" s="6" t="n"/>
      <c r="J820" s="6" t="n"/>
    </row>
    <row r="821">
      <c r="A821" s="2" t="n"/>
      <c r="B821" s="2" t="n"/>
      <c r="C821" s="2" t="n"/>
      <c r="D821" s="12" t="n"/>
      <c r="E821" s="2" t="n"/>
      <c r="F821" s="13" t="n"/>
      <c r="G821" s="13" t="n"/>
      <c r="H821" s="13">
        <f>IF($B821="","",SUMIFS($F:$F,$B:$B,$B821,$D:$D,"&lt;="&amp;$D821)-SUMIFS($G:$G,$B:$B,$B821,$D:$D,"&lt;="&amp;$D821))</f>
        <v/>
      </c>
      <c r="I821" s="2" t="n"/>
      <c r="J821" s="2" t="n"/>
    </row>
    <row r="822">
      <c r="A822" s="6" t="n"/>
      <c r="B822" s="6" t="n"/>
      <c r="C822" s="6" t="n"/>
      <c r="D822" s="14" t="n"/>
      <c r="E822" s="6" t="n"/>
      <c r="F822" s="15" t="n"/>
      <c r="G822" s="15" t="n"/>
      <c r="H822" s="13">
        <f>IF($B822="","",SUMIFS($F:$F,$B:$B,$B822,$D:$D,"&lt;="&amp;$D822)-SUMIFS($G:$G,$B:$B,$B822,$D:$D,"&lt;="&amp;$D822))</f>
        <v/>
      </c>
      <c r="I822" s="6" t="n"/>
      <c r="J822" s="6" t="n"/>
    </row>
    <row r="823">
      <c r="A823" s="2" t="n"/>
      <c r="B823" s="2" t="n"/>
      <c r="C823" s="2" t="n"/>
      <c r="D823" s="12" t="n"/>
      <c r="E823" s="2" t="n"/>
      <c r="F823" s="13" t="n"/>
      <c r="G823" s="13" t="n"/>
      <c r="H823" s="13">
        <f>IF($B823="","",SUMIFS($F:$F,$B:$B,$B823,$D:$D,"&lt;="&amp;$D823)-SUMIFS($G:$G,$B:$B,$B823,$D:$D,"&lt;="&amp;$D823))</f>
        <v/>
      </c>
      <c r="I823" s="2" t="n"/>
      <c r="J823" s="2" t="n"/>
    </row>
    <row r="824">
      <c r="A824" s="6" t="n"/>
      <c r="B824" s="6" t="n"/>
      <c r="C824" s="6" t="n"/>
      <c r="D824" s="14" t="n"/>
      <c r="E824" s="6" t="n"/>
      <c r="F824" s="15" t="n"/>
      <c r="G824" s="15" t="n"/>
      <c r="H824" s="13">
        <f>IF($B824="","",SUMIFS($F:$F,$B:$B,$B824,$D:$D,"&lt;="&amp;$D824)-SUMIFS($G:$G,$B:$B,$B824,$D:$D,"&lt;="&amp;$D824))</f>
        <v/>
      </c>
      <c r="I824" s="6" t="n"/>
      <c r="J824" s="6" t="n"/>
    </row>
    <row r="825">
      <c r="A825" s="2" t="n"/>
      <c r="B825" s="2" t="n"/>
      <c r="C825" s="2" t="n"/>
      <c r="D825" s="12" t="n"/>
      <c r="E825" s="2" t="n"/>
      <c r="F825" s="13" t="n"/>
      <c r="G825" s="13" t="n"/>
      <c r="H825" s="13">
        <f>IF($B825="","",SUMIFS($F:$F,$B:$B,$B825,$D:$D,"&lt;="&amp;$D825)-SUMIFS($G:$G,$B:$B,$B825,$D:$D,"&lt;="&amp;$D825))</f>
        <v/>
      </c>
      <c r="I825" s="2" t="n"/>
      <c r="J825" s="2" t="n"/>
    </row>
    <row r="826">
      <c r="A826" s="6" t="n"/>
      <c r="B826" s="6" t="n"/>
      <c r="C826" s="6" t="n"/>
      <c r="D826" s="14" t="n"/>
      <c r="E826" s="6" t="n"/>
      <c r="F826" s="15" t="n"/>
      <c r="G826" s="15" t="n"/>
      <c r="H826" s="13">
        <f>IF($B826="","",SUMIFS($F:$F,$B:$B,$B826,$D:$D,"&lt;="&amp;$D826)-SUMIFS($G:$G,$B:$B,$B826,$D:$D,"&lt;="&amp;$D826))</f>
        <v/>
      </c>
      <c r="I826" s="6" t="n"/>
      <c r="J826" s="6" t="n"/>
    </row>
    <row r="827">
      <c r="A827" s="2" t="n"/>
      <c r="B827" s="2" t="n"/>
      <c r="C827" s="2" t="n"/>
      <c r="D827" s="12" t="n"/>
      <c r="E827" s="2" t="n"/>
      <c r="F827" s="13" t="n"/>
      <c r="G827" s="13" t="n"/>
      <c r="H827" s="13">
        <f>IF($B827="","",SUMIFS($F:$F,$B:$B,$B827,$D:$D,"&lt;="&amp;$D827)-SUMIFS($G:$G,$B:$B,$B827,$D:$D,"&lt;="&amp;$D827))</f>
        <v/>
      </c>
      <c r="I827" s="2" t="n"/>
      <c r="J827" s="2" t="n"/>
    </row>
    <row r="828">
      <c r="A828" s="6" t="n"/>
      <c r="B828" s="6" t="n"/>
      <c r="C828" s="6" t="n"/>
      <c r="D828" s="14" t="n"/>
      <c r="E828" s="6" t="n"/>
      <c r="F828" s="15" t="n"/>
      <c r="G828" s="15" t="n"/>
      <c r="H828" s="13">
        <f>IF($B828="","",SUMIFS($F:$F,$B:$B,$B828,$D:$D,"&lt;="&amp;$D828)-SUMIFS($G:$G,$B:$B,$B828,$D:$D,"&lt;="&amp;$D828))</f>
        <v/>
      </c>
      <c r="I828" s="6" t="n"/>
      <c r="J828" s="6" t="n"/>
    </row>
    <row r="829">
      <c r="A829" s="2" t="n"/>
      <c r="B829" s="2" t="n"/>
      <c r="C829" s="2" t="n"/>
      <c r="D829" s="12" t="n"/>
      <c r="E829" s="2" t="n"/>
      <c r="F829" s="13" t="n"/>
      <c r="G829" s="13" t="n"/>
      <c r="H829" s="13">
        <f>IF($B829="","",SUMIFS($F:$F,$B:$B,$B829,$D:$D,"&lt;="&amp;$D829)-SUMIFS($G:$G,$B:$B,$B829,$D:$D,"&lt;="&amp;$D829))</f>
        <v/>
      </c>
      <c r="I829" s="2" t="n"/>
      <c r="J829" s="2" t="n"/>
    </row>
    <row r="830">
      <c r="A830" s="6" t="n"/>
      <c r="B830" s="6" t="n"/>
      <c r="C830" s="6" t="n"/>
      <c r="D830" s="14" t="n"/>
      <c r="E830" s="6" t="n"/>
      <c r="F830" s="15" t="n"/>
      <c r="G830" s="15" t="n"/>
      <c r="H830" s="13">
        <f>IF($B830="","",SUMIFS($F:$F,$B:$B,$B830,$D:$D,"&lt;="&amp;$D830)-SUMIFS($G:$G,$B:$B,$B830,$D:$D,"&lt;="&amp;$D830))</f>
        <v/>
      </c>
      <c r="I830" s="6" t="n"/>
      <c r="J830" s="6" t="n"/>
    </row>
    <row r="831">
      <c r="A831" s="2" t="n"/>
      <c r="B831" s="2" t="n"/>
      <c r="C831" s="2" t="n"/>
      <c r="D831" s="12" t="n"/>
      <c r="E831" s="2" t="n"/>
      <c r="F831" s="13" t="n"/>
      <c r="G831" s="13" t="n"/>
      <c r="H831" s="13">
        <f>IF($B831="","",SUMIFS($F:$F,$B:$B,$B831,$D:$D,"&lt;="&amp;$D831)-SUMIFS($G:$G,$B:$B,$B831,$D:$D,"&lt;="&amp;$D831))</f>
        <v/>
      </c>
      <c r="I831" s="2" t="n"/>
      <c r="J831" s="2" t="n"/>
    </row>
    <row r="832">
      <c r="A832" s="6" t="n"/>
      <c r="B832" s="6" t="n"/>
      <c r="C832" s="6" t="n"/>
      <c r="D832" s="14" t="n"/>
      <c r="E832" s="6" t="n"/>
      <c r="F832" s="15" t="n"/>
      <c r="G832" s="15" t="n"/>
      <c r="H832" s="13">
        <f>IF($B832="","",SUMIFS($F:$F,$B:$B,$B832,$D:$D,"&lt;="&amp;$D832)-SUMIFS($G:$G,$B:$B,$B832,$D:$D,"&lt;="&amp;$D832))</f>
        <v/>
      </c>
      <c r="I832" s="6" t="n"/>
      <c r="J832" s="6" t="n"/>
    </row>
    <row r="833">
      <c r="A833" s="2" t="n"/>
      <c r="B833" s="2" t="n"/>
      <c r="C833" s="2" t="n"/>
      <c r="D833" s="12" t="n"/>
      <c r="E833" s="2" t="n"/>
      <c r="F833" s="13" t="n"/>
      <c r="G833" s="13" t="n"/>
      <c r="H833" s="13">
        <f>IF($B833="","",SUMIFS($F:$F,$B:$B,$B833,$D:$D,"&lt;="&amp;$D833)-SUMIFS($G:$G,$B:$B,$B833,$D:$D,"&lt;="&amp;$D833))</f>
        <v/>
      </c>
      <c r="I833" s="2" t="n"/>
      <c r="J833" s="2" t="n"/>
    </row>
    <row r="834">
      <c r="A834" s="6" t="n"/>
      <c r="B834" s="6" t="n"/>
      <c r="C834" s="6" t="n"/>
      <c r="D834" s="14" t="n"/>
      <c r="E834" s="6" t="n"/>
      <c r="F834" s="15" t="n"/>
      <c r="G834" s="15" t="n"/>
      <c r="H834" s="13">
        <f>IF($B834="","",SUMIFS($F:$F,$B:$B,$B834,$D:$D,"&lt;="&amp;$D834)-SUMIFS($G:$G,$B:$B,$B834,$D:$D,"&lt;="&amp;$D834))</f>
        <v/>
      </c>
      <c r="I834" s="6" t="n"/>
      <c r="J834" s="6" t="n"/>
    </row>
    <row r="835">
      <c r="A835" s="2" t="n"/>
      <c r="B835" s="2" t="n"/>
      <c r="C835" s="2" t="n"/>
      <c r="D835" s="12" t="n"/>
      <c r="E835" s="2" t="n"/>
      <c r="F835" s="13" t="n"/>
      <c r="G835" s="13" t="n"/>
      <c r="H835" s="13">
        <f>IF($B835="","",SUMIFS($F:$F,$B:$B,$B835,$D:$D,"&lt;="&amp;$D835)-SUMIFS($G:$G,$B:$B,$B835,$D:$D,"&lt;="&amp;$D835))</f>
        <v/>
      </c>
      <c r="I835" s="2" t="n"/>
      <c r="J835" s="2" t="n"/>
    </row>
    <row r="836">
      <c r="A836" s="6" t="n"/>
      <c r="B836" s="6" t="n"/>
      <c r="C836" s="6" t="n"/>
      <c r="D836" s="14" t="n"/>
      <c r="E836" s="6" t="n"/>
      <c r="F836" s="15" t="n"/>
      <c r="G836" s="15" t="n"/>
      <c r="H836" s="13">
        <f>IF($B836="","",SUMIFS($F:$F,$B:$B,$B836,$D:$D,"&lt;="&amp;$D836)-SUMIFS($G:$G,$B:$B,$B836,$D:$D,"&lt;="&amp;$D836))</f>
        <v/>
      </c>
      <c r="I836" s="6" t="n"/>
      <c r="J836" s="6" t="n"/>
    </row>
    <row r="837">
      <c r="A837" s="2" t="n"/>
      <c r="B837" s="2" t="n"/>
      <c r="C837" s="2" t="n"/>
      <c r="D837" s="12" t="n"/>
      <c r="E837" s="2" t="n"/>
      <c r="F837" s="13" t="n"/>
      <c r="G837" s="13" t="n"/>
      <c r="H837" s="13">
        <f>IF($B837="","",SUMIFS($F:$F,$B:$B,$B837,$D:$D,"&lt;="&amp;$D837)-SUMIFS($G:$G,$B:$B,$B837,$D:$D,"&lt;="&amp;$D837))</f>
        <v/>
      </c>
      <c r="I837" s="2" t="n"/>
      <c r="J837" s="2" t="n"/>
    </row>
    <row r="838">
      <c r="A838" s="6" t="n"/>
      <c r="B838" s="6" t="n"/>
      <c r="C838" s="6" t="n"/>
      <c r="D838" s="14" t="n"/>
      <c r="E838" s="6" t="n"/>
      <c r="F838" s="15" t="n"/>
      <c r="G838" s="15" t="n"/>
      <c r="H838" s="13">
        <f>IF($B838="","",SUMIFS($F:$F,$B:$B,$B838,$D:$D,"&lt;="&amp;$D838)-SUMIFS($G:$G,$B:$B,$B838,$D:$D,"&lt;="&amp;$D838))</f>
        <v/>
      </c>
      <c r="I838" s="6" t="n"/>
      <c r="J838" s="6" t="n"/>
    </row>
    <row r="839">
      <c r="A839" s="2" t="n"/>
      <c r="B839" s="2" t="n"/>
      <c r="C839" s="2" t="n"/>
      <c r="D839" s="12" t="n"/>
      <c r="E839" s="2" t="n"/>
      <c r="F839" s="13" t="n"/>
      <c r="G839" s="13" t="n"/>
      <c r="H839" s="13">
        <f>IF($B839="","",SUMIFS($F:$F,$B:$B,$B839,$D:$D,"&lt;="&amp;$D839)-SUMIFS($G:$G,$B:$B,$B839,$D:$D,"&lt;="&amp;$D839))</f>
        <v/>
      </c>
      <c r="I839" s="2" t="n"/>
      <c r="J839" s="2" t="n"/>
    </row>
    <row r="840">
      <c r="A840" s="6" t="n"/>
      <c r="B840" s="6" t="n"/>
      <c r="C840" s="6" t="n"/>
      <c r="D840" s="14" t="n"/>
      <c r="E840" s="6" t="n"/>
      <c r="F840" s="15" t="n"/>
      <c r="G840" s="15" t="n"/>
      <c r="H840" s="13">
        <f>IF($B840="","",SUMIFS($F:$F,$B:$B,$B840,$D:$D,"&lt;="&amp;$D840)-SUMIFS($G:$G,$B:$B,$B840,$D:$D,"&lt;="&amp;$D840))</f>
        <v/>
      </c>
      <c r="I840" s="6" t="n"/>
      <c r="J840" s="6" t="n"/>
    </row>
    <row r="841">
      <c r="A841" s="2" t="n"/>
      <c r="B841" s="2" t="n"/>
      <c r="C841" s="2" t="n"/>
      <c r="D841" s="12" t="n"/>
      <c r="E841" s="2" t="n"/>
      <c r="F841" s="13" t="n"/>
      <c r="G841" s="13" t="n"/>
      <c r="H841" s="13">
        <f>IF($B841="","",SUMIFS($F:$F,$B:$B,$B841,$D:$D,"&lt;="&amp;$D841)-SUMIFS($G:$G,$B:$B,$B841,$D:$D,"&lt;="&amp;$D841))</f>
        <v/>
      </c>
      <c r="I841" s="2" t="n"/>
      <c r="J841" s="2" t="n"/>
    </row>
    <row r="842">
      <c r="A842" s="6" t="n"/>
      <c r="B842" s="6" t="n"/>
      <c r="C842" s="6" t="n"/>
      <c r="D842" s="14" t="n"/>
      <c r="E842" s="6" t="n"/>
      <c r="F842" s="15" t="n"/>
      <c r="G842" s="15" t="n"/>
      <c r="H842" s="13">
        <f>IF($B842="","",SUMIFS($F:$F,$B:$B,$B842,$D:$D,"&lt;="&amp;$D842)-SUMIFS($G:$G,$B:$B,$B842,$D:$D,"&lt;="&amp;$D842))</f>
        <v/>
      </c>
      <c r="I842" s="6" t="n"/>
      <c r="J842" s="6" t="n"/>
    </row>
    <row r="843">
      <c r="A843" s="2" t="n"/>
      <c r="B843" s="2" t="n"/>
      <c r="C843" s="2" t="n"/>
      <c r="D843" s="12" t="n"/>
      <c r="E843" s="2" t="n"/>
      <c r="F843" s="13" t="n"/>
      <c r="G843" s="13" t="n"/>
      <c r="H843" s="13">
        <f>IF($B843="","",SUMIFS($F:$F,$B:$B,$B843,$D:$D,"&lt;="&amp;$D843)-SUMIFS($G:$G,$B:$B,$B843,$D:$D,"&lt;="&amp;$D843))</f>
        <v/>
      </c>
      <c r="I843" s="2" t="n"/>
      <c r="J843" s="2" t="n"/>
    </row>
    <row r="844">
      <c r="A844" s="6" t="n"/>
      <c r="B844" s="6" t="n"/>
      <c r="C844" s="6" t="n"/>
      <c r="D844" s="14" t="n"/>
      <c r="E844" s="6" t="n"/>
      <c r="F844" s="15" t="n"/>
      <c r="G844" s="15" t="n"/>
      <c r="H844" s="13">
        <f>IF($B844="","",SUMIFS($F:$F,$B:$B,$B844,$D:$D,"&lt;="&amp;$D844)-SUMIFS($G:$G,$B:$B,$B844,$D:$D,"&lt;="&amp;$D844))</f>
        <v/>
      </c>
      <c r="I844" s="6" t="n"/>
      <c r="J844" s="6" t="n"/>
    </row>
    <row r="845">
      <c r="A845" s="2" t="n"/>
      <c r="B845" s="2" t="n"/>
      <c r="C845" s="2" t="n"/>
      <c r="D845" s="12" t="n"/>
      <c r="E845" s="2" t="n"/>
      <c r="F845" s="13" t="n"/>
      <c r="G845" s="13" t="n"/>
      <c r="H845" s="13">
        <f>IF($B845="","",SUMIFS($F:$F,$B:$B,$B845,$D:$D,"&lt;="&amp;$D845)-SUMIFS($G:$G,$B:$B,$B845,$D:$D,"&lt;="&amp;$D845))</f>
        <v/>
      </c>
      <c r="I845" s="2" t="n"/>
      <c r="J845" s="2" t="n"/>
    </row>
    <row r="846">
      <c r="A846" s="6" t="n"/>
      <c r="B846" s="6" t="n"/>
      <c r="C846" s="6" t="n"/>
      <c r="D846" s="14" t="n"/>
      <c r="E846" s="6" t="n"/>
      <c r="F846" s="15" t="n"/>
      <c r="G846" s="15" t="n"/>
      <c r="H846" s="13">
        <f>IF($B846="","",SUMIFS($F:$F,$B:$B,$B846,$D:$D,"&lt;="&amp;$D846)-SUMIFS($G:$G,$B:$B,$B846,$D:$D,"&lt;="&amp;$D846))</f>
        <v/>
      </c>
      <c r="I846" s="6" t="n"/>
      <c r="J846" s="6" t="n"/>
    </row>
    <row r="847">
      <c r="A847" s="2" t="n"/>
      <c r="B847" s="2" t="n"/>
      <c r="C847" s="2" t="n"/>
      <c r="D847" s="12" t="n"/>
      <c r="E847" s="2" t="n"/>
      <c r="F847" s="13" t="n"/>
      <c r="G847" s="13" t="n"/>
      <c r="H847" s="13">
        <f>IF($B847="","",SUMIFS($F:$F,$B:$B,$B847,$D:$D,"&lt;="&amp;$D847)-SUMIFS($G:$G,$B:$B,$B847,$D:$D,"&lt;="&amp;$D847))</f>
        <v/>
      </c>
      <c r="I847" s="2" t="n"/>
      <c r="J847" s="2" t="n"/>
    </row>
    <row r="848">
      <c r="A848" s="6" t="n"/>
      <c r="B848" s="6" t="n"/>
      <c r="C848" s="6" t="n"/>
      <c r="D848" s="14" t="n"/>
      <c r="E848" s="6" t="n"/>
      <c r="F848" s="15" t="n"/>
      <c r="G848" s="15" t="n"/>
      <c r="H848" s="13">
        <f>IF($B848="","",SUMIFS($F:$F,$B:$B,$B848,$D:$D,"&lt;="&amp;$D848)-SUMIFS($G:$G,$B:$B,$B848,$D:$D,"&lt;="&amp;$D848))</f>
        <v/>
      </c>
      <c r="I848" s="6" t="n"/>
      <c r="J848" s="6" t="n"/>
    </row>
    <row r="849">
      <c r="A849" s="2" t="n"/>
      <c r="B849" s="2" t="n"/>
      <c r="C849" s="2" t="n"/>
      <c r="D849" s="12" t="n"/>
      <c r="E849" s="2" t="n"/>
      <c r="F849" s="13" t="n"/>
      <c r="G849" s="13" t="n"/>
      <c r="H849" s="13">
        <f>IF($B849="","",SUMIFS($F:$F,$B:$B,$B849,$D:$D,"&lt;="&amp;$D849)-SUMIFS($G:$G,$B:$B,$B849,$D:$D,"&lt;="&amp;$D849))</f>
        <v/>
      </c>
      <c r="I849" s="2" t="n"/>
      <c r="J849" s="2" t="n"/>
    </row>
    <row r="850">
      <c r="A850" s="6" t="n"/>
      <c r="B850" s="6" t="n"/>
      <c r="C850" s="6" t="n"/>
      <c r="D850" s="14" t="n"/>
      <c r="E850" s="6" t="n"/>
      <c r="F850" s="15" t="n"/>
      <c r="G850" s="15" t="n"/>
      <c r="H850" s="13">
        <f>IF($B850="","",SUMIFS($F:$F,$B:$B,$B850,$D:$D,"&lt;="&amp;$D850)-SUMIFS($G:$G,$B:$B,$B850,$D:$D,"&lt;="&amp;$D850))</f>
        <v/>
      </c>
      <c r="I850" s="6" t="n"/>
      <c r="J850" s="6" t="n"/>
    </row>
    <row r="851">
      <c r="A851" s="2" t="n"/>
      <c r="B851" s="2" t="n"/>
      <c r="C851" s="2" t="n"/>
      <c r="D851" s="12" t="n"/>
      <c r="E851" s="2" t="n"/>
      <c r="F851" s="13" t="n"/>
      <c r="G851" s="13" t="n"/>
      <c r="H851" s="13">
        <f>IF($B851="","",SUMIFS($F:$F,$B:$B,$B851,$D:$D,"&lt;="&amp;$D851)-SUMIFS($G:$G,$B:$B,$B851,$D:$D,"&lt;="&amp;$D851))</f>
        <v/>
      </c>
      <c r="I851" s="2" t="n"/>
      <c r="J851" s="2" t="n"/>
    </row>
    <row r="852">
      <c r="A852" s="6" t="n"/>
      <c r="B852" s="6" t="n"/>
      <c r="C852" s="6" t="n"/>
      <c r="D852" s="14" t="n"/>
      <c r="E852" s="6" t="n"/>
      <c r="F852" s="15" t="n"/>
      <c r="G852" s="15" t="n"/>
      <c r="H852" s="13">
        <f>IF($B852="","",SUMIFS($F:$F,$B:$B,$B852,$D:$D,"&lt;="&amp;$D852)-SUMIFS($G:$G,$B:$B,$B852,$D:$D,"&lt;="&amp;$D852))</f>
        <v/>
      </c>
      <c r="I852" s="6" t="n"/>
      <c r="J852" s="6" t="n"/>
    </row>
    <row r="853">
      <c r="A853" s="2" t="n"/>
      <c r="B853" s="2" t="n"/>
      <c r="C853" s="2" t="n"/>
      <c r="D853" s="12" t="n"/>
      <c r="E853" s="2" t="n"/>
      <c r="F853" s="13" t="n"/>
      <c r="G853" s="13" t="n"/>
      <c r="H853" s="13">
        <f>IF($B853="","",SUMIFS($F:$F,$B:$B,$B853,$D:$D,"&lt;="&amp;$D853)-SUMIFS($G:$G,$B:$B,$B853,$D:$D,"&lt;="&amp;$D853))</f>
        <v/>
      </c>
      <c r="I853" s="2" t="n"/>
      <c r="J853" s="2" t="n"/>
    </row>
    <row r="854">
      <c r="A854" s="6" t="n"/>
      <c r="B854" s="6" t="n"/>
      <c r="C854" s="6" t="n"/>
      <c r="D854" s="14" t="n"/>
      <c r="E854" s="6" t="n"/>
      <c r="F854" s="15" t="n"/>
      <c r="G854" s="15" t="n"/>
      <c r="H854" s="13">
        <f>IF($B854="","",SUMIFS($F:$F,$B:$B,$B854,$D:$D,"&lt;="&amp;$D854)-SUMIFS($G:$G,$B:$B,$B854,$D:$D,"&lt;="&amp;$D854))</f>
        <v/>
      </c>
      <c r="I854" s="6" t="n"/>
      <c r="J854" s="6" t="n"/>
    </row>
    <row r="855">
      <c r="A855" s="2" t="n"/>
      <c r="B855" s="2" t="n"/>
      <c r="C855" s="2" t="n"/>
      <c r="D855" s="12" t="n"/>
      <c r="E855" s="2" t="n"/>
      <c r="F855" s="13" t="n"/>
      <c r="G855" s="13" t="n"/>
      <c r="H855" s="13">
        <f>IF($B855="","",SUMIFS($F:$F,$B:$B,$B855,$D:$D,"&lt;="&amp;$D855)-SUMIFS($G:$G,$B:$B,$B855,$D:$D,"&lt;="&amp;$D855))</f>
        <v/>
      </c>
      <c r="I855" s="2" t="n"/>
      <c r="J855" s="2" t="n"/>
    </row>
    <row r="856">
      <c r="A856" s="6" t="n"/>
      <c r="B856" s="6" t="n"/>
      <c r="C856" s="6" t="n"/>
      <c r="D856" s="14" t="n"/>
      <c r="E856" s="6" t="n"/>
      <c r="F856" s="15" t="n"/>
      <c r="G856" s="15" t="n"/>
      <c r="H856" s="13">
        <f>IF($B856="","",SUMIFS($F:$F,$B:$B,$B856,$D:$D,"&lt;="&amp;$D856)-SUMIFS($G:$G,$B:$B,$B856,$D:$D,"&lt;="&amp;$D856))</f>
        <v/>
      </c>
      <c r="I856" s="6" t="n"/>
      <c r="J856" s="6" t="n"/>
    </row>
    <row r="857">
      <c r="A857" s="2" t="n"/>
      <c r="B857" s="2" t="n"/>
      <c r="C857" s="2" t="n"/>
      <c r="D857" s="12" t="n"/>
      <c r="E857" s="2" t="n"/>
      <c r="F857" s="13" t="n"/>
      <c r="G857" s="13" t="n"/>
      <c r="H857" s="13">
        <f>IF($B857="","",SUMIFS($F:$F,$B:$B,$B857,$D:$D,"&lt;="&amp;$D857)-SUMIFS($G:$G,$B:$B,$B857,$D:$D,"&lt;="&amp;$D857))</f>
        <v/>
      </c>
      <c r="I857" s="2" t="n"/>
      <c r="J857" s="2" t="n"/>
    </row>
    <row r="858">
      <c r="A858" s="6" t="n"/>
      <c r="B858" s="6" t="n"/>
      <c r="C858" s="6" t="n"/>
      <c r="D858" s="14" t="n"/>
      <c r="E858" s="6" t="n"/>
      <c r="F858" s="15" t="n"/>
      <c r="G858" s="15" t="n"/>
      <c r="H858" s="13">
        <f>IF($B858="","",SUMIFS($F:$F,$B:$B,$B858,$D:$D,"&lt;="&amp;$D858)-SUMIFS($G:$G,$B:$B,$B858,$D:$D,"&lt;="&amp;$D858))</f>
        <v/>
      </c>
      <c r="I858" s="6" t="n"/>
      <c r="J858" s="6" t="n"/>
    </row>
    <row r="859">
      <c r="A859" s="2" t="n"/>
      <c r="B859" s="2" t="n"/>
      <c r="C859" s="2" t="n"/>
      <c r="D859" s="12" t="n"/>
      <c r="E859" s="2" t="n"/>
      <c r="F859" s="13" t="n"/>
      <c r="G859" s="13" t="n"/>
      <c r="H859" s="13">
        <f>IF($B859="","",SUMIFS($F:$F,$B:$B,$B859,$D:$D,"&lt;="&amp;$D859)-SUMIFS($G:$G,$B:$B,$B859,$D:$D,"&lt;="&amp;$D859))</f>
        <v/>
      </c>
      <c r="I859" s="2" t="n"/>
      <c r="J859" s="2" t="n"/>
    </row>
    <row r="860">
      <c r="A860" s="6" t="n"/>
      <c r="B860" s="6" t="n"/>
      <c r="C860" s="6" t="n"/>
      <c r="D860" s="14" t="n"/>
      <c r="E860" s="6" t="n"/>
      <c r="F860" s="15" t="n"/>
      <c r="G860" s="15" t="n"/>
      <c r="H860" s="13">
        <f>IF($B860="","",SUMIFS($F:$F,$B:$B,$B860,$D:$D,"&lt;="&amp;$D860)-SUMIFS($G:$G,$B:$B,$B860,$D:$D,"&lt;="&amp;$D860))</f>
        <v/>
      </c>
      <c r="I860" s="6" t="n"/>
      <c r="J860" s="6" t="n"/>
    </row>
    <row r="861">
      <c r="A861" s="2" t="n"/>
      <c r="B861" s="2" t="n"/>
      <c r="C861" s="2" t="n"/>
      <c r="D861" s="12" t="n"/>
      <c r="E861" s="2" t="n"/>
      <c r="F861" s="13" t="n"/>
      <c r="G861" s="13" t="n"/>
      <c r="H861" s="13">
        <f>IF($B861="","",SUMIFS($F:$F,$B:$B,$B861,$D:$D,"&lt;="&amp;$D861)-SUMIFS($G:$G,$B:$B,$B861,$D:$D,"&lt;="&amp;$D861))</f>
        <v/>
      </c>
      <c r="I861" s="2" t="n"/>
      <c r="J861" s="2" t="n"/>
    </row>
    <row r="862">
      <c r="A862" s="6" t="n"/>
      <c r="B862" s="6" t="n"/>
      <c r="C862" s="6" t="n"/>
      <c r="D862" s="14" t="n"/>
      <c r="E862" s="6" t="n"/>
      <c r="F862" s="15" t="n"/>
      <c r="G862" s="15" t="n"/>
      <c r="H862" s="13">
        <f>IF($B862="","",SUMIFS($F:$F,$B:$B,$B862,$D:$D,"&lt;="&amp;$D862)-SUMIFS($G:$G,$B:$B,$B862,$D:$D,"&lt;="&amp;$D862))</f>
        <v/>
      </c>
      <c r="I862" s="6" t="n"/>
      <c r="J862" s="6" t="n"/>
    </row>
    <row r="863">
      <c r="A863" s="2" t="n"/>
      <c r="B863" s="2" t="n"/>
      <c r="C863" s="2" t="n"/>
      <c r="D863" s="12" t="n"/>
      <c r="E863" s="2" t="n"/>
      <c r="F863" s="13" t="n"/>
      <c r="G863" s="13" t="n"/>
      <c r="H863" s="13">
        <f>IF($B863="","",SUMIFS($F:$F,$B:$B,$B863,$D:$D,"&lt;="&amp;$D863)-SUMIFS($G:$G,$B:$B,$B863,$D:$D,"&lt;="&amp;$D863))</f>
        <v/>
      </c>
      <c r="I863" s="2" t="n"/>
      <c r="J863" s="2" t="n"/>
    </row>
    <row r="864">
      <c r="A864" s="6" t="n"/>
      <c r="B864" s="6" t="n"/>
      <c r="C864" s="6" t="n"/>
      <c r="D864" s="14" t="n"/>
      <c r="E864" s="6" t="n"/>
      <c r="F864" s="15" t="n"/>
      <c r="G864" s="15" t="n"/>
      <c r="H864" s="13">
        <f>IF($B864="","",SUMIFS($F:$F,$B:$B,$B864,$D:$D,"&lt;="&amp;$D864)-SUMIFS($G:$G,$B:$B,$B864,$D:$D,"&lt;="&amp;$D864))</f>
        <v/>
      </c>
      <c r="I864" s="6" t="n"/>
      <c r="J864" s="6" t="n"/>
    </row>
    <row r="865">
      <c r="A865" s="2" t="n"/>
      <c r="B865" s="2" t="n"/>
      <c r="C865" s="2" t="n"/>
      <c r="D865" s="12" t="n"/>
      <c r="E865" s="2" t="n"/>
      <c r="F865" s="13" t="n"/>
      <c r="G865" s="13" t="n"/>
      <c r="H865" s="13">
        <f>IF($B865="","",SUMIFS($F:$F,$B:$B,$B865,$D:$D,"&lt;="&amp;$D865)-SUMIFS($G:$G,$B:$B,$B865,$D:$D,"&lt;="&amp;$D865))</f>
        <v/>
      </c>
      <c r="I865" s="2" t="n"/>
      <c r="J865" s="2" t="n"/>
    </row>
    <row r="866">
      <c r="A866" s="6" t="n"/>
      <c r="B866" s="6" t="n"/>
      <c r="C866" s="6" t="n"/>
      <c r="D866" s="14" t="n"/>
      <c r="E866" s="6" t="n"/>
      <c r="F866" s="15" t="n"/>
      <c r="G866" s="15" t="n"/>
      <c r="H866" s="13">
        <f>IF($B866="","",SUMIFS($F:$F,$B:$B,$B866,$D:$D,"&lt;="&amp;$D866)-SUMIFS($G:$G,$B:$B,$B866,$D:$D,"&lt;="&amp;$D866))</f>
        <v/>
      </c>
      <c r="I866" s="6" t="n"/>
      <c r="J866" s="6" t="n"/>
    </row>
    <row r="867">
      <c r="A867" s="2" t="n"/>
      <c r="B867" s="2" t="n"/>
      <c r="C867" s="2" t="n"/>
      <c r="D867" s="12" t="n"/>
      <c r="E867" s="2" t="n"/>
      <c r="F867" s="13" t="n"/>
      <c r="G867" s="13" t="n"/>
      <c r="H867" s="13">
        <f>IF($B867="","",SUMIFS($F:$F,$B:$B,$B867,$D:$D,"&lt;="&amp;$D867)-SUMIFS($G:$G,$B:$B,$B867,$D:$D,"&lt;="&amp;$D867))</f>
        <v/>
      </c>
      <c r="I867" s="2" t="n"/>
      <c r="J867" s="2" t="n"/>
    </row>
    <row r="868">
      <c r="A868" s="6" t="n"/>
      <c r="B868" s="6" t="n"/>
      <c r="C868" s="6" t="n"/>
      <c r="D868" s="14" t="n"/>
      <c r="E868" s="6" t="n"/>
      <c r="F868" s="15" t="n"/>
      <c r="G868" s="15" t="n"/>
      <c r="H868" s="13">
        <f>IF($B868="","",SUMIFS($F:$F,$B:$B,$B868,$D:$D,"&lt;="&amp;$D868)-SUMIFS($G:$G,$B:$B,$B868,$D:$D,"&lt;="&amp;$D868))</f>
        <v/>
      </c>
      <c r="I868" s="6" t="n"/>
      <c r="J868" s="6" t="n"/>
    </row>
    <row r="869">
      <c r="A869" s="2" t="n"/>
      <c r="B869" s="2" t="n"/>
      <c r="C869" s="2" t="n"/>
      <c r="D869" s="12" t="n"/>
      <c r="E869" s="2" t="n"/>
      <c r="F869" s="13" t="n"/>
      <c r="G869" s="13" t="n"/>
      <c r="H869" s="13">
        <f>IF($B869="","",SUMIFS($F:$F,$B:$B,$B869,$D:$D,"&lt;="&amp;$D869)-SUMIFS($G:$G,$B:$B,$B869,$D:$D,"&lt;="&amp;$D869))</f>
        <v/>
      </c>
      <c r="I869" s="2" t="n"/>
      <c r="J869" s="2" t="n"/>
    </row>
    <row r="870">
      <c r="A870" s="6" t="n"/>
      <c r="B870" s="6" t="n"/>
      <c r="C870" s="6" t="n"/>
      <c r="D870" s="14" t="n"/>
      <c r="E870" s="6" t="n"/>
      <c r="F870" s="15" t="n"/>
      <c r="G870" s="15" t="n"/>
      <c r="H870" s="13">
        <f>IF($B870="","",SUMIFS($F:$F,$B:$B,$B870,$D:$D,"&lt;="&amp;$D870)-SUMIFS($G:$G,$B:$B,$B870,$D:$D,"&lt;="&amp;$D870))</f>
        <v/>
      </c>
      <c r="I870" s="6" t="n"/>
      <c r="J870" s="6" t="n"/>
    </row>
    <row r="871">
      <c r="A871" s="2" t="n"/>
      <c r="B871" s="2" t="n"/>
      <c r="C871" s="2" t="n"/>
      <c r="D871" s="12" t="n"/>
      <c r="E871" s="2" t="n"/>
      <c r="F871" s="13" t="n"/>
      <c r="G871" s="13" t="n"/>
      <c r="H871" s="13">
        <f>IF($B871="","",SUMIFS($F:$F,$B:$B,$B871,$D:$D,"&lt;="&amp;$D871)-SUMIFS($G:$G,$B:$B,$B871,$D:$D,"&lt;="&amp;$D871))</f>
        <v/>
      </c>
      <c r="I871" s="2" t="n"/>
      <c r="J871" s="2" t="n"/>
    </row>
    <row r="872">
      <c r="A872" s="6" t="n"/>
      <c r="B872" s="6" t="n"/>
      <c r="C872" s="6" t="n"/>
      <c r="D872" s="14" t="n"/>
      <c r="E872" s="6" t="n"/>
      <c r="F872" s="15" t="n"/>
      <c r="G872" s="15" t="n"/>
      <c r="H872" s="13">
        <f>IF($B872="","",SUMIFS($F:$F,$B:$B,$B872,$D:$D,"&lt;="&amp;$D872)-SUMIFS($G:$G,$B:$B,$B872,$D:$D,"&lt;="&amp;$D872))</f>
        <v/>
      </c>
      <c r="I872" s="6" t="n"/>
      <c r="J872" s="6" t="n"/>
    </row>
    <row r="873">
      <c r="A873" s="2" t="n"/>
      <c r="B873" s="2" t="n"/>
      <c r="C873" s="2" t="n"/>
      <c r="D873" s="12" t="n"/>
      <c r="E873" s="2" t="n"/>
      <c r="F873" s="13" t="n"/>
      <c r="G873" s="13" t="n"/>
      <c r="H873" s="13">
        <f>IF($B873="","",SUMIFS($F:$F,$B:$B,$B873,$D:$D,"&lt;="&amp;$D873)-SUMIFS($G:$G,$B:$B,$B873,$D:$D,"&lt;="&amp;$D873))</f>
        <v/>
      </c>
      <c r="I873" s="2" t="n"/>
      <c r="J873" s="2" t="n"/>
    </row>
    <row r="874">
      <c r="A874" s="6" t="n"/>
      <c r="B874" s="6" t="n"/>
      <c r="C874" s="6" t="n"/>
      <c r="D874" s="14" t="n"/>
      <c r="E874" s="6" t="n"/>
      <c r="F874" s="15" t="n"/>
      <c r="G874" s="15" t="n"/>
      <c r="H874" s="13">
        <f>IF($B874="","",SUMIFS($F:$F,$B:$B,$B874,$D:$D,"&lt;="&amp;$D874)-SUMIFS($G:$G,$B:$B,$B874,$D:$D,"&lt;="&amp;$D874))</f>
        <v/>
      </c>
      <c r="I874" s="6" t="n"/>
      <c r="J874" s="6" t="n"/>
    </row>
    <row r="875">
      <c r="A875" s="2" t="n"/>
      <c r="B875" s="2" t="n"/>
      <c r="C875" s="2" t="n"/>
      <c r="D875" s="12" t="n"/>
      <c r="E875" s="2" t="n"/>
      <c r="F875" s="13" t="n"/>
      <c r="G875" s="13" t="n"/>
      <c r="H875" s="13">
        <f>IF($B875="","",SUMIFS($F:$F,$B:$B,$B875,$D:$D,"&lt;="&amp;$D875)-SUMIFS($G:$G,$B:$B,$B875,$D:$D,"&lt;="&amp;$D875))</f>
        <v/>
      </c>
      <c r="I875" s="2" t="n"/>
      <c r="J875" s="2" t="n"/>
    </row>
    <row r="876">
      <c r="A876" s="6" t="n"/>
      <c r="B876" s="6" t="n"/>
      <c r="C876" s="6" t="n"/>
      <c r="D876" s="14" t="n"/>
      <c r="E876" s="6" t="n"/>
      <c r="F876" s="15" t="n"/>
      <c r="G876" s="15" t="n"/>
      <c r="H876" s="13">
        <f>IF($B876="","",SUMIFS($F:$F,$B:$B,$B876,$D:$D,"&lt;="&amp;$D876)-SUMIFS($G:$G,$B:$B,$B876,$D:$D,"&lt;="&amp;$D876))</f>
        <v/>
      </c>
      <c r="I876" s="6" t="n"/>
      <c r="J876" s="6" t="n"/>
    </row>
    <row r="877">
      <c r="A877" s="2" t="n"/>
      <c r="B877" s="2" t="n"/>
      <c r="C877" s="2" t="n"/>
      <c r="D877" s="12" t="n"/>
      <c r="E877" s="2" t="n"/>
      <c r="F877" s="13" t="n"/>
      <c r="G877" s="13" t="n"/>
      <c r="H877" s="13">
        <f>IF($B877="","",SUMIFS($F:$F,$B:$B,$B877,$D:$D,"&lt;="&amp;$D877)-SUMIFS($G:$G,$B:$B,$B877,$D:$D,"&lt;="&amp;$D877))</f>
        <v/>
      </c>
      <c r="I877" s="2" t="n"/>
      <c r="J877" s="2" t="n"/>
    </row>
    <row r="878">
      <c r="A878" s="6" t="n"/>
      <c r="B878" s="6" t="n"/>
      <c r="C878" s="6" t="n"/>
      <c r="D878" s="14" t="n"/>
      <c r="E878" s="6" t="n"/>
      <c r="F878" s="15" t="n"/>
      <c r="G878" s="15" t="n"/>
      <c r="H878" s="13">
        <f>IF($B878="","",SUMIFS($F:$F,$B:$B,$B878,$D:$D,"&lt;="&amp;$D878)-SUMIFS($G:$G,$B:$B,$B878,$D:$D,"&lt;="&amp;$D878))</f>
        <v/>
      </c>
      <c r="I878" s="6" t="n"/>
      <c r="J878" s="6" t="n"/>
    </row>
    <row r="879">
      <c r="A879" s="2" t="n"/>
      <c r="B879" s="2" t="n"/>
      <c r="C879" s="2" t="n"/>
      <c r="D879" s="12" t="n"/>
      <c r="E879" s="2" t="n"/>
      <c r="F879" s="13" t="n"/>
      <c r="G879" s="13" t="n"/>
      <c r="H879" s="13">
        <f>IF($B879="","",SUMIFS($F:$F,$B:$B,$B879,$D:$D,"&lt;="&amp;$D879)-SUMIFS($G:$G,$B:$B,$B879,$D:$D,"&lt;="&amp;$D879))</f>
        <v/>
      </c>
      <c r="I879" s="2" t="n"/>
      <c r="J879" s="2" t="n"/>
    </row>
    <row r="880">
      <c r="A880" s="6" t="n"/>
      <c r="B880" s="6" t="n"/>
      <c r="C880" s="6" t="n"/>
      <c r="D880" s="14" t="n"/>
      <c r="E880" s="6" t="n"/>
      <c r="F880" s="15" t="n"/>
      <c r="G880" s="15" t="n"/>
      <c r="H880" s="13">
        <f>IF($B880="","",SUMIFS($F:$F,$B:$B,$B880,$D:$D,"&lt;="&amp;$D880)-SUMIFS($G:$G,$B:$B,$B880,$D:$D,"&lt;="&amp;$D880))</f>
        <v/>
      </c>
      <c r="I880" s="6" t="n"/>
      <c r="J880" s="6" t="n"/>
    </row>
    <row r="881">
      <c r="A881" s="2" t="n"/>
      <c r="B881" s="2" t="n"/>
      <c r="C881" s="2" t="n"/>
      <c r="D881" s="12" t="n"/>
      <c r="E881" s="2" t="n"/>
      <c r="F881" s="13" t="n"/>
      <c r="G881" s="13" t="n"/>
      <c r="H881" s="13">
        <f>IF($B881="","",SUMIFS($F:$F,$B:$B,$B881,$D:$D,"&lt;="&amp;$D881)-SUMIFS($G:$G,$B:$B,$B881,$D:$D,"&lt;="&amp;$D881))</f>
        <v/>
      </c>
      <c r="I881" s="2" t="n"/>
      <c r="J881" s="2" t="n"/>
    </row>
    <row r="882">
      <c r="A882" s="6" t="n"/>
      <c r="B882" s="6" t="n"/>
      <c r="C882" s="6" t="n"/>
      <c r="D882" s="14" t="n"/>
      <c r="E882" s="6" t="n"/>
      <c r="F882" s="15" t="n"/>
      <c r="G882" s="15" t="n"/>
      <c r="H882" s="13">
        <f>IF($B882="","",SUMIFS($F:$F,$B:$B,$B882,$D:$D,"&lt;="&amp;$D882)-SUMIFS($G:$G,$B:$B,$B882,$D:$D,"&lt;="&amp;$D882))</f>
        <v/>
      </c>
      <c r="I882" s="6" t="n"/>
      <c r="J882" s="6" t="n"/>
    </row>
    <row r="883">
      <c r="A883" s="2" t="n"/>
      <c r="B883" s="2" t="n"/>
      <c r="C883" s="2" t="n"/>
      <c r="D883" s="12" t="n"/>
      <c r="E883" s="2" t="n"/>
      <c r="F883" s="13" t="n"/>
      <c r="G883" s="13" t="n"/>
      <c r="H883" s="13">
        <f>IF($B883="","",SUMIFS($F:$F,$B:$B,$B883,$D:$D,"&lt;="&amp;$D883)-SUMIFS($G:$G,$B:$B,$B883,$D:$D,"&lt;="&amp;$D883))</f>
        <v/>
      </c>
      <c r="I883" s="2" t="n"/>
      <c r="J883" s="2" t="n"/>
    </row>
    <row r="884">
      <c r="A884" s="6" t="n"/>
      <c r="B884" s="6" t="n"/>
      <c r="C884" s="6" t="n"/>
      <c r="D884" s="14" t="n"/>
      <c r="E884" s="6" t="n"/>
      <c r="F884" s="15" t="n"/>
      <c r="G884" s="15" t="n"/>
      <c r="H884" s="13">
        <f>IF($B884="","",SUMIFS($F:$F,$B:$B,$B884,$D:$D,"&lt;="&amp;$D884)-SUMIFS($G:$G,$B:$B,$B884,$D:$D,"&lt;="&amp;$D884))</f>
        <v/>
      </c>
      <c r="I884" s="6" t="n"/>
      <c r="J884" s="6" t="n"/>
    </row>
    <row r="885">
      <c r="A885" s="2" t="n"/>
      <c r="B885" s="2" t="n"/>
      <c r="C885" s="2" t="n"/>
      <c r="D885" s="12" t="n"/>
      <c r="E885" s="2" t="n"/>
      <c r="F885" s="13" t="n"/>
      <c r="G885" s="13" t="n"/>
      <c r="H885" s="13">
        <f>IF($B885="","",SUMIFS($F:$F,$B:$B,$B885,$D:$D,"&lt;="&amp;$D885)-SUMIFS($G:$G,$B:$B,$B885,$D:$D,"&lt;="&amp;$D885))</f>
        <v/>
      </c>
      <c r="I885" s="2" t="n"/>
      <c r="J885" s="2" t="n"/>
    </row>
    <row r="886">
      <c r="A886" s="6" t="n"/>
      <c r="B886" s="6" t="n"/>
      <c r="C886" s="6" t="n"/>
      <c r="D886" s="14" t="n"/>
      <c r="E886" s="6" t="n"/>
      <c r="F886" s="15" t="n"/>
      <c r="G886" s="15" t="n"/>
      <c r="H886" s="13">
        <f>IF($B886="","",SUMIFS($F:$F,$B:$B,$B886,$D:$D,"&lt;="&amp;$D886)-SUMIFS($G:$G,$B:$B,$B886,$D:$D,"&lt;="&amp;$D886))</f>
        <v/>
      </c>
      <c r="I886" s="6" t="n"/>
      <c r="J886" s="6" t="n"/>
    </row>
    <row r="887">
      <c r="A887" s="2" t="n"/>
      <c r="B887" s="2" t="n"/>
      <c r="C887" s="2" t="n"/>
      <c r="D887" s="12" t="n"/>
      <c r="E887" s="2" t="n"/>
      <c r="F887" s="13" t="n"/>
      <c r="G887" s="13" t="n"/>
      <c r="H887" s="13">
        <f>IF($B887="","",SUMIFS($F:$F,$B:$B,$B887,$D:$D,"&lt;="&amp;$D887)-SUMIFS($G:$G,$B:$B,$B887,$D:$D,"&lt;="&amp;$D887))</f>
        <v/>
      </c>
      <c r="I887" s="2" t="n"/>
      <c r="J887" s="2" t="n"/>
    </row>
    <row r="888">
      <c r="A888" s="6" t="n"/>
      <c r="B888" s="6" t="n"/>
      <c r="C888" s="6" t="n"/>
      <c r="D888" s="14" t="n"/>
      <c r="E888" s="6" t="n"/>
      <c r="F888" s="15" t="n"/>
      <c r="G888" s="15" t="n"/>
      <c r="H888" s="13">
        <f>IF($B888="","",SUMIFS($F:$F,$B:$B,$B888,$D:$D,"&lt;="&amp;$D888)-SUMIFS($G:$G,$B:$B,$B888,$D:$D,"&lt;="&amp;$D888))</f>
        <v/>
      </c>
      <c r="I888" s="6" t="n"/>
      <c r="J888" s="6" t="n"/>
    </row>
    <row r="889">
      <c r="A889" s="2" t="n"/>
      <c r="B889" s="2" t="n"/>
      <c r="C889" s="2" t="n"/>
      <c r="D889" s="12" t="n"/>
      <c r="E889" s="2" t="n"/>
      <c r="F889" s="13" t="n"/>
      <c r="G889" s="13" t="n"/>
      <c r="H889" s="13">
        <f>IF($B889="","",SUMIFS($F:$F,$B:$B,$B889,$D:$D,"&lt;="&amp;$D889)-SUMIFS($G:$G,$B:$B,$B889,$D:$D,"&lt;="&amp;$D889))</f>
        <v/>
      </c>
      <c r="I889" s="2" t="n"/>
      <c r="J889" s="2" t="n"/>
    </row>
    <row r="890">
      <c r="A890" s="6" t="n"/>
      <c r="B890" s="6" t="n"/>
      <c r="C890" s="6" t="n"/>
      <c r="D890" s="14" t="n"/>
      <c r="E890" s="6" t="n"/>
      <c r="F890" s="15" t="n"/>
      <c r="G890" s="15" t="n"/>
      <c r="H890" s="13">
        <f>IF($B890="","",SUMIFS($F:$F,$B:$B,$B890,$D:$D,"&lt;="&amp;$D890)-SUMIFS($G:$G,$B:$B,$B890,$D:$D,"&lt;="&amp;$D890))</f>
        <v/>
      </c>
      <c r="I890" s="6" t="n"/>
      <c r="J890" s="6" t="n"/>
    </row>
    <row r="891">
      <c r="A891" s="2" t="n"/>
      <c r="B891" s="2" t="n"/>
      <c r="C891" s="2" t="n"/>
      <c r="D891" s="12" t="n"/>
      <c r="E891" s="2" t="n"/>
      <c r="F891" s="13" t="n"/>
      <c r="G891" s="13" t="n"/>
      <c r="H891" s="13">
        <f>IF($B891="","",SUMIFS($F:$F,$B:$B,$B891,$D:$D,"&lt;="&amp;$D891)-SUMIFS($G:$G,$B:$B,$B891,$D:$D,"&lt;="&amp;$D891))</f>
        <v/>
      </c>
      <c r="I891" s="2" t="n"/>
      <c r="J891" s="2" t="n"/>
    </row>
    <row r="892">
      <c r="A892" s="6" t="n"/>
      <c r="B892" s="6" t="n"/>
      <c r="C892" s="6" t="n"/>
      <c r="D892" s="14" t="n"/>
      <c r="E892" s="6" t="n"/>
      <c r="F892" s="15" t="n"/>
      <c r="G892" s="15" t="n"/>
      <c r="H892" s="13">
        <f>IF($B892="","",SUMIFS($F:$F,$B:$B,$B892,$D:$D,"&lt;="&amp;$D892)-SUMIFS($G:$G,$B:$B,$B892,$D:$D,"&lt;="&amp;$D892))</f>
        <v/>
      </c>
      <c r="I892" s="6" t="n"/>
      <c r="J892" s="6" t="n"/>
    </row>
    <row r="893">
      <c r="A893" s="2" t="n"/>
      <c r="B893" s="2" t="n"/>
      <c r="C893" s="2" t="n"/>
      <c r="D893" s="12" t="n"/>
      <c r="E893" s="2" t="n"/>
      <c r="F893" s="13" t="n"/>
      <c r="G893" s="13" t="n"/>
      <c r="H893" s="13">
        <f>IF($B893="","",SUMIFS($F:$F,$B:$B,$B893,$D:$D,"&lt;="&amp;$D893)-SUMIFS($G:$G,$B:$B,$B893,$D:$D,"&lt;="&amp;$D893))</f>
        <v/>
      </c>
      <c r="I893" s="2" t="n"/>
      <c r="J893" s="2" t="n"/>
    </row>
    <row r="894">
      <c r="A894" s="6" t="n"/>
      <c r="B894" s="6" t="n"/>
      <c r="C894" s="6" t="n"/>
      <c r="D894" s="14" t="n"/>
      <c r="E894" s="6" t="n"/>
      <c r="F894" s="15" t="n"/>
      <c r="G894" s="15" t="n"/>
      <c r="H894" s="13">
        <f>IF($B894="","",SUMIFS($F:$F,$B:$B,$B894,$D:$D,"&lt;="&amp;$D894)-SUMIFS($G:$G,$B:$B,$B894,$D:$D,"&lt;="&amp;$D894))</f>
        <v/>
      </c>
      <c r="I894" s="6" t="n"/>
      <c r="J894" s="6" t="n"/>
    </row>
    <row r="895">
      <c r="A895" s="2" t="n"/>
      <c r="B895" s="2" t="n"/>
      <c r="C895" s="2" t="n"/>
      <c r="D895" s="12" t="n"/>
      <c r="E895" s="2" t="n"/>
      <c r="F895" s="13" t="n"/>
      <c r="G895" s="13" t="n"/>
      <c r="H895" s="13">
        <f>IF($B895="","",SUMIFS($F:$F,$B:$B,$B895,$D:$D,"&lt;="&amp;$D895)-SUMIFS($G:$G,$B:$B,$B895,$D:$D,"&lt;="&amp;$D895))</f>
        <v/>
      </c>
      <c r="I895" s="2" t="n"/>
      <c r="J895" s="2" t="n"/>
    </row>
    <row r="896">
      <c r="A896" s="6" t="n"/>
      <c r="B896" s="6" t="n"/>
      <c r="C896" s="6" t="n"/>
      <c r="D896" s="14" t="n"/>
      <c r="E896" s="6" t="n"/>
      <c r="F896" s="15" t="n"/>
      <c r="G896" s="15" t="n"/>
      <c r="H896" s="13">
        <f>IF($B896="","",SUMIFS($F:$F,$B:$B,$B896,$D:$D,"&lt;="&amp;$D896)-SUMIFS($G:$G,$B:$B,$B896,$D:$D,"&lt;="&amp;$D896))</f>
        <v/>
      </c>
      <c r="I896" s="6" t="n"/>
      <c r="J896" s="6" t="n"/>
    </row>
    <row r="897">
      <c r="A897" s="2" t="n"/>
      <c r="B897" s="2" t="n"/>
      <c r="C897" s="2" t="n"/>
      <c r="D897" s="12" t="n"/>
      <c r="E897" s="2" t="n"/>
      <c r="F897" s="13" t="n"/>
      <c r="G897" s="13" t="n"/>
      <c r="H897" s="13">
        <f>IF($B897="","",SUMIFS($F:$F,$B:$B,$B897,$D:$D,"&lt;="&amp;$D897)-SUMIFS($G:$G,$B:$B,$B897,$D:$D,"&lt;="&amp;$D897))</f>
        <v/>
      </c>
      <c r="I897" s="2" t="n"/>
      <c r="J897" s="2" t="n"/>
    </row>
    <row r="898">
      <c r="A898" s="6" t="n"/>
      <c r="B898" s="6" t="n"/>
      <c r="C898" s="6" t="n"/>
      <c r="D898" s="14" t="n"/>
      <c r="E898" s="6" t="n"/>
      <c r="F898" s="15" t="n"/>
      <c r="G898" s="15" t="n"/>
      <c r="H898" s="13">
        <f>IF($B898="","",SUMIFS($F:$F,$B:$B,$B898,$D:$D,"&lt;="&amp;$D898)-SUMIFS($G:$G,$B:$B,$B898,$D:$D,"&lt;="&amp;$D898))</f>
        <v/>
      </c>
      <c r="I898" s="6" t="n"/>
      <c r="J898" s="6" t="n"/>
    </row>
    <row r="899">
      <c r="A899" s="2" t="n"/>
      <c r="B899" s="2" t="n"/>
      <c r="C899" s="2" t="n"/>
      <c r="D899" s="12" t="n"/>
      <c r="E899" s="2" t="n"/>
      <c r="F899" s="13" t="n"/>
      <c r="G899" s="13" t="n"/>
      <c r="H899" s="13">
        <f>IF($B899="","",SUMIFS($F:$F,$B:$B,$B899,$D:$D,"&lt;="&amp;$D899)-SUMIFS($G:$G,$B:$B,$B899,$D:$D,"&lt;="&amp;$D899))</f>
        <v/>
      </c>
      <c r="I899" s="2" t="n"/>
      <c r="J899" s="2" t="n"/>
    </row>
    <row r="900">
      <c r="A900" s="6" t="n"/>
      <c r="B900" s="6" t="n"/>
      <c r="C900" s="6" t="n"/>
      <c r="D900" s="14" t="n"/>
      <c r="E900" s="6" t="n"/>
      <c r="F900" s="15" t="n"/>
      <c r="G900" s="15" t="n"/>
      <c r="H900" s="13">
        <f>IF($B900="","",SUMIFS($F:$F,$B:$B,$B900,$D:$D,"&lt;="&amp;$D900)-SUMIFS($G:$G,$B:$B,$B900,$D:$D,"&lt;="&amp;$D900))</f>
        <v/>
      </c>
      <c r="I900" s="6" t="n"/>
      <c r="J900" s="6" t="n"/>
    </row>
    <row r="901">
      <c r="A901" s="2" t="n"/>
      <c r="B901" s="2" t="n"/>
      <c r="C901" s="2" t="n"/>
      <c r="D901" s="12" t="n"/>
      <c r="E901" s="2" t="n"/>
      <c r="F901" s="13" t="n"/>
      <c r="G901" s="13" t="n"/>
      <c r="H901" s="13">
        <f>IF($B901="","",SUMIFS($F:$F,$B:$B,$B901,$D:$D,"&lt;="&amp;$D901)-SUMIFS($G:$G,$B:$B,$B901,$D:$D,"&lt;="&amp;$D901))</f>
        <v/>
      </c>
      <c r="I901" s="2" t="n"/>
      <c r="J901" s="2" t="n"/>
    </row>
    <row r="902">
      <c r="A902" s="6" t="n"/>
      <c r="B902" s="6" t="n"/>
      <c r="C902" s="6" t="n"/>
      <c r="D902" s="14" t="n"/>
      <c r="E902" s="6" t="n"/>
      <c r="F902" s="15" t="n"/>
      <c r="G902" s="15" t="n"/>
      <c r="H902" s="13">
        <f>IF($B902="","",SUMIFS($F:$F,$B:$B,$B902,$D:$D,"&lt;="&amp;$D902)-SUMIFS($G:$G,$B:$B,$B902,$D:$D,"&lt;="&amp;$D902))</f>
        <v/>
      </c>
      <c r="I902" s="6" t="n"/>
      <c r="J902" s="6" t="n"/>
    </row>
    <row r="903">
      <c r="A903" s="2" t="n"/>
      <c r="B903" s="2" t="n"/>
      <c r="C903" s="2" t="n"/>
      <c r="D903" s="12" t="n"/>
      <c r="E903" s="2" t="n"/>
      <c r="F903" s="13" t="n"/>
      <c r="G903" s="13" t="n"/>
      <c r="H903" s="13">
        <f>IF($B903="","",SUMIFS($F:$F,$B:$B,$B903,$D:$D,"&lt;="&amp;$D903)-SUMIFS($G:$G,$B:$B,$B903,$D:$D,"&lt;="&amp;$D903))</f>
        <v/>
      </c>
      <c r="I903" s="2" t="n"/>
      <c r="J903" s="2" t="n"/>
    </row>
    <row r="904">
      <c r="A904" s="6" t="n"/>
      <c r="B904" s="6" t="n"/>
      <c r="C904" s="6" t="n"/>
      <c r="D904" s="14" t="n"/>
      <c r="E904" s="6" t="n"/>
      <c r="F904" s="15" t="n"/>
      <c r="G904" s="15" t="n"/>
      <c r="H904" s="13">
        <f>IF($B904="","",SUMIFS($F:$F,$B:$B,$B904,$D:$D,"&lt;="&amp;$D904)-SUMIFS($G:$G,$B:$B,$B904,$D:$D,"&lt;="&amp;$D904))</f>
        <v/>
      </c>
      <c r="I904" s="6" t="n"/>
      <c r="J904" s="6" t="n"/>
    </row>
    <row r="905">
      <c r="A905" s="2" t="n"/>
      <c r="B905" s="2" t="n"/>
      <c r="C905" s="2" t="n"/>
      <c r="D905" s="12" t="n"/>
      <c r="E905" s="2" t="n"/>
      <c r="F905" s="13" t="n"/>
      <c r="G905" s="13" t="n"/>
      <c r="H905" s="13">
        <f>IF($B905="","",SUMIFS($F:$F,$B:$B,$B905,$D:$D,"&lt;="&amp;$D905)-SUMIFS($G:$G,$B:$B,$B905,$D:$D,"&lt;="&amp;$D905))</f>
        <v/>
      </c>
      <c r="I905" s="2" t="n"/>
      <c r="J905" s="2" t="n"/>
    </row>
    <row r="906">
      <c r="A906" s="6" t="n"/>
      <c r="B906" s="6" t="n"/>
      <c r="C906" s="6" t="n"/>
      <c r="D906" s="14" t="n"/>
      <c r="E906" s="6" t="n"/>
      <c r="F906" s="15" t="n"/>
      <c r="G906" s="15" t="n"/>
      <c r="H906" s="13">
        <f>IF($B906="","",SUMIFS($F:$F,$B:$B,$B906,$D:$D,"&lt;="&amp;$D906)-SUMIFS($G:$G,$B:$B,$B906,$D:$D,"&lt;="&amp;$D906))</f>
        <v/>
      </c>
      <c r="I906" s="6" t="n"/>
      <c r="J906" s="6" t="n"/>
    </row>
    <row r="907">
      <c r="A907" s="2" t="n"/>
      <c r="B907" s="2" t="n"/>
      <c r="C907" s="2" t="n"/>
      <c r="D907" s="12" t="n"/>
      <c r="E907" s="2" t="n"/>
      <c r="F907" s="13" t="n"/>
      <c r="G907" s="13" t="n"/>
      <c r="H907" s="13">
        <f>IF($B907="","",SUMIFS($F:$F,$B:$B,$B907,$D:$D,"&lt;="&amp;$D907)-SUMIFS($G:$G,$B:$B,$B907,$D:$D,"&lt;="&amp;$D907))</f>
        <v/>
      </c>
      <c r="I907" s="2" t="n"/>
      <c r="J907" s="2" t="n"/>
    </row>
    <row r="908">
      <c r="A908" s="6" t="n"/>
      <c r="B908" s="6" t="n"/>
      <c r="C908" s="6" t="n"/>
      <c r="D908" s="14" t="n"/>
      <c r="E908" s="6" t="n"/>
      <c r="F908" s="15" t="n"/>
      <c r="G908" s="15" t="n"/>
      <c r="H908" s="13">
        <f>IF($B908="","",SUMIFS($F:$F,$B:$B,$B908,$D:$D,"&lt;="&amp;$D908)-SUMIFS($G:$G,$B:$B,$B908,$D:$D,"&lt;="&amp;$D908))</f>
        <v/>
      </c>
      <c r="I908" s="6" t="n"/>
      <c r="J908" s="6" t="n"/>
    </row>
    <row r="909">
      <c r="A909" s="2" t="n"/>
      <c r="B909" s="2" t="n"/>
      <c r="C909" s="2" t="n"/>
      <c r="D909" s="12" t="n"/>
      <c r="E909" s="2" t="n"/>
      <c r="F909" s="13" t="n"/>
      <c r="G909" s="13" t="n"/>
      <c r="H909" s="13">
        <f>IF($B909="","",SUMIFS($F:$F,$B:$B,$B909,$D:$D,"&lt;="&amp;$D909)-SUMIFS($G:$G,$B:$B,$B909,$D:$D,"&lt;="&amp;$D909))</f>
        <v/>
      </c>
      <c r="I909" s="2" t="n"/>
      <c r="J909" s="2" t="n"/>
    </row>
    <row r="910">
      <c r="A910" s="6" t="n"/>
      <c r="B910" s="6" t="n"/>
      <c r="C910" s="6" t="n"/>
      <c r="D910" s="14" t="n"/>
      <c r="E910" s="6" t="n"/>
      <c r="F910" s="15" t="n"/>
      <c r="G910" s="15" t="n"/>
      <c r="H910" s="13">
        <f>IF($B910="","",SUMIFS($F:$F,$B:$B,$B910,$D:$D,"&lt;="&amp;$D910)-SUMIFS($G:$G,$B:$B,$B910,$D:$D,"&lt;="&amp;$D910))</f>
        <v/>
      </c>
      <c r="I910" s="6" t="n"/>
      <c r="J910" s="6" t="n"/>
    </row>
    <row r="911">
      <c r="A911" s="2" t="n"/>
      <c r="B911" s="2" t="n"/>
      <c r="C911" s="2" t="n"/>
      <c r="D911" s="12" t="n"/>
      <c r="E911" s="2" t="n"/>
      <c r="F911" s="13" t="n"/>
      <c r="G911" s="13" t="n"/>
      <c r="H911" s="13">
        <f>IF($B911="","",SUMIFS($F:$F,$B:$B,$B911,$D:$D,"&lt;="&amp;$D911)-SUMIFS($G:$G,$B:$B,$B911,$D:$D,"&lt;="&amp;$D911))</f>
        <v/>
      </c>
      <c r="I911" s="2" t="n"/>
      <c r="J911" s="2" t="n"/>
    </row>
    <row r="912">
      <c r="A912" s="6" t="n"/>
      <c r="B912" s="6" t="n"/>
      <c r="C912" s="6" t="n"/>
      <c r="D912" s="14" t="n"/>
      <c r="E912" s="6" t="n"/>
      <c r="F912" s="15" t="n"/>
      <c r="G912" s="15" t="n"/>
      <c r="H912" s="13">
        <f>IF($B912="","",SUMIFS($F:$F,$B:$B,$B912,$D:$D,"&lt;="&amp;$D912)-SUMIFS($G:$G,$B:$B,$B912,$D:$D,"&lt;="&amp;$D912))</f>
        <v/>
      </c>
      <c r="I912" s="6" t="n"/>
      <c r="J912" s="6" t="n"/>
    </row>
    <row r="913">
      <c r="A913" s="2" t="n"/>
      <c r="B913" s="2" t="n"/>
      <c r="C913" s="2" t="n"/>
      <c r="D913" s="12" t="n"/>
      <c r="E913" s="2" t="n"/>
      <c r="F913" s="13" t="n"/>
      <c r="G913" s="13" t="n"/>
      <c r="H913" s="13">
        <f>IF($B913="","",SUMIFS($F:$F,$B:$B,$B913,$D:$D,"&lt;="&amp;$D913)-SUMIFS($G:$G,$B:$B,$B913,$D:$D,"&lt;="&amp;$D913))</f>
        <v/>
      </c>
      <c r="I913" s="2" t="n"/>
      <c r="J913" s="2" t="n"/>
    </row>
    <row r="914">
      <c r="A914" s="6" t="n"/>
      <c r="B914" s="6" t="n"/>
      <c r="C914" s="6" t="n"/>
      <c r="D914" s="14" t="n"/>
      <c r="E914" s="6" t="n"/>
      <c r="F914" s="15" t="n"/>
      <c r="G914" s="15" t="n"/>
      <c r="H914" s="13">
        <f>IF($B914="","",SUMIFS($F:$F,$B:$B,$B914,$D:$D,"&lt;="&amp;$D914)-SUMIFS($G:$G,$B:$B,$B914,$D:$D,"&lt;="&amp;$D914))</f>
        <v/>
      </c>
      <c r="I914" s="6" t="n"/>
      <c r="J914" s="6" t="n"/>
    </row>
    <row r="915">
      <c r="A915" s="2" t="n"/>
      <c r="B915" s="2" t="n"/>
      <c r="C915" s="2" t="n"/>
      <c r="D915" s="12" t="n"/>
      <c r="E915" s="2" t="n"/>
      <c r="F915" s="13" t="n"/>
      <c r="G915" s="13" t="n"/>
      <c r="H915" s="13">
        <f>IF($B915="","",SUMIFS($F:$F,$B:$B,$B915,$D:$D,"&lt;="&amp;$D915)-SUMIFS($G:$G,$B:$B,$B915,$D:$D,"&lt;="&amp;$D915))</f>
        <v/>
      </c>
      <c r="I915" s="2" t="n"/>
      <c r="J915" s="2" t="n"/>
    </row>
    <row r="916">
      <c r="A916" s="6" t="n"/>
      <c r="B916" s="6" t="n"/>
      <c r="C916" s="6" t="n"/>
      <c r="D916" s="14" t="n"/>
      <c r="E916" s="6" t="n"/>
      <c r="F916" s="15" t="n"/>
      <c r="G916" s="15" t="n"/>
      <c r="H916" s="13">
        <f>IF($B916="","",SUMIFS($F:$F,$B:$B,$B916,$D:$D,"&lt;="&amp;$D916)-SUMIFS($G:$G,$B:$B,$B916,$D:$D,"&lt;="&amp;$D916))</f>
        <v/>
      </c>
      <c r="I916" s="6" t="n"/>
      <c r="J916" s="6" t="n"/>
    </row>
    <row r="917">
      <c r="A917" s="2" t="n"/>
      <c r="B917" s="2" t="n"/>
      <c r="C917" s="2" t="n"/>
      <c r="D917" s="12" t="n"/>
      <c r="E917" s="2" t="n"/>
      <c r="F917" s="13" t="n"/>
      <c r="G917" s="13" t="n"/>
      <c r="H917" s="13">
        <f>IF($B917="","",SUMIFS($F:$F,$B:$B,$B917,$D:$D,"&lt;="&amp;$D917)-SUMIFS($G:$G,$B:$B,$B917,$D:$D,"&lt;="&amp;$D917))</f>
        <v/>
      </c>
      <c r="I917" s="2" t="n"/>
      <c r="J917" s="2" t="n"/>
    </row>
    <row r="918">
      <c r="A918" s="6" t="n"/>
      <c r="B918" s="6" t="n"/>
      <c r="C918" s="6" t="n"/>
      <c r="D918" s="14" t="n"/>
      <c r="E918" s="6" t="n"/>
      <c r="F918" s="15" t="n"/>
      <c r="G918" s="15" t="n"/>
      <c r="H918" s="13">
        <f>IF($B918="","",SUMIFS($F:$F,$B:$B,$B918,$D:$D,"&lt;="&amp;$D918)-SUMIFS($G:$G,$B:$B,$B918,$D:$D,"&lt;="&amp;$D918))</f>
        <v/>
      </c>
      <c r="I918" s="6" t="n"/>
      <c r="J918" s="6" t="n"/>
    </row>
    <row r="919">
      <c r="A919" s="2" t="n"/>
      <c r="B919" s="2" t="n"/>
      <c r="C919" s="2" t="n"/>
      <c r="D919" s="12" t="n"/>
      <c r="E919" s="2" t="n"/>
      <c r="F919" s="13" t="n"/>
      <c r="G919" s="13" t="n"/>
      <c r="H919" s="13">
        <f>IF($B919="","",SUMIFS($F:$F,$B:$B,$B919,$D:$D,"&lt;="&amp;$D919)-SUMIFS($G:$G,$B:$B,$B919,$D:$D,"&lt;="&amp;$D919))</f>
        <v/>
      </c>
      <c r="I919" s="2" t="n"/>
      <c r="J919" s="2" t="n"/>
    </row>
    <row r="920">
      <c r="A920" s="6" t="n"/>
      <c r="B920" s="6" t="n"/>
      <c r="C920" s="6" t="n"/>
      <c r="D920" s="14" t="n"/>
      <c r="E920" s="6" t="n"/>
      <c r="F920" s="15" t="n"/>
      <c r="G920" s="15" t="n"/>
      <c r="H920" s="13">
        <f>IF($B920="","",SUMIFS($F:$F,$B:$B,$B920,$D:$D,"&lt;="&amp;$D920)-SUMIFS($G:$G,$B:$B,$B920,$D:$D,"&lt;="&amp;$D920))</f>
        <v/>
      </c>
      <c r="I920" s="6" t="n"/>
      <c r="J920" s="6" t="n"/>
    </row>
    <row r="921">
      <c r="A921" s="2" t="n"/>
      <c r="B921" s="2" t="n"/>
      <c r="C921" s="2" t="n"/>
      <c r="D921" s="12" t="n"/>
      <c r="E921" s="2" t="n"/>
      <c r="F921" s="13" t="n"/>
      <c r="G921" s="13" t="n"/>
      <c r="H921" s="13">
        <f>IF($B921="","",SUMIFS($F:$F,$B:$B,$B921,$D:$D,"&lt;="&amp;$D921)-SUMIFS($G:$G,$B:$B,$B921,$D:$D,"&lt;="&amp;$D921))</f>
        <v/>
      </c>
      <c r="I921" s="2" t="n"/>
      <c r="J921" s="2" t="n"/>
    </row>
    <row r="922">
      <c r="A922" s="6" t="n"/>
      <c r="B922" s="6" t="n"/>
      <c r="C922" s="6" t="n"/>
      <c r="D922" s="14" t="n"/>
      <c r="E922" s="6" t="n"/>
      <c r="F922" s="15" t="n"/>
      <c r="G922" s="15" t="n"/>
      <c r="H922" s="13">
        <f>IF($B922="","",SUMIFS($F:$F,$B:$B,$B922,$D:$D,"&lt;="&amp;$D922)-SUMIFS($G:$G,$B:$B,$B922,$D:$D,"&lt;="&amp;$D922))</f>
        <v/>
      </c>
      <c r="I922" s="6" t="n"/>
      <c r="J922" s="6" t="n"/>
    </row>
    <row r="923">
      <c r="A923" s="2" t="n"/>
      <c r="B923" s="2" t="n"/>
      <c r="C923" s="2" t="n"/>
      <c r="D923" s="12" t="n"/>
      <c r="E923" s="2" t="n"/>
      <c r="F923" s="13" t="n"/>
      <c r="G923" s="13" t="n"/>
      <c r="H923" s="13">
        <f>IF($B923="","",SUMIFS($F:$F,$B:$B,$B923,$D:$D,"&lt;="&amp;$D923)-SUMIFS($G:$G,$B:$B,$B923,$D:$D,"&lt;="&amp;$D923))</f>
        <v/>
      </c>
      <c r="I923" s="2" t="n"/>
      <c r="J923" s="2" t="n"/>
    </row>
    <row r="924">
      <c r="A924" s="6" t="n"/>
      <c r="B924" s="6" t="n"/>
      <c r="C924" s="6" t="n"/>
      <c r="D924" s="14" t="n"/>
      <c r="E924" s="6" t="n"/>
      <c r="F924" s="15" t="n"/>
      <c r="G924" s="15" t="n"/>
      <c r="H924" s="13">
        <f>IF($B924="","",SUMIFS($F:$F,$B:$B,$B924,$D:$D,"&lt;="&amp;$D924)-SUMIFS($G:$G,$B:$B,$B924,$D:$D,"&lt;="&amp;$D924))</f>
        <v/>
      </c>
      <c r="I924" s="6" t="n"/>
      <c r="J924" s="6" t="n"/>
    </row>
    <row r="925">
      <c r="A925" s="2" t="n"/>
      <c r="B925" s="2" t="n"/>
      <c r="C925" s="2" t="n"/>
      <c r="D925" s="12" t="n"/>
      <c r="E925" s="2" t="n"/>
      <c r="F925" s="13" t="n"/>
      <c r="G925" s="13" t="n"/>
      <c r="H925" s="13">
        <f>IF($B925="","",SUMIFS($F:$F,$B:$B,$B925,$D:$D,"&lt;="&amp;$D925)-SUMIFS($G:$G,$B:$B,$B925,$D:$D,"&lt;="&amp;$D925))</f>
        <v/>
      </c>
      <c r="I925" s="2" t="n"/>
      <c r="J925" s="2" t="n"/>
    </row>
    <row r="926">
      <c r="A926" s="6" t="n"/>
      <c r="B926" s="6" t="n"/>
      <c r="C926" s="6" t="n"/>
      <c r="D926" s="14" t="n"/>
      <c r="E926" s="6" t="n"/>
      <c r="F926" s="15" t="n"/>
      <c r="G926" s="15" t="n"/>
      <c r="H926" s="13">
        <f>IF($B926="","",SUMIFS($F:$F,$B:$B,$B926,$D:$D,"&lt;="&amp;$D926)-SUMIFS($G:$G,$B:$B,$B926,$D:$D,"&lt;="&amp;$D926))</f>
        <v/>
      </c>
      <c r="I926" s="6" t="n"/>
      <c r="J926" s="6" t="n"/>
    </row>
    <row r="927">
      <c r="A927" s="2" t="n"/>
      <c r="B927" s="2" t="n"/>
      <c r="C927" s="2" t="n"/>
      <c r="D927" s="12" t="n"/>
      <c r="E927" s="2" t="n"/>
      <c r="F927" s="13" t="n"/>
      <c r="G927" s="13" t="n"/>
      <c r="H927" s="13">
        <f>IF($B927="","",SUMIFS($F:$F,$B:$B,$B927,$D:$D,"&lt;="&amp;$D927)-SUMIFS($G:$G,$B:$B,$B927,$D:$D,"&lt;="&amp;$D927))</f>
        <v/>
      </c>
      <c r="I927" s="2" t="n"/>
      <c r="J927" s="2" t="n"/>
    </row>
    <row r="928">
      <c r="A928" s="6" t="n"/>
      <c r="B928" s="6" t="n"/>
      <c r="C928" s="6" t="n"/>
      <c r="D928" s="14" t="n"/>
      <c r="E928" s="6" t="n"/>
      <c r="F928" s="15" t="n"/>
      <c r="G928" s="15" t="n"/>
      <c r="H928" s="13">
        <f>IF($B928="","",SUMIFS($F:$F,$B:$B,$B928,$D:$D,"&lt;="&amp;$D928)-SUMIFS($G:$G,$B:$B,$B928,$D:$D,"&lt;="&amp;$D928))</f>
        <v/>
      </c>
      <c r="I928" s="6" t="n"/>
      <c r="J928" s="6" t="n"/>
    </row>
    <row r="929">
      <c r="A929" s="2" t="n"/>
      <c r="B929" s="2" t="n"/>
      <c r="C929" s="2" t="n"/>
      <c r="D929" s="12" t="n"/>
      <c r="E929" s="2" t="n"/>
      <c r="F929" s="13" t="n"/>
      <c r="G929" s="13" t="n"/>
      <c r="H929" s="13">
        <f>IF($B929="","",SUMIFS($F:$F,$B:$B,$B929,$D:$D,"&lt;="&amp;$D929)-SUMIFS($G:$G,$B:$B,$B929,$D:$D,"&lt;="&amp;$D929))</f>
        <v/>
      </c>
      <c r="I929" s="2" t="n"/>
      <c r="J929" s="2" t="n"/>
    </row>
    <row r="930">
      <c r="A930" s="6" t="n"/>
      <c r="B930" s="6" t="n"/>
      <c r="C930" s="6" t="n"/>
      <c r="D930" s="14" t="n"/>
      <c r="E930" s="6" t="n"/>
      <c r="F930" s="15" t="n"/>
      <c r="G930" s="15" t="n"/>
      <c r="H930" s="13">
        <f>IF($B930="","",SUMIFS($F:$F,$B:$B,$B930,$D:$D,"&lt;="&amp;$D930)-SUMIFS($G:$G,$B:$B,$B930,$D:$D,"&lt;="&amp;$D930))</f>
        <v/>
      </c>
      <c r="I930" s="6" t="n"/>
      <c r="J930" s="6" t="n"/>
    </row>
    <row r="931">
      <c r="A931" s="2" t="n"/>
      <c r="B931" s="2" t="n"/>
      <c r="C931" s="2" t="n"/>
      <c r="D931" s="12" t="n"/>
      <c r="E931" s="2" t="n"/>
      <c r="F931" s="13" t="n"/>
      <c r="G931" s="13" t="n"/>
      <c r="H931" s="13">
        <f>IF($B931="","",SUMIFS($F:$F,$B:$B,$B931,$D:$D,"&lt;="&amp;$D931)-SUMIFS($G:$G,$B:$B,$B931,$D:$D,"&lt;="&amp;$D931))</f>
        <v/>
      </c>
      <c r="I931" s="2" t="n"/>
      <c r="J931" s="2" t="n"/>
    </row>
    <row r="932">
      <c r="A932" s="6" t="n"/>
      <c r="B932" s="6" t="n"/>
      <c r="C932" s="6" t="n"/>
      <c r="D932" s="14" t="n"/>
      <c r="E932" s="6" t="n"/>
      <c r="F932" s="15" t="n"/>
      <c r="G932" s="15" t="n"/>
      <c r="H932" s="13">
        <f>IF($B932="","",SUMIFS($F:$F,$B:$B,$B932,$D:$D,"&lt;="&amp;$D932)-SUMIFS($G:$G,$B:$B,$B932,$D:$D,"&lt;="&amp;$D932))</f>
        <v/>
      </c>
      <c r="I932" s="6" t="n"/>
      <c r="J932" s="6" t="n"/>
    </row>
    <row r="933">
      <c r="A933" s="2" t="n"/>
      <c r="B933" s="2" t="n"/>
      <c r="C933" s="2" t="n"/>
      <c r="D933" s="12" t="n"/>
      <c r="E933" s="2" t="n"/>
      <c r="F933" s="13" t="n"/>
      <c r="G933" s="13" t="n"/>
      <c r="H933" s="13">
        <f>IF($B933="","",SUMIFS($F:$F,$B:$B,$B933,$D:$D,"&lt;="&amp;$D933)-SUMIFS($G:$G,$B:$B,$B933,$D:$D,"&lt;="&amp;$D933))</f>
        <v/>
      </c>
      <c r="I933" s="2" t="n"/>
      <c r="J933" s="2" t="n"/>
    </row>
    <row r="934">
      <c r="A934" s="6" t="n"/>
      <c r="B934" s="6" t="n"/>
      <c r="C934" s="6" t="n"/>
      <c r="D934" s="14" t="n"/>
      <c r="E934" s="6" t="n"/>
      <c r="F934" s="15" t="n"/>
      <c r="G934" s="15" t="n"/>
      <c r="H934" s="13">
        <f>IF($B934="","",SUMIFS($F:$F,$B:$B,$B934,$D:$D,"&lt;="&amp;$D934)-SUMIFS($G:$G,$B:$B,$B934,$D:$D,"&lt;="&amp;$D934))</f>
        <v/>
      </c>
      <c r="I934" s="6" t="n"/>
      <c r="J934" s="6" t="n"/>
    </row>
    <row r="935">
      <c r="A935" s="2" t="n"/>
      <c r="B935" s="2" t="n"/>
      <c r="C935" s="2" t="n"/>
      <c r="D935" s="12" t="n"/>
      <c r="E935" s="2" t="n"/>
      <c r="F935" s="13" t="n"/>
      <c r="G935" s="13" t="n"/>
      <c r="H935" s="13">
        <f>IF($B935="","",SUMIFS($F:$F,$B:$B,$B935,$D:$D,"&lt;="&amp;$D935)-SUMIFS($G:$G,$B:$B,$B935,$D:$D,"&lt;="&amp;$D935))</f>
        <v/>
      </c>
      <c r="I935" s="2" t="n"/>
      <c r="J935" s="2" t="n"/>
    </row>
    <row r="936">
      <c r="A936" s="6" t="n"/>
      <c r="B936" s="6" t="n"/>
      <c r="C936" s="6" t="n"/>
      <c r="D936" s="14" t="n"/>
      <c r="E936" s="6" t="n"/>
      <c r="F936" s="15" t="n"/>
      <c r="G936" s="15" t="n"/>
      <c r="H936" s="13">
        <f>IF($B936="","",SUMIFS($F:$F,$B:$B,$B936,$D:$D,"&lt;="&amp;$D936)-SUMIFS($G:$G,$B:$B,$B936,$D:$D,"&lt;="&amp;$D936))</f>
        <v/>
      </c>
      <c r="I936" s="6" t="n"/>
      <c r="J936" s="6" t="n"/>
    </row>
    <row r="937">
      <c r="A937" s="2" t="n"/>
      <c r="B937" s="2" t="n"/>
      <c r="C937" s="2" t="n"/>
      <c r="D937" s="12" t="n"/>
      <c r="E937" s="2" t="n"/>
      <c r="F937" s="13" t="n"/>
      <c r="G937" s="13" t="n"/>
      <c r="H937" s="13">
        <f>IF($B937="","",SUMIFS($F:$F,$B:$B,$B937,$D:$D,"&lt;="&amp;$D937)-SUMIFS($G:$G,$B:$B,$B937,$D:$D,"&lt;="&amp;$D937))</f>
        <v/>
      </c>
      <c r="I937" s="2" t="n"/>
      <c r="J937" s="2" t="n"/>
    </row>
    <row r="938">
      <c r="A938" s="6" t="n"/>
      <c r="B938" s="6" t="n"/>
      <c r="C938" s="6" t="n"/>
      <c r="D938" s="14" t="n"/>
      <c r="E938" s="6" t="n"/>
      <c r="F938" s="15" t="n"/>
      <c r="G938" s="15" t="n"/>
      <c r="H938" s="13">
        <f>IF($B938="","",SUMIFS($F:$F,$B:$B,$B938,$D:$D,"&lt;="&amp;$D938)-SUMIFS($G:$G,$B:$B,$B938,$D:$D,"&lt;="&amp;$D938))</f>
        <v/>
      </c>
      <c r="I938" s="6" t="n"/>
      <c r="J938" s="6" t="n"/>
    </row>
    <row r="939">
      <c r="A939" s="2" t="n"/>
      <c r="B939" s="2" t="n"/>
      <c r="C939" s="2" t="n"/>
      <c r="D939" s="12" t="n"/>
      <c r="E939" s="2" t="n"/>
      <c r="F939" s="13" t="n"/>
      <c r="G939" s="13" t="n"/>
      <c r="H939" s="13">
        <f>IF($B939="","",SUMIFS($F:$F,$B:$B,$B939,$D:$D,"&lt;="&amp;$D939)-SUMIFS($G:$G,$B:$B,$B939,$D:$D,"&lt;="&amp;$D939))</f>
        <v/>
      </c>
      <c r="I939" s="2" t="n"/>
      <c r="J939" s="2" t="n"/>
    </row>
    <row r="940">
      <c r="A940" s="6" t="n"/>
      <c r="B940" s="6" t="n"/>
      <c r="C940" s="6" t="n"/>
      <c r="D940" s="14" t="n"/>
      <c r="E940" s="6" t="n"/>
      <c r="F940" s="15" t="n"/>
      <c r="G940" s="15" t="n"/>
      <c r="H940" s="13">
        <f>IF($B940="","",SUMIFS($F:$F,$B:$B,$B940,$D:$D,"&lt;="&amp;$D940)-SUMIFS($G:$G,$B:$B,$B940,$D:$D,"&lt;="&amp;$D940))</f>
        <v/>
      </c>
      <c r="I940" s="6" t="n"/>
      <c r="J940" s="6" t="n"/>
    </row>
    <row r="941">
      <c r="A941" s="2" t="n"/>
      <c r="B941" s="2" t="n"/>
      <c r="C941" s="2" t="n"/>
      <c r="D941" s="12" t="n"/>
      <c r="E941" s="2" t="n"/>
      <c r="F941" s="13" t="n"/>
      <c r="G941" s="13" t="n"/>
      <c r="H941" s="13">
        <f>IF($B941="","",SUMIFS($F:$F,$B:$B,$B941,$D:$D,"&lt;="&amp;$D941)-SUMIFS($G:$G,$B:$B,$B941,$D:$D,"&lt;="&amp;$D941))</f>
        <v/>
      </c>
      <c r="I941" s="2" t="n"/>
      <c r="J941" s="2" t="n"/>
    </row>
    <row r="942">
      <c r="A942" s="6" t="n"/>
      <c r="B942" s="6" t="n"/>
      <c r="C942" s="6" t="n"/>
      <c r="D942" s="14" t="n"/>
      <c r="E942" s="6" t="n"/>
      <c r="F942" s="15" t="n"/>
      <c r="G942" s="15" t="n"/>
      <c r="H942" s="13">
        <f>IF($B942="","",SUMIFS($F:$F,$B:$B,$B942,$D:$D,"&lt;="&amp;$D942)-SUMIFS($G:$G,$B:$B,$B942,$D:$D,"&lt;="&amp;$D942))</f>
        <v/>
      </c>
      <c r="I942" s="6" t="n"/>
      <c r="J942" s="6" t="n"/>
    </row>
    <row r="943">
      <c r="A943" s="2" t="n"/>
      <c r="B943" s="2" t="n"/>
      <c r="C943" s="2" t="n"/>
      <c r="D943" s="12" t="n"/>
      <c r="E943" s="2" t="n"/>
      <c r="F943" s="13" t="n"/>
      <c r="G943" s="13" t="n"/>
      <c r="H943" s="13">
        <f>IF($B943="","",SUMIFS($F:$F,$B:$B,$B943,$D:$D,"&lt;="&amp;$D943)-SUMIFS($G:$G,$B:$B,$B943,$D:$D,"&lt;="&amp;$D943))</f>
        <v/>
      </c>
      <c r="I943" s="2" t="n"/>
      <c r="J943" s="2" t="n"/>
    </row>
    <row r="944">
      <c r="A944" s="6" t="n"/>
      <c r="B944" s="6" t="n"/>
      <c r="C944" s="6" t="n"/>
      <c r="D944" s="14" t="n"/>
      <c r="E944" s="6" t="n"/>
      <c r="F944" s="15" t="n"/>
      <c r="G944" s="15" t="n"/>
      <c r="H944" s="13">
        <f>IF($B944="","",SUMIFS($F:$F,$B:$B,$B944,$D:$D,"&lt;="&amp;$D944)-SUMIFS($G:$G,$B:$B,$B944,$D:$D,"&lt;="&amp;$D944))</f>
        <v/>
      </c>
      <c r="I944" s="6" t="n"/>
      <c r="J944" s="6" t="n"/>
    </row>
    <row r="945">
      <c r="A945" s="2" t="n"/>
      <c r="B945" s="2" t="n"/>
      <c r="C945" s="2" t="n"/>
      <c r="D945" s="12" t="n"/>
      <c r="E945" s="2" t="n"/>
      <c r="F945" s="13" t="n"/>
      <c r="G945" s="13" t="n"/>
      <c r="H945" s="13">
        <f>IF($B945="","",SUMIFS($F:$F,$B:$B,$B945,$D:$D,"&lt;="&amp;$D945)-SUMIFS($G:$G,$B:$B,$B945,$D:$D,"&lt;="&amp;$D945))</f>
        <v/>
      </c>
      <c r="I945" s="2" t="n"/>
      <c r="J945" s="2" t="n"/>
    </row>
    <row r="946">
      <c r="A946" s="6" t="n"/>
      <c r="B946" s="6" t="n"/>
      <c r="C946" s="6" t="n"/>
      <c r="D946" s="14" t="n"/>
      <c r="E946" s="6" t="n"/>
      <c r="F946" s="15" t="n"/>
      <c r="G946" s="15" t="n"/>
      <c r="H946" s="13">
        <f>IF($B946="","",SUMIFS($F:$F,$B:$B,$B946,$D:$D,"&lt;="&amp;$D946)-SUMIFS($G:$G,$B:$B,$B946,$D:$D,"&lt;="&amp;$D946))</f>
        <v/>
      </c>
      <c r="I946" s="6" t="n"/>
      <c r="J946" s="6" t="n"/>
    </row>
    <row r="947">
      <c r="A947" s="2" t="n"/>
      <c r="B947" s="2" t="n"/>
      <c r="C947" s="2" t="n"/>
      <c r="D947" s="12" t="n"/>
      <c r="E947" s="2" t="n"/>
      <c r="F947" s="13" t="n"/>
      <c r="G947" s="13" t="n"/>
      <c r="H947" s="13">
        <f>IF($B947="","",SUMIFS($F:$F,$B:$B,$B947,$D:$D,"&lt;="&amp;$D947)-SUMIFS($G:$G,$B:$B,$B947,$D:$D,"&lt;="&amp;$D947))</f>
        <v/>
      </c>
      <c r="I947" s="2" t="n"/>
      <c r="J947" s="2" t="n"/>
    </row>
    <row r="948">
      <c r="A948" s="6" t="n"/>
      <c r="B948" s="6" t="n"/>
      <c r="C948" s="6" t="n"/>
      <c r="D948" s="14" t="n"/>
      <c r="E948" s="6" t="n"/>
      <c r="F948" s="15" t="n"/>
      <c r="G948" s="15" t="n"/>
      <c r="H948" s="13">
        <f>IF($B948="","",SUMIFS($F:$F,$B:$B,$B948,$D:$D,"&lt;="&amp;$D948)-SUMIFS($G:$G,$B:$B,$B948,$D:$D,"&lt;="&amp;$D948))</f>
        <v/>
      </c>
      <c r="I948" s="6" t="n"/>
      <c r="J948" s="6" t="n"/>
    </row>
    <row r="949">
      <c r="A949" s="2" t="n"/>
      <c r="B949" s="2" t="n"/>
      <c r="C949" s="2" t="n"/>
      <c r="D949" s="12" t="n"/>
      <c r="E949" s="2" t="n"/>
      <c r="F949" s="13" t="n"/>
      <c r="G949" s="13" t="n"/>
      <c r="H949" s="13">
        <f>IF($B949="","",SUMIFS($F:$F,$B:$B,$B949,$D:$D,"&lt;="&amp;$D949)-SUMIFS($G:$G,$B:$B,$B949,$D:$D,"&lt;="&amp;$D949))</f>
        <v/>
      </c>
      <c r="I949" s="2" t="n"/>
      <c r="J949" s="2" t="n"/>
    </row>
    <row r="950">
      <c r="A950" s="6" t="n"/>
      <c r="B950" s="6" t="n"/>
      <c r="C950" s="6" t="n"/>
      <c r="D950" s="14" t="n"/>
      <c r="E950" s="6" t="n"/>
      <c r="F950" s="15" t="n"/>
      <c r="G950" s="15" t="n"/>
      <c r="H950" s="13">
        <f>IF($B950="","",SUMIFS($F:$F,$B:$B,$B950,$D:$D,"&lt;="&amp;$D950)-SUMIFS($G:$G,$B:$B,$B950,$D:$D,"&lt;="&amp;$D950))</f>
        <v/>
      </c>
      <c r="I950" s="6" t="n"/>
      <c r="J950" s="6" t="n"/>
    </row>
    <row r="951">
      <c r="A951" s="2" t="n"/>
      <c r="B951" s="2" t="n"/>
      <c r="C951" s="2" t="n"/>
      <c r="D951" s="12" t="n"/>
      <c r="E951" s="2" t="n"/>
      <c r="F951" s="13" t="n"/>
      <c r="G951" s="13" t="n"/>
      <c r="H951" s="13">
        <f>IF($B951="","",SUMIFS($F:$F,$B:$B,$B951,$D:$D,"&lt;="&amp;$D951)-SUMIFS($G:$G,$B:$B,$B951,$D:$D,"&lt;="&amp;$D951))</f>
        <v/>
      </c>
      <c r="I951" s="2" t="n"/>
      <c r="J951" s="2" t="n"/>
    </row>
    <row r="952">
      <c r="A952" s="6" t="n"/>
      <c r="B952" s="6" t="n"/>
      <c r="C952" s="6" t="n"/>
      <c r="D952" s="14" t="n"/>
      <c r="E952" s="6" t="n"/>
      <c r="F952" s="15" t="n"/>
      <c r="G952" s="15" t="n"/>
      <c r="H952" s="13">
        <f>IF($B952="","",SUMIFS($F:$F,$B:$B,$B952,$D:$D,"&lt;="&amp;$D952)-SUMIFS($G:$G,$B:$B,$B952,$D:$D,"&lt;="&amp;$D952))</f>
        <v/>
      </c>
      <c r="I952" s="6" t="n"/>
      <c r="J952" s="6" t="n"/>
    </row>
    <row r="953">
      <c r="A953" s="2" t="n"/>
      <c r="B953" s="2" t="n"/>
      <c r="C953" s="2" t="n"/>
      <c r="D953" s="12" t="n"/>
      <c r="E953" s="2" t="n"/>
      <c r="F953" s="13" t="n"/>
      <c r="G953" s="13" t="n"/>
      <c r="H953" s="13">
        <f>IF($B953="","",SUMIFS($F:$F,$B:$B,$B953,$D:$D,"&lt;="&amp;$D953)-SUMIFS($G:$G,$B:$B,$B953,$D:$D,"&lt;="&amp;$D953))</f>
        <v/>
      </c>
      <c r="I953" s="2" t="n"/>
      <c r="J953" s="2" t="n"/>
    </row>
    <row r="954">
      <c r="A954" s="6" t="n"/>
      <c r="B954" s="6" t="n"/>
      <c r="C954" s="6" t="n"/>
      <c r="D954" s="14" t="n"/>
      <c r="E954" s="6" t="n"/>
      <c r="F954" s="15" t="n"/>
      <c r="G954" s="15" t="n"/>
      <c r="H954" s="13">
        <f>IF($B954="","",SUMIFS($F:$F,$B:$B,$B954,$D:$D,"&lt;="&amp;$D954)-SUMIFS($G:$G,$B:$B,$B954,$D:$D,"&lt;="&amp;$D954))</f>
        <v/>
      </c>
      <c r="I954" s="6" t="n"/>
      <c r="J954" s="6" t="n"/>
    </row>
    <row r="955">
      <c r="A955" s="2" t="n"/>
      <c r="B955" s="2" t="n"/>
      <c r="C955" s="2" t="n"/>
      <c r="D955" s="12" t="n"/>
      <c r="E955" s="2" t="n"/>
      <c r="F955" s="13" t="n"/>
      <c r="G955" s="13" t="n"/>
      <c r="H955" s="13">
        <f>IF($B955="","",SUMIFS($F:$F,$B:$B,$B955,$D:$D,"&lt;="&amp;$D955)-SUMIFS($G:$G,$B:$B,$B955,$D:$D,"&lt;="&amp;$D955))</f>
        <v/>
      </c>
      <c r="I955" s="2" t="n"/>
      <c r="J955" s="2" t="n"/>
    </row>
    <row r="956">
      <c r="A956" s="6" t="n"/>
      <c r="B956" s="6" t="n"/>
      <c r="C956" s="6" t="n"/>
      <c r="D956" s="14" t="n"/>
      <c r="E956" s="6" t="n"/>
      <c r="F956" s="15" t="n"/>
      <c r="G956" s="15" t="n"/>
      <c r="H956" s="13">
        <f>IF($B956="","",SUMIFS($F:$F,$B:$B,$B956,$D:$D,"&lt;="&amp;$D956)-SUMIFS($G:$G,$B:$B,$B956,$D:$D,"&lt;="&amp;$D956))</f>
        <v/>
      </c>
      <c r="I956" s="6" t="n"/>
      <c r="J956" s="6" t="n"/>
    </row>
    <row r="957">
      <c r="A957" s="2" t="n"/>
      <c r="B957" s="2" t="n"/>
      <c r="C957" s="2" t="n"/>
      <c r="D957" s="12" t="n"/>
      <c r="E957" s="2" t="n"/>
      <c r="F957" s="13" t="n"/>
      <c r="G957" s="13" t="n"/>
      <c r="H957" s="13">
        <f>IF($B957="","",SUMIFS($F:$F,$B:$B,$B957,$D:$D,"&lt;="&amp;$D957)-SUMIFS($G:$G,$B:$B,$B957,$D:$D,"&lt;="&amp;$D957))</f>
        <v/>
      </c>
      <c r="I957" s="2" t="n"/>
      <c r="J957" s="2" t="n"/>
    </row>
    <row r="958">
      <c r="A958" s="6" t="n"/>
      <c r="B958" s="6" t="n"/>
      <c r="C958" s="6" t="n"/>
      <c r="D958" s="14" t="n"/>
      <c r="E958" s="6" t="n"/>
      <c r="F958" s="15" t="n"/>
      <c r="G958" s="15" t="n"/>
      <c r="H958" s="13">
        <f>IF($B958="","",SUMIFS($F:$F,$B:$B,$B958,$D:$D,"&lt;="&amp;$D958)-SUMIFS($G:$G,$B:$B,$B958,$D:$D,"&lt;="&amp;$D958))</f>
        <v/>
      </c>
      <c r="I958" s="6" t="n"/>
      <c r="J958" s="6" t="n"/>
    </row>
    <row r="959">
      <c r="A959" s="2" t="n"/>
      <c r="B959" s="2" t="n"/>
      <c r="C959" s="2" t="n"/>
      <c r="D959" s="12" t="n"/>
      <c r="E959" s="2" t="n"/>
      <c r="F959" s="13" t="n"/>
      <c r="G959" s="13" t="n"/>
      <c r="H959" s="13">
        <f>IF($B959="","",SUMIFS($F:$F,$B:$B,$B959,$D:$D,"&lt;="&amp;$D959)-SUMIFS($G:$G,$B:$B,$B959,$D:$D,"&lt;="&amp;$D959))</f>
        <v/>
      </c>
      <c r="I959" s="2" t="n"/>
      <c r="J959" s="2" t="n"/>
    </row>
    <row r="960">
      <c r="A960" s="6" t="n"/>
      <c r="B960" s="6" t="n"/>
      <c r="C960" s="6" t="n"/>
      <c r="D960" s="14" t="n"/>
      <c r="E960" s="6" t="n"/>
      <c r="F960" s="15" t="n"/>
      <c r="G960" s="15" t="n"/>
      <c r="H960" s="13">
        <f>IF($B960="","",SUMIFS($F:$F,$B:$B,$B960,$D:$D,"&lt;="&amp;$D960)-SUMIFS($G:$G,$B:$B,$B960,$D:$D,"&lt;="&amp;$D960))</f>
        <v/>
      </c>
      <c r="I960" s="6" t="n"/>
      <c r="J960" s="6" t="n"/>
    </row>
    <row r="961">
      <c r="A961" s="2" t="n"/>
      <c r="B961" s="2" t="n"/>
      <c r="C961" s="2" t="n"/>
      <c r="D961" s="12" t="n"/>
      <c r="E961" s="2" t="n"/>
      <c r="F961" s="13" t="n"/>
      <c r="G961" s="13" t="n"/>
      <c r="H961" s="13">
        <f>IF($B961="","",SUMIFS($F:$F,$B:$B,$B961,$D:$D,"&lt;="&amp;$D961)-SUMIFS($G:$G,$B:$B,$B961,$D:$D,"&lt;="&amp;$D961))</f>
        <v/>
      </c>
      <c r="I961" s="2" t="n"/>
      <c r="J961" s="2" t="n"/>
    </row>
    <row r="962">
      <c r="A962" s="6" t="n"/>
      <c r="B962" s="6" t="n"/>
      <c r="C962" s="6" t="n"/>
      <c r="D962" s="14" t="n"/>
      <c r="E962" s="6" t="n"/>
      <c r="F962" s="15" t="n"/>
      <c r="G962" s="15" t="n"/>
      <c r="H962" s="13">
        <f>IF($B962="","",SUMIFS($F:$F,$B:$B,$B962,$D:$D,"&lt;="&amp;$D962)-SUMIFS($G:$G,$B:$B,$B962,$D:$D,"&lt;="&amp;$D962))</f>
        <v/>
      </c>
      <c r="I962" s="6" t="n"/>
      <c r="J962" s="6" t="n"/>
    </row>
    <row r="963">
      <c r="A963" s="2" t="n"/>
      <c r="B963" s="2" t="n"/>
      <c r="C963" s="2" t="n"/>
      <c r="D963" s="12" t="n"/>
      <c r="E963" s="2" t="n"/>
      <c r="F963" s="13" t="n"/>
      <c r="G963" s="13" t="n"/>
      <c r="H963" s="13">
        <f>IF($B963="","",SUMIFS($F:$F,$B:$B,$B963,$D:$D,"&lt;="&amp;$D963)-SUMIFS($G:$G,$B:$B,$B963,$D:$D,"&lt;="&amp;$D963))</f>
        <v/>
      </c>
      <c r="I963" s="2" t="n"/>
      <c r="J963" s="2" t="n"/>
    </row>
    <row r="964">
      <c r="A964" s="6" t="n"/>
      <c r="B964" s="6" t="n"/>
      <c r="C964" s="6" t="n"/>
      <c r="D964" s="14" t="n"/>
      <c r="E964" s="6" t="n"/>
      <c r="F964" s="15" t="n"/>
      <c r="G964" s="15" t="n"/>
      <c r="H964" s="13">
        <f>IF($B964="","",SUMIFS($F:$F,$B:$B,$B964,$D:$D,"&lt;="&amp;$D964)-SUMIFS($G:$G,$B:$B,$B964,$D:$D,"&lt;="&amp;$D964))</f>
        <v/>
      </c>
      <c r="I964" s="6" t="n"/>
      <c r="J964" s="6" t="n"/>
    </row>
    <row r="965">
      <c r="A965" s="2" t="n"/>
      <c r="B965" s="2" t="n"/>
      <c r="C965" s="2" t="n"/>
      <c r="D965" s="12" t="n"/>
      <c r="E965" s="2" t="n"/>
      <c r="F965" s="13" t="n"/>
      <c r="G965" s="13" t="n"/>
      <c r="H965" s="13">
        <f>IF($B965="","",SUMIFS($F:$F,$B:$B,$B965,$D:$D,"&lt;="&amp;$D965)-SUMIFS($G:$G,$B:$B,$B965,$D:$D,"&lt;="&amp;$D965))</f>
        <v/>
      </c>
      <c r="I965" s="2" t="n"/>
      <c r="J965" s="2" t="n"/>
    </row>
    <row r="966">
      <c r="A966" s="6" t="n"/>
      <c r="B966" s="6" t="n"/>
      <c r="C966" s="6" t="n"/>
      <c r="D966" s="14" t="n"/>
      <c r="E966" s="6" t="n"/>
      <c r="F966" s="15" t="n"/>
      <c r="G966" s="15" t="n"/>
      <c r="H966" s="13">
        <f>IF($B966="","",SUMIFS($F:$F,$B:$B,$B966,$D:$D,"&lt;="&amp;$D966)-SUMIFS($G:$G,$B:$B,$B966,$D:$D,"&lt;="&amp;$D966))</f>
        <v/>
      </c>
      <c r="I966" s="6" t="n"/>
      <c r="J966" s="6" t="n"/>
    </row>
    <row r="967">
      <c r="A967" s="2" t="n"/>
      <c r="B967" s="2" t="n"/>
      <c r="C967" s="2" t="n"/>
      <c r="D967" s="12" t="n"/>
      <c r="E967" s="2" t="n"/>
      <c r="F967" s="13" t="n"/>
      <c r="G967" s="13" t="n"/>
      <c r="H967" s="13">
        <f>IF($B967="","",SUMIFS($F:$F,$B:$B,$B967,$D:$D,"&lt;="&amp;$D967)-SUMIFS($G:$G,$B:$B,$B967,$D:$D,"&lt;="&amp;$D967))</f>
        <v/>
      </c>
      <c r="I967" s="2" t="n"/>
      <c r="J967" s="2" t="n"/>
    </row>
    <row r="968">
      <c r="A968" s="6" t="n"/>
      <c r="B968" s="6" t="n"/>
      <c r="C968" s="6" t="n"/>
      <c r="D968" s="14" t="n"/>
      <c r="E968" s="6" t="n"/>
      <c r="F968" s="15" t="n"/>
      <c r="G968" s="15" t="n"/>
      <c r="H968" s="13">
        <f>IF($B968="","",SUMIFS($F:$F,$B:$B,$B968,$D:$D,"&lt;="&amp;$D968)-SUMIFS($G:$G,$B:$B,$B968,$D:$D,"&lt;="&amp;$D968))</f>
        <v/>
      </c>
      <c r="I968" s="6" t="n"/>
      <c r="J968" s="6" t="n"/>
    </row>
    <row r="969">
      <c r="A969" s="2" t="n"/>
      <c r="B969" s="2" t="n"/>
      <c r="C969" s="2" t="n"/>
      <c r="D969" s="12" t="n"/>
      <c r="E969" s="2" t="n"/>
      <c r="F969" s="13" t="n"/>
      <c r="G969" s="13" t="n"/>
      <c r="H969" s="13">
        <f>IF($B969="","",SUMIFS($F:$F,$B:$B,$B969,$D:$D,"&lt;="&amp;$D969)-SUMIFS($G:$G,$B:$B,$B969,$D:$D,"&lt;="&amp;$D969))</f>
        <v/>
      </c>
      <c r="I969" s="2" t="n"/>
      <c r="J969" s="2" t="n"/>
    </row>
    <row r="970">
      <c r="A970" s="6" t="n"/>
      <c r="B970" s="6" t="n"/>
      <c r="C970" s="6" t="n"/>
      <c r="D970" s="14" t="n"/>
      <c r="E970" s="6" t="n"/>
      <c r="F970" s="15" t="n"/>
      <c r="G970" s="15" t="n"/>
      <c r="H970" s="13">
        <f>IF($B970="","",SUMIFS($F:$F,$B:$B,$B970,$D:$D,"&lt;="&amp;$D970)-SUMIFS($G:$G,$B:$B,$B970,$D:$D,"&lt;="&amp;$D970))</f>
        <v/>
      </c>
      <c r="I970" s="6" t="n"/>
      <c r="J970" s="6" t="n"/>
    </row>
    <row r="971">
      <c r="A971" s="2" t="n"/>
      <c r="B971" s="2" t="n"/>
      <c r="C971" s="2" t="n"/>
      <c r="D971" s="12" t="n"/>
      <c r="E971" s="2" t="n"/>
      <c r="F971" s="13" t="n"/>
      <c r="G971" s="13" t="n"/>
      <c r="H971" s="13">
        <f>IF($B971="","",SUMIFS($F:$F,$B:$B,$B971,$D:$D,"&lt;="&amp;$D971)-SUMIFS($G:$G,$B:$B,$B971,$D:$D,"&lt;="&amp;$D971))</f>
        <v/>
      </c>
      <c r="I971" s="2" t="n"/>
      <c r="J971" s="2" t="n"/>
    </row>
    <row r="972">
      <c r="A972" s="6" t="n"/>
      <c r="B972" s="6" t="n"/>
      <c r="C972" s="6" t="n"/>
      <c r="D972" s="14" t="n"/>
      <c r="E972" s="6" t="n"/>
      <c r="F972" s="15" t="n"/>
      <c r="G972" s="15" t="n"/>
      <c r="H972" s="13">
        <f>IF($B972="","",SUMIFS($F:$F,$B:$B,$B972,$D:$D,"&lt;="&amp;$D972)-SUMIFS($G:$G,$B:$B,$B972,$D:$D,"&lt;="&amp;$D972))</f>
        <v/>
      </c>
      <c r="I972" s="6" t="n"/>
      <c r="J972" s="6" t="n"/>
    </row>
    <row r="973">
      <c r="A973" s="2" t="n"/>
      <c r="B973" s="2" t="n"/>
      <c r="C973" s="2" t="n"/>
      <c r="D973" s="12" t="n"/>
      <c r="E973" s="2" t="n"/>
      <c r="F973" s="13" t="n"/>
      <c r="G973" s="13" t="n"/>
      <c r="H973" s="13">
        <f>IF($B973="","",SUMIFS($F:$F,$B:$B,$B973,$D:$D,"&lt;="&amp;$D973)-SUMIFS($G:$G,$B:$B,$B973,$D:$D,"&lt;="&amp;$D973))</f>
        <v/>
      </c>
      <c r="I973" s="2" t="n"/>
      <c r="J973" s="2" t="n"/>
    </row>
    <row r="974">
      <c r="A974" s="6" t="n"/>
      <c r="B974" s="6" t="n"/>
      <c r="C974" s="6" t="n"/>
      <c r="D974" s="14" t="n"/>
      <c r="E974" s="6" t="n"/>
      <c r="F974" s="15" t="n"/>
      <c r="G974" s="15" t="n"/>
      <c r="H974" s="13">
        <f>IF($B974="","",SUMIFS($F:$F,$B:$B,$B974,$D:$D,"&lt;="&amp;$D974)-SUMIFS($G:$G,$B:$B,$B974,$D:$D,"&lt;="&amp;$D974))</f>
        <v/>
      </c>
      <c r="I974" s="6" t="n"/>
      <c r="J974" s="6" t="n"/>
    </row>
    <row r="975">
      <c r="A975" s="2" t="n"/>
      <c r="B975" s="2" t="n"/>
      <c r="C975" s="2" t="n"/>
      <c r="D975" s="12" t="n"/>
      <c r="E975" s="2" t="n"/>
      <c r="F975" s="13" t="n"/>
      <c r="G975" s="13" t="n"/>
      <c r="H975" s="13">
        <f>IF($B975="","",SUMIFS($F:$F,$B:$B,$B975,$D:$D,"&lt;="&amp;$D975)-SUMIFS($G:$G,$B:$B,$B975,$D:$D,"&lt;="&amp;$D975))</f>
        <v/>
      </c>
      <c r="I975" s="2" t="n"/>
      <c r="J975" s="2" t="n"/>
    </row>
    <row r="976">
      <c r="A976" s="6" t="n"/>
      <c r="B976" s="6" t="n"/>
      <c r="C976" s="6" t="n"/>
      <c r="D976" s="14" t="n"/>
      <c r="E976" s="6" t="n"/>
      <c r="F976" s="15" t="n"/>
      <c r="G976" s="15" t="n"/>
      <c r="H976" s="13">
        <f>IF($B976="","",SUMIFS($F:$F,$B:$B,$B976,$D:$D,"&lt;="&amp;$D976)-SUMIFS($G:$G,$B:$B,$B976,$D:$D,"&lt;="&amp;$D976))</f>
        <v/>
      </c>
      <c r="I976" s="6" t="n"/>
      <c r="J976" s="6" t="n"/>
    </row>
    <row r="977">
      <c r="A977" s="2" t="n"/>
      <c r="B977" s="2" t="n"/>
      <c r="C977" s="2" t="n"/>
      <c r="D977" s="12" t="n"/>
      <c r="E977" s="2" t="n"/>
      <c r="F977" s="13" t="n"/>
      <c r="G977" s="13" t="n"/>
      <c r="H977" s="13">
        <f>IF($B977="","",SUMIFS($F:$F,$B:$B,$B977,$D:$D,"&lt;="&amp;$D977)-SUMIFS($G:$G,$B:$B,$B977,$D:$D,"&lt;="&amp;$D977))</f>
        <v/>
      </c>
      <c r="I977" s="2" t="n"/>
      <c r="J977" s="2" t="n"/>
    </row>
    <row r="978">
      <c r="A978" s="6" t="n"/>
      <c r="B978" s="6" t="n"/>
      <c r="C978" s="6" t="n"/>
      <c r="D978" s="14" t="n"/>
      <c r="E978" s="6" t="n"/>
      <c r="F978" s="15" t="n"/>
      <c r="G978" s="15" t="n"/>
      <c r="H978" s="13">
        <f>IF($B978="","",SUMIFS($F:$F,$B:$B,$B978,$D:$D,"&lt;="&amp;$D978)-SUMIFS($G:$G,$B:$B,$B978,$D:$D,"&lt;="&amp;$D978))</f>
        <v/>
      </c>
      <c r="I978" s="6" t="n"/>
      <c r="J978" s="6" t="n"/>
    </row>
    <row r="979">
      <c r="A979" s="2" t="n"/>
      <c r="B979" s="2" t="n"/>
      <c r="C979" s="2" t="n"/>
      <c r="D979" s="12" t="n"/>
      <c r="E979" s="2" t="n"/>
      <c r="F979" s="13" t="n"/>
      <c r="G979" s="13" t="n"/>
      <c r="H979" s="13">
        <f>IF($B979="","",SUMIFS($F:$F,$B:$B,$B979,$D:$D,"&lt;="&amp;$D979)-SUMIFS($G:$G,$B:$B,$B979,$D:$D,"&lt;="&amp;$D979))</f>
        <v/>
      </c>
      <c r="I979" s="2" t="n"/>
      <c r="J979" s="2" t="n"/>
    </row>
    <row r="980">
      <c r="A980" s="6" t="n"/>
      <c r="B980" s="6" t="n"/>
      <c r="C980" s="6" t="n"/>
      <c r="D980" s="14" t="n"/>
      <c r="E980" s="6" t="n"/>
      <c r="F980" s="15" t="n"/>
      <c r="G980" s="15" t="n"/>
      <c r="H980" s="13">
        <f>IF($B980="","",SUMIFS($F:$F,$B:$B,$B980,$D:$D,"&lt;="&amp;$D980)-SUMIFS($G:$G,$B:$B,$B980,$D:$D,"&lt;="&amp;$D980))</f>
        <v/>
      </c>
      <c r="I980" s="6" t="n"/>
      <c r="J980" s="6" t="n"/>
    </row>
    <row r="981">
      <c r="A981" s="2" t="n"/>
      <c r="B981" s="2" t="n"/>
      <c r="C981" s="2" t="n"/>
      <c r="D981" s="12" t="n"/>
      <c r="E981" s="2" t="n"/>
      <c r="F981" s="13" t="n"/>
      <c r="G981" s="13" t="n"/>
      <c r="H981" s="13">
        <f>IF($B981="","",SUMIFS($F:$F,$B:$B,$B981,$D:$D,"&lt;="&amp;$D981)-SUMIFS($G:$G,$B:$B,$B981,$D:$D,"&lt;="&amp;$D981))</f>
        <v/>
      </c>
      <c r="I981" s="2" t="n"/>
      <c r="J981" s="2" t="n"/>
    </row>
    <row r="982">
      <c r="A982" s="6" t="n"/>
      <c r="B982" s="6" t="n"/>
      <c r="C982" s="6" t="n"/>
      <c r="D982" s="14" t="n"/>
      <c r="E982" s="6" t="n"/>
      <c r="F982" s="15" t="n"/>
      <c r="G982" s="15" t="n"/>
      <c r="H982" s="13">
        <f>IF($B982="","",SUMIFS($F:$F,$B:$B,$B982,$D:$D,"&lt;="&amp;$D982)-SUMIFS($G:$G,$B:$B,$B982,$D:$D,"&lt;="&amp;$D982))</f>
        <v/>
      </c>
      <c r="I982" s="6" t="n"/>
      <c r="J982" s="6" t="n"/>
    </row>
    <row r="983">
      <c r="A983" s="2" t="n"/>
      <c r="B983" s="2" t="n"/>
      <c r="C983" s="2" t="n"/>
      <c r="D983" s="12" t="n"/>
      <c r="E983" s="2" t="n"/>
      <c r="F983" s="13" t="n"/>
      <c r="G983" s="13" t="n"/>
      <c r="H983" s="13">
        <f>IF($B983="","",SUMIFS($F:$F,$B:$B,$B983,$D:$D,"&lt;="&amp;$D983)-SUMIFS($G:$G,$B:$B,$B983,$D:$D,"&lt;="&amp;$D983))</f>
        <v/>
      </c>
      <c r="I983" s="2" t="n"/>
      <c r="J983" s="2" t="n"/>
    </row>
    <row r="984">
      <c r="A984" s="6" t="n"/>
      <c r="B984" s="6" t="n"/>
      <c r="C984" s="6" t="n"/>
      <c r="D984" s="14" t="n"/>
      <c r="E984" s="6" t="n"/>
      <c r="F984" s="15" t="n"/>
      <c r="G984" s="15" t="n"/>
      <c r="H984" s="13">
        <f>IF($B984="","",SUMIFS($F:$F,$B:$B,$B984,$D:$D,"&lt;="&amp;$D984)-SUMIFS($G:$G,$B:$B,$B984,$D:$D,"&lt;="&amp;$D984))</f>
        <v/>
      </c>
      <c r="I984" s="6" t="n"/>
      <c r="J984" s="6" t="n"/>
    </row>
    <row r="985">
      <c r="A985" s="2" t="n"/>
      <c r="B985" s="2" t="n"/>
      <c r="C985" s="2" t="n"/>
      <c r="D985" s="12" t="n"/>
      <c r="E985" s="2" t="n"/>
      <c r="F985" s="13" t="n"/>
      <c r="G985" s="13" t="n"/>
      <c r="H985" s="13">
        <f>IF($B985="","",SUMIFS($F:$F,$B:$B,$B985,$D:$D,"&lt;="&amp;$D985)-SUMIFS($G:$G,$B:$B,$B985,$D:$D,"&lt;="&amp;$D985))</f>
        <v/>
      </c>
      <c r="I985" s="2" t="n"/>
      <c r="J985" s="2" t="n"/>
    </row>
    <row r="986">
      <c r="A986" s="6" t="n"/>
      <c r="B986" s="6" t="n"/>
      <c r="C986" s="6" t="n"/>
      <c r="D986" s="14" t="n"/>
      <c r="E986" s="6" t="n"/>
      <c r="F986" s="15" t="n"/>
      <c r="G986" s="15" t="n"/>
      <c r="H986" s="13">
        <f>IF($B986="","",SUMIFS($F:$F,$B:$B,$B986,$D:$D,"&lt;="&amp;$D986)-SUMIFS($G:$G,$B:$B,$B986,$D:$D,"&lt;="&amp;$D986))</f>
        <v/>
      </c>
      <c r="I986" s="6" t="n"/>
      <c r="J986" s="6" t="n"/>
    </row>
    <row r="987">
      <c r="A987" s="2" t="n"/>
      <c r="B987" s="2" t="n"/>
      <c r="C987" s="2" t="n"/>
      <c r="D987" s="12" t="n"/>
      <c r="E987" s="2" t="n"/>
      <c r="F987" s="13" t="n"/>
      <c r="G987" s="13" t="n"/>
      <c r="H987" s="13">
        <f>IF($B987="","",SUMIFS($F:$F,$B:$B,$B987,$D:$D,"&lt;="&amp;$D987)-SUMIFS($G:$G,$B:$B,$B987,$D:$D,"&lt;="&amp;$D987))</f>
        <v/>
      </c>
      <c r="I987" s="2" t="n"/>
      <c r="J987" s="2" t="n"/>
    </row>
    <row r="988">
      <c r="A988" s="6" t="n"/>
      <c r="B988" s="6" t="n"/>
      <c r="C988" s="6" t="n"/>
      <c r="D988" s="14" t="n"/>
      <c r="E988" s="6" t="n"/>
      <c r="F988" s="15" t="n"/>
      <c r="G988" s="15" t="n"/>
      <c r="H988" s="13">
        <f>IF($B988="","",SUMIFS($F:$F,$B:$B,$B988,$D:$D,"&lt;="&amp;$D988)-SUMIFS($G:$G,$B:$B,$B988,$D:$D,"&lt;="&amp;$D988))</f>
        <v/>
      </c>
      <c r="I988" s="6" t="n"/>
      <c r="J988" s="6" t="n"/>
    </row>
    <row r="989">
      <c r="A989" s="2" t="n"/>
      <c r="B989" s="2" t="n"/>
      <c r="C989" s="2" t="n"/>
      <c r="D989" s="12" t="n"/>
      <c r="E989" s="2" t="n"/>
      <c r="F989" s="13" t="n"/>
      <c r="G989" s="13" t="n"/>
      <c r="H989" s="13">
        <f>IF($B989="","",SUMIFS($F:$F,$B:$B,$B989,$D:$D,"&lt;="&amp;$D989)-SUMIFS($G:$G,$B:$B,$B989,$D:$D,"&lt;="&amp;$D989))</f>
        <v/>
      </c>
      <c r="I989" s="2" t="n"/>
      <c r="J989" s="2" t="n"/>
    </row>
    <row r="990">
      <c r="A990" s="6" t="n"/>
      <c r="B990" s="6" t="n"/>
      <c r="C990" s="6" t="n"/>
      <c r="D990" s="14" t="n"/>
      <c r="E990" s="6" t="n"/>
      <c r="F990" s="15" t="n"/>
      <c r="G990" s="15" t="n"/>
      <c r="H990" s="13">
        <f>IF($B990="","",SUMIFS($F:$F,$B:$B,$B990,$D:$D,"&lt;="&amp;$D990)-SUMIFS($G:$G,$B:$B,$B990,$D:$D,"&lt;="&amp;$D990))</f>
        <v/>
      </c>
      <c r="I990" s="6" t="n"/>
      <c r="J990" s="6" t="n"/>
    </row>
    <row r="991">
      <c r="A991" s="2" t="n"/>
      <c r="B991" s="2" t="n"/>
      <c r="C991" s="2" t="n"/>
      <c r="D991" s="12" t="n"/>
      <c r="E991" s="2" t="n"/>
      <c r="F991" s="13" t="n"/>
      <c r="G991" s="13" t="n"/>
      <c r="H991" s="13">
        <f>IF($B991="","",SUMIFS($F:$F,$B:$B,$B991,$D:$D,"&lt;="&amp;$D991)-SUMIFS($G:$G,$B:$B,$B991,$D:$D,"&lt;="&amp;$D991))</f>
        <v/>
      </c>
      <c r="I991" s="2" t="n"/>
      <c r="J991" s="2" t="n"/>
    </row>
    <row r="992">
      <c r="A992" s="6" t="n"/>
      <c r="B992" s="6" t="n"/>
      <c r="C992" s="6" t="n"/>
      <c r="D992" s="14" t="n"/>
      <c r="E992" s="6" t="n"/>
      <c r="F992" s="15" t="n"/>
      <c r="G992" s="15" t="n"/>
      <c r="H992" s="13">
        <f>IF($B992="","",SUMIFS($F:$F,$B:$B,$B992,$D:$D,"&lt;="&amp;$D992)-SUMIFS($G:$G,$B:$B,$B992,$D:$D,"&lt;="&amp;$D992))</f>
        <v/>
      </c>
      <c r="I992" s="6" t="n"/>
      <c r="J992" s="6" t="n"/>
    </row>
    <row r="993">
      <c r="A993" s="2" t="n"/>
      <c r="B993" s="2" t="n"/>
      <c r="C993" s="2" t="n"/>
      <c r="D993" s="12" t="n"/>
      <c r="E993" s="2" t="n"/>
      <c r="F993" s="13" t="n"/>
      <c r="G993" s="13" t="n"/>
      <c r="H993" s="13">
        <f>IF($B993="","",SUMIFS($F:$F,$B:$B,$B993,$D:$D,"&lt;="&amp;$D993)-SUMIFS($G:$G,$B:$B,$B993,$D:$D,"&lt;="&amp;$D993))</f>
        <v/>
      </c>
      <c r="I993" s="2" t="n"/>
      <c r="J993" s="2" t="n"/>
    </row>
    <row r="994">
      <c r="A994" s="6" t="n"/>
      <c r="B994" s="6" t="n"/>
      <c r="C994" s="6" t="n"/>
      <c r="D994" s="14" t="n"/>
      <c r="E994" s="6" t="n"/>
      <c r="F994" s="15" t="n"/>
      <c r="G994" s="15" t="n"/>
      <c r="H994" s="13">
        <f>IF($B994="","",SUMIFS($F:$F,$B:$B,$B994,$D:$D,"&lt;="&amp;$D994)-SUMIFS($G:$G,$B:$B,$B994,$D:$D,"&lt;="&amp;$D994))</f>
        <v/>
      </c>
      <c r="I994" s="6" t="n"/>
      <c r="J994" s="6" t="n"/>
    </row>
    <row r="995">
      <c r="A995" s="2" t="n"/>
      <c r="B995" s="2" t="n"/>
      <c r="C995" s="2" t="n"/>
      <c r="D995" s="12" t="n"/>
      <c r="E995" s="2" t="n"/>
      <c r="F995" s="13" t="n"/>
      <c r="G995" s="13" t="n"/>
      <c r="H995" s="13">
        <f>IF($B995="","",SUMIFS($F:$F,$B:$B,$B995,$D:$D,"&lt;="&amp;$D995)-SUMIFS($G:$G,$B:$B,$B995,$D:$D,"&lt;="&amp;$D995))</f>
        <v/>
      </c>
      <c r="I995" s="2" t="n"/>
      <c r="J995" s="2" t="n"/>
    </row>
    <row r="996">
      <c r="A996" s="6" t="n"/>
      <c r="B996" s="6" t="n"/>
      <c r="C996" s="6" t="n"/>
      <c r="D996" s="14" t="n"/>
      <c r="E996" s="6" t="n"/>
      <c r="F996" s="15" t="n"/>
      <c r="G996" s="15" t="n"/>
      <c r="H996" s="13">
        <f>IF($B996="","",SUMIFS($F:$F,$B:$B,$B996,$D:$D,"&lt;="&amp;$D996)-SUMIFS($G:$G,$B:$B,$B996,$D:$D,"&lt;="&amp;$D996))</f>
        <v/>
      </c>
      <c r="I996" s="6" t="n"/>
      <c r="J996" s="6" t="n"/>
    </row>
    <row r="997">
      <c r="A997" s="2" t="n"/>
      <c r="B997" s="2" t="n"/>
      <c r="C997" s="2" t="n"/>
      <c r="D997" s="12" t="n"/>
      <c r="E997" s="2" t="n"/>
      <c r="F997" s="13" t="n"/>
      <c r="G997" s="13" t="n"/>
      <c r="H997" s="13">
        <f>IF($B997="","",SUMIFS($F:$F,$B:$B,$B997,$D:$D,"&lt;="&amp;$D997)-SUMIFS($G:$G,$B:$B,$B997,$D:$D,"&lt;="&amp;$D997))</f>
        <v/>
      </c>
      <c r="I997" s="2" t="n"/>
      <c r="J997" s="2" t="n"/>
    </row>
    <row r="998">
      <c r="A998" s="6" t="n"/>
      <c r="B998" s="6" t="n"/>
      <c r="C998" s="6" t="n"/>
      <c r="D998" s="14" t="n"/>
      <c r="E998" s="6" t="n"/>
      <c r="F998" s="15" t="n"/>
      <c r="G998" s="15" t="n"/>
      <c r="H998" s="13">
        <f>IF($B998="","",SUMIFS($F:$F,$B:$B,$B998,$D:$D,"&lt;="&amp;$D998)-SUMIFS($G:$G,$B:$B,$B998,$D:$D,"&lt;="&amp;$D998))</f>
        <v/>
      </c>
      <c r="I998" s="6" t="n"/>
      <c r="J998" s="6" t="n"/>
    </row>
    <row r="999">
      <c r="A999" s="2" t="n"/>
      <c r="B999" s="2" t="n"/>
      <c r="C999" s="2" t="n"/>
      <c r="D999" s="12" t="n"/>
      <c r="E999" s="2" t="n"/>
      <c r="F999" s="13" t="n"/>
      <c r="G999" s="13" t="n"/>
      <c r="H999" s="13">
        <f>IF($B999="","",SUMIFS($F:$F,$B:$B,$B999,$D:$D,"&lt;="&amp;$D999)-SUMIFS($G:$G,$B:$B,$B999,$D:$D,"&lt;="&amp;$D999))</f>
        <v/>
      </c>
      <c r="I999" s="2" t="n"/>
      <c r="J999" s="2" t="n"/>
    </row>
    <row r="1000">
      <c r="A1000" s="6" t="n"/>
      <c r="B1000" s="6" t="n"/>
      <c r="C1000" s="6" t="n"/>
      <c r="D1000" s="14" t="n"/>
      <c r="E1000" s="6" t="n"/>
      <c r="F1000" s="15" t="n"/>
      <c r="G1000" s="15" t="n"/>
      <c r="H1000" s="13">
        <f>IF($B1000="","",SUMIFS($F:$F,$B:$B,$B1000,$D:$D,"&lt;="&amp;$D1000)-SUMIFS($G:$G,$B:$B,$B1000,$D:$D,"&lt;="&amp;$D1000))</f>
        <v/>
      </c>
      <c r="I1000" s="6" t="n"/>
      <c r="J1000" s="6" t="n"/>
    </row>
    <row r="1001">
      <c r="A1001" s="2" t="n"/>
      <c r="B1001" s="2" t="n"/>
      <c r="C1001" s="2" t="n"/>
      <c r="D1001" s="12" t="n"/>
      <c r="E1001" s="2" t="n"/>
      <c r="F1001" s="13" t="n"/>
      <c r="G1001" s="13" t="n"/>
      <c r="H1001" s="13">
        <f>IF($B1001="","",SUMIFS($F:$F,$B:$B,$B1001,$D:$D,"&lt;="&amp;$D1001)-SUMIFS($G:$G,$B:$B,$B1001,$D:$D,"&lt;="&amp;$D1001))</f>
        <v/>
      </c>
      <c r="I1001" s="2" t="n"/>
      <c r="J1001" s="2" t="n"/>
    </row>
    <row r="1002">
      <c r="A1002" s="6" t="n"/>
      <c r="B1002" s="6" t="n"/>
      <c r="C1002" s="6" t="n"/>
      <c r="D1002" s="14" t="n"/>
      <c r="E1002" s="6" t="n"/>
      <c r="F1002" s="15" t="n"/>
      <c r="G1002" s="15" t="n"/>
      <c r="H1002" s="13">
        <f>IF($B1002="","",SUMIFS($F:$F,$B:$B,$B1002,$D:$D,"&lt;="&amp;$D1002)-SUMIFS($G:$G,$B:$B,$B1002,$D:$D,"&lt;="&amp;$D1002))</f>
        <v/>
      </c>
      <c r="I1002" s="6" t="n"/>
      <c r="J1002" s="6" t="n"/>
    </row>
    <row r="1003">
      <c r="A1003" s="2" t="n"/>
      <c r="B1003" s="2" t="n"/>
      <c r="C1003" s="2" t="n"/>
      <c r="D1003" s="12" t="n"/>
      <c r="E1003" s="2" t="n"/>
      <c r="F1003" s="13" t="n"/>
      <c r="G1003" s="13" t="n"/>
      <c r="H1003" s="13">
        <f>IF($B1003="","",SUMIFS($F:$F,$B:$B,$B1003,$D:$D,"&lt;="&amp;$D1003)-SUMIFS($G:$G,$B:$B,$B1003,$D:$D,"&lt;="&amp;$D1003))</f>
        <v/>
      </c>
      <c r="I1003" s="2" t="n"/>
      <c r="J1003" s="2" t="n"/>
    </row>
    <row r="1004">
      <c r="A1004" s="6" t="n"/>
      <c r="B1004" s="6" t="n"/>
      <c r="C1004" s="6" t="n"/>
      <c r="D1004" s="14" t="n"/>
      <c r="E1004" s="6" t="n"/>
      <c r="F1004" s="15" t="n"/>
      <c r="G1004" s="15" t="n"/>
      <c r="H1004" s="13">
        <f>IF($B1004="","",SUMIFS($F:$F,$B:$B,$B1004,$D:$D,"&lt;="&amp;$D1004)-SUMIFS($G:$G,$B:$B,$B1004,$D:$D,"&lt;="&amp;$D1004))</f>
        <v/>
      </c>
      <c r="I1004" s="6" t="n"/>
      <c r="J1004" s="6" t="n"/>
    </row>
  </sheetData>
  <autoFilter ref="A4:J1004"/>
  <dataValidations count="1">
    <dataValidation sqref="E5:E1004" showDropDown="0" showInputMessage="0" showErrorMessage="0" allowBlank="1" type="list">
      <formula1>"Charge,Payment,Adjustment,Late Fee,Credit,Write-Off"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</cols>
  <sheetData>
    <row r="1">
      <c r="A1" s="1" t="inlineStr">
        <is>
          <t>Aging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1" t="inlineStr">
        <is>
          <t>Unit ID</t>
        </is>
      </c>
      <c r="B4" s="11" t="inlineStr">
        <is>
          <t>Owner Name</t>
        </is>
      </c>
      <c r="C4" s="11" t="inlineStr">
        <is>
          <t>Invoice No.</t>
        </is>
      </c>
      <c r="D4" s="11" t="inlineStr">
        <is>
          <t>Due Date</t>
        </is>
      </c>
      <c r="E4" s="11" t="inlineStr">
        <is>
          <t>Balance Due</t>
        </is>
      </c>
      <c r="F4" s="11" t="inlineStr">
        <is>
          <t>Days Past Due</t>
        </is>
      </c>
      <c r="G4" s="11" t="inlineStr">
        <is>
          <t>Aging Bucket</t>
        </is>
      </c>
      <c r="H4" s="11" t="inlineStr">
        <is>
          <t>Status</t>
        </is>
      </c>
    </row>
    <row r="5">
      <c r="A5" s="2">
        <f>Quarterly_Billing_Run!D5</f>
        <v/>
      </c>
      <c r="B5" s="2">
        <f>Quarterly_Billing_Run!F5</f>
        <v/>
      </c>
      <c r="C5" s="2">
        <f>Quarterly_Billing_Run!A5</f>
        <v/>
      </c>
      <c r="D5" s="12">
        <f>Quarterly_Billing_Run!I5</f>
        <v/>
      </c>
      <c r="E5" s="13">
        <f>Quarterly_Billing_Run!P5</f>
        <v/>
      </c>
      <c r="F5" s="2">
        <f>IF($E5=0,0,MAX(0,TODAY()-$D5))</f>
        <v/>
      </c>
      <c r="G5" s="2">
        <f>IF($E5=0,"Current",IF($F5&lt;=30,"1-30",IF($F5&lt;=60,"31-60",IF($F5&lt;=90,"61-90","90+"))))</f>
        <v/>
      </c>
      <c r="H5" s="2">
        <f>Quarterly_Billing_Run!Q5</f>
        <v/>
      </c>
    </row>
    <row r="6">
      <c r="A6" s="2">
        <f>Quarterly_Billing_Run!D6</f>
        <v/>
      </c>
      <c r="B6" s="2">
        <f>Quarterly_Billing_Run!F6</f>
        <v/>
      </c>
      <c r="C6" s="2">
        <f>Quarterly_Billing_Run!A6</f>
        <v/>
      </c>
      <c r="D6" s="12">
        <f>Quarterly_Billing_Run!I6</f>
        <v/>
      </c>
      <c r="E6" s="13">
        <f>Quarterly_Billing_Run!P6</f>
        <v/>
      </c>
      <c r="F6" s="2">
        <f>IF($E6=0,0,MAX(0,TODAY()-$D6))</f>
        <v/>
      </c>
      <c r="G6" s="2">
        <f>IF($E6=0,"Current",IF($F6&lt;=30,"1-30",IF($F6&lt;=60,"31-60",IF($F6&lt;=90,"61-90","90+"))))</f>
        <v/>
      </c>
      <c r="H6" s="2">
        <f>Quarterly_Billing_Run!Q6</f>
        <v/>
      </c>
    </row>
    <row r="7">
      <c r="A7" s="2">
        <f>Quarterly_Billing_Run!D7</f>
        <v/>
      </c>
      <c r="B7" s="2">
        <f>Quarterly_Billing_Run!F7</f>
        <v/>
      </c>
      <c r="C7" s="2">
        <f>Quarterly_Billing_Run!A7</f>
        <v/>
      </c>
      <c r="D7" s="12">
        <f>Quarterly_Billing_Run!I7</f>
        <v/>
      </c>
      <c r="E7" s="13">
        <f>Quarterly_Billing_Run!P7</f>
        <v/>
      </c>
      <c r="F7" s="2">
        <f>IF($E7=0,0,MAX(0,TODAY()-$D7))</f>
        <v/>
      </c>
      <c r="G7" s="2">
        <f>IF($E7=0,"Current",IF($F7&lt;=30,"1-30",IF($F7&lt;=60,"31-60",IF($F7&lt;=90,"61-90","90+"))))</f>
        <v/>
      </c>
      <c r="H7" s="2">
        <f>Quarterly_Billing_Run!Q7</f>
        <v/>
      </c>
    </row>
    <row r="8">
      <c r="A8" s="2">
        <f>Quarterly_Billing_Run!D8</f>
        <v/>
      </c>
      <c r="B8" s="2">
        <f>Quarterly_Billing_Run!F8</f>
        <v/>
      </c>
      <c r="C8" s="2">
        <f>Quarterly_Billing_Run!A8</f>
        <v/>
      </c>
      <c r="D8" s="12">
        <f>Quarterly_Billing_Run!I8</f>
        <v/>
      </c>
      <c r="E8" s="13">
        <f>Quarterly_Billing_Run!P8</f>
        <v/>
      </c>
      <c r="F8" s="2">
        <f>IF($E8=0,0,MAX(0,TODAY()-$D8))</f>
        <v/>
      </c>
      <c r="G8" s="2">
        <f>IF($E8=0,"Current",IF($F8&lt;=30,"1-30",IF($F8&lt;=60,"31-60",IF($F8&lt;=90,"61-90","90+"))))</f>
        <v/>
      </c>
      <c r="H8" s="2">
        <f>Quarterly_Billing_Run!Q8</f>
        <v/>
      </c>
    </row>
    <row r="9">
      <c r="A9" s="2">
        <f>Quarterly_Billing_Run!D9</f>
        <v/>
      </c>
      <c r="B9" s="2">
        <f>Quarterly_Billing_Run!F9</f>
        <v/>
      </c>
      <c r="C9" s="2">
        <f>Quarterly_Billing_Run!A9</f>
        <v/>
      </c>
      <c r="D9" s="12">
        <f>Quarterly_Billing_Run!I9</f>
        <v/>
      </c>
      <c r="E9" s="13">
        <f>Quarterly_Billing_Run!P9</f>
        <v/>
      </c>
      <c r="F9" s="2">
        <f>IF($E9=0,0,MAX(0,TODAY()-$D9))</f>
        <v/>
      </c>
      <c r="G9" s="2">
        <f>IF($E9=0,"Current",IF($F9&lt;=30,"1-30",IF($F9&lt;=60,"31-60",IF($F9&lt;=90,"61-90","90+"))))</f>
        <v/>
      </c>
      <c r="H9" s="2">
        <f>Quarterly_Billing_Run!Q9</f>
        <v/>
      </c>
    </row>
    <row r="10">
      <c r="A10" s="2">
        <f>Quarterly_Billing_Run!D10</f>
        <v/>
      </c>
      <c r="B10" s="2">
        <f>Quarterly_Billing_Run!F10</f>
        <v/>
      </c>
      <c r="C10" s="2">
        <f>Quarterly_Billing_Run!A10</f>
        <v/>
      </c>
      <c r="D10" s="12">
        <f>Quarterly_Billing_Run!I10</f>
        <v/>
      </c>
      <c r="E10" s="13">
        <f>Quarterly_Billing_Run!P10</f>
        <v/>
      </c>
      <c r="F10" s="2">
        <f>IF($E10=0,0,MAX(0,TODAY()-$D10))</f>
        <v/>
      </c>
      <c r="G10" s="2">
        <f>IF($E10=0,"Current",IF($F10&lt;=30,"1-30",IF($F10&lt;=60,"31-60",IF($F10&lt;=90,"61-90","90+"))))</f>
        <v/>
      </c>
      <c r="H10" s="2">
        <f>Quarterly_Billing_Run!Q10</f>
        <v/>
      </c>
    </row>
    <row r="11">
      <c r="A11" s="2">
        <f>Quarterly_Billing_Run!D11</f>
        <v/>
      </c>
      <c r="B11" s="2">
        <f>Quarterly_Billing_Run!F11</f>
        <v/>
      </c>
      <c r="C11" s="2">
        <f>Quarterly_Billing_Run!A11</f>
        <v/>
      </c>
      <c r="D11" s="12">
        <f>Quarterly_Billing_Run!I11</f>
        <v/>
      </c>
      <c r="E11" s="13">
        <f>Quarterly_Billing_Run!P11</f>
        <v/>
      </c>
      <c r="F11" s="2">
        <f>IF($E11=0,0,MAX(0,TODAY()-$D11))</f>
        <v/>
      </c>
      <c r="G11" s="2">
        <f>IF($E11=0,"Current",IF($F11&lt;=30,"1-30",IF($F11&lt;=60,"31-60",IF($F11&lt;=90,"61-90","90+"))))</f>
        <v/>
      </c>
      <c r="H11" s="2">
        <f>Quarterly_Billing_Run!Q11</f>
        <v/>
      </c>
    </row>
    <row r="12">
      <c r="A12" s="2">
        <f>Quarterly_Billing_Run!D12</f>
        <v/>
      </c>
      <c r="B12" s="2">
        <f>Quarterly_Billing_Run!F12</f>
        <v/>
      </c>
      <c r="C12" s="2">
        <f>Quarterly_Billing_Run!A12</f>
        <v/>
      </c>
      <c r="D12" s="12">
        <f>Quarterly_Billing_Run!I12</f>
        <v/>
      </c>
      <c r="E12" s="13">
        <f>Quarterly_Billing_Run!P12</f>
        <v/>
      </c>
      <c r="F12" s="2">
        <f>IF($E12=0,0,MAX(0,TODAY()-$D12))</f>
        <v/>
      </c>
      <c r="G12" s="2">
        <f>IF($E12=0,"Current",IF($F12&lt;=30,"1-30",IF($F12&lt;=60,"31-60",IF($F12&lt;=90,"61-90","90+"))))</f>
        <v/>
      </c>
      <c r="H12" s="2">
        <f>Quarterly_Billing_Run!Q12</f>
        <v/>
      </c>
    </row>
    <row r="13">
      <c r="A13" s="2">
        <f>Quarterly_Billing_Run!D13</f>
        <v/>
      </c>
      <c r="B13" s="2">
        <f>Quarterly_Billing_Run!F13</f>
        <v/>
      </c>
      <c r="C13" s="2">
        <f>Quarterly_Billing_Run!A13</f>
        <v/>
      </c>
      <c r="D13" s="12">
        <f>Quarterly_Billing_Run!I13</f>
        <v/>
      </c>
      <c r="E13" s="13">
        <f>Quarterly_Billing_Run!P13</f>
        <v/>
      </c>
      <c r="F13" s="2">
        <f>IF($E13=0,0,MAX(0,TODAY()-$D13))</f>
        <v/>
      </c>
      <c r="G13" s="2">
        <f>IF($E13=0,"Current",IF($F13&lt;=30,"1-30",IF($F13&lt;=60,"31-60",IF($F13&lt;=90,"61-90","90+"))))</f>
        <v/>
      </c>
      <c r="H13" s="2">
        <f>Quarterly_Billing_Run!Q13</f>
        <v/>
      </c>
    </row>
    <row r="14">
      <c r="A14" s="2">
        <f>Quarterly_Billing_Run!D14</f>
        <v/>
      </c>
      <c r="B14" s="2">
        <f>Quarterly_Billing_Run!F14</f>
        <v/>
      </c>
      <c r="C14" s="2">
        <f>Quarterly_Billing_Run!A14</f>
        <v/>
      </c>
      <c r="D14" s="12">
        <f>Quarterly_Billing_Run!I14</f>
        <v/>
      </c>
      <c r="E14" s="13">
        <f>Quarterly_Billing_Run!P14</f>
        <v/>
      </c>
      <c r="F14" s="2">
        <f>IF($E14=0,0,MAX(0,TODAY()-$D14))</f>
        <v/>
      </c>
      <c r="G14" s="2">
        <f>IF($E14=0,"Current",IF($F14&lt;=30,"1-30",IF($F14&lt;=60,"31-60",IF($F14&lt;=90,"61-90","90+"))))</f>
        <v/>
      </c>
      <c r="H14" s="2">
        <f>Quarterly_Billing_Run!Q14</f>
        <v/>
      </c>
    </row>
    <row r="15">
      <c r="A15" s="2">
        <f>Quarterly_Billing_Run!D15</f>
        <v/>
      </c>
      <c r="B15" s="2">
        <f>Quarterly_Billing_Run!F15</f>
        <v/>
      </c>
      <c r="C15" s="2">
        <f>Quarterly_Billing_Run!A15</f>
        <v/>
      </c>
      <c r="D15" s="12">
        <f>Quarterly_Billing_Run!I15</f>
        <v/>
      </c>
      <c r="E15" s="13">
        <f>Quarterly_Billing_Run!P15</f>
        <v/>
      </c>
      <c r="F15" s="2">
        <f>IF($E15=0,0,MAX(0,TODAY()-$D15))</f>
        <v/>
      </c>
      <c r="G15" s="2">
        <f>IF($E15=0,"Current",IF($F15&lt;=30,"1-30",IF($F15&lt;=60,"31-60",IF($F15&lt;=90,"61-90","90+"))))</f>
        <v/>
      </c>
      <c r="H15" s="2">
        <f>Quarterly_Billing_Run!Q15</f>
        <v/>
      </c>
    </row>
    <row r="16">
      <c r="A16" s="2">
        <f>Quarterly_Billing_Run!D16</f>
        <v/>
      </c>
      <c r="B16" s="2">
        <f>Quarterly_Billing_Run!F16</f>
        <v/>
      </c>
      <c r="C16" s="2">
        <f>Quarterly_Billing_Run!A16</f>
        <v/>
      </c>
      <c r="D16" s="12">
        <f>Quarterly_Billing_Run!I16</f>
        <v/>
      </c>
      <c r="E16" s="13">
        <f>Quarterly_Billing_Run!P16</f>
        <v/>
      </c>
      <c r="F16" s="2">
        <f>IF($E16=0,0,MAX(0,TODAY()-$D16))</f>
        <v/>
      </c>
      <c r="G16" s="2">
        <f>IF($E16=0,"Current",IF($F16&lt;=30,"1-30",IF($F16&lt;=60,"31-60",IF($F16&lt;=90,"61-90","90+"))))</f>
        <v/>
      </c>
      <c r="H16" s="2">
        <f>Quarterly_Billing_Run!Q16</f>
        <v/>
      </c>
    </row>
    <row r="17">
      <c r="A17" s="2">
        <f>Quarterly_Billing_Run!D17</f>
        <v/>
      </c>
      <c r="B17" s="2">
        <f>Quarterly_Billing_Run!F17</f>
        <v/>
      </c>
      <c r="C17" s="2">
        <f>Quarterly_Billing_Run!A17</f>
        <v/>
      </c>
      <c r="D17" s="12">
        <f>Quarterly_Billing_Run!I17</f>
        <v/>
      </c>
      <c r="E17" s="13">
        <f>Quarterly_Billing_Run!P17</f>
        <v/>
      </c>
      <c r="F17" s="2">
        <f>IF($E17=0,0,MAX(0,TODAY()-$D17))</f>
        <v/>
      </c>
      <c r="G17" s="2">
        <f>IF($E17=0,"Current",IF($F17&lt;=30,"1-30",IF($F17&lt;=60,"31-60",IF($F17&lt;=90,"61-90","90+"))))</f>
        <v/>
      </c>
      <c r="H17" s="2">
        <f>Quarterly_Billing_Run!Q17</f>
        <v/>
      </c>
    </row>
    <row r="18">
      <c r="A18" s="2">
        <f>Quarterly_Billing_Run!D18</f>
        <v/>
      </c>
      <c r="B18" s="2">
        <f>Quarterly_Billing_Run!F18</f>
        <v/>
      </c>
      <c r="C18" s="2">
        <f>Quarterly_Billing_Run!A18</f>
        <v/>
      </c>
      <c r="D18" s="12">
        <f>Quarterly_Billing_Run!I18</f>
        <v/>
      </c>
      <c r="E18" s="13">
        <f>Quarterly_Billing_Run!P18</f>
        <v/>
      </c>
      <c r="F18" s="2">
        <f>IF($E18=0,0,MAX(0,TODAY()-$D18))</f>
        <v/>
      </c>
      <c r="G18" s="2">
        <f>IF($E18=0,"Current",IF($F18&lt;=30,"1-30",IF($F18&lt;=60,"31-60",IF($F18&lt;=90,"61-90","90+"))))</f>
        <v/>
      </c>
      <c r="H18" s="2">
        <f>Quarterly_Billing_Run!Q18</f>
        <v/>
      </c>
    </row>
    <row r="19">
      <c r="A19" s="2">
        <f>Quarterly_Billing_Run!D19</f>
        <v/>
      </c>
      <c r="B19" s="2">
        <f>Quarterly_Billing_Run!F19</f>
        <v/>
      </c>
      <c r="C19" s="2">
        <f>Quarterly_Billing_Run!A19</f>
        <v/>
      </c>
      <c r="D19" s="12">
        <f>Quarterly_Billing_Run!I19</f>
        <v/>
      </c>
      <c r="E19" s="13">
        <f>Quarterly_Billing_Run!P19</f>
        <v/>
      </c>
      <c r="F19" s="2">
        <f>IF($E19=0,0,MAX(0,TODAY()-$D19))</f>
        <v/>
      </c>
      <c r="G19" s="2">
        <f>IF($E19=0,"Current",IF($F19&lt;=30,"1-30",IF($F19&lt;=60,"31-60",IF($F19&lt;=90,"61-90","90+"))))</f>
        <v/>
      </c>
      <c r="H19" s="2">
        <f>Quarterly_Billing_Run!Q19</f>
        <v/>
      </c>
    </row>
    <row r="20">
      <c r="A20" s="2">
        <f>Quarterly_Billing_Run!D20</f>
        <v/>
      </c>
      <c r="B20" s="2">
        <f>Quarterly_Billing_Run!F20</f>
        <v/>
      </c>
      <c r="C20" s="2">
        <f>Quarterly_Billing_Run!A20</f>
        <v/>
      </c>
      <c r="D20" s="12">
        <f>Quarterly_Billing_Run!I20</f>
        <v/>
      </c>
      <c r="E20" s="13">
        <f>Quarterly_Billing_Run!P20</f>
        <v/>
      </c>
      <c r="F20" s="2">
        <f>IF($E20=0,0,MAX(0,TODAY()-$D20))</f>
        <v/>
      </c>
      <c r="G20" s="2">
        <f>IF($E20=0,"Current",IF($F20&lt;=30,"1-30",IF($F20&lt;=60,"31-60",IF($F20&lt;=90,"61-90","90+"))))</f>
        <v/>
      </c>
      <c r="H20" s="2">
        <f>Quarterly_Billing_Run!Q20</f>
        <v/>
      </c>
    </row>
    <row r="21">
      <c r="A21" s="2">
        <f>Quarterly_Billing_Run!D21</f>
        <v/>
      </c>
      <c r="B21" s="2">
        <f>Quarterly_Billing_Run!F21</f>
        <v/>
      </c>
      <c r="C21" s="2">
        <f>Quarterly_Billing_Run!A21</f>
        <v/>
      </c>
      <c r="D21" s="12">
        <f>Quarterly_Billing_Run!I21</f>
        <v/>
      </c>
      <c r="E21" s="13">
        <f>Quarterly_Billing_Run!P21</f>
        <v/>
      </c>
      <c r="F21" s="2">
        <f>IF($E21=0,0,MAX(0,TODAY()-$D21))</f>
        <v/>
      </c>
      <c r="G21" s="2">
        <f>IF($E21=0,"Current",IF($F21&lt;=30,"1-30",IF($F21&lt;=60,"31-60",IF($F21&lt;=90,"61-90","90+"))))</f>
        <v/>
      </c>
      <c r="H21" s="2">
        <f>Quarterly_Billing_Run!Q21</f>
        <v/>
      </c>
    </row>
    <row r="22">
      <c r="A22" s="2">
        <f>Quarterly_Billing_Run!D22</f>
        <v/>
      </c>
      <c r="B22" s="2">
        <f>Quarterly_Billing_Run!F22</f>
        <v/>
      </c>
      <c r="C22" s="2">
        <f>Quarterly_Billing_Run!A22</f>
        <v/>
      </c>
      <c r="D22" s="12">
        <f>Quarterly_Billing_Run!I22</f>
        <v/>
      </c>
      <c r="E22" s="13">
        <f>Quarterly_Billing_Run!P22</f>
        <v/>
      </c>
      <c r="F22" s="2">
        <f>IF($E22=0,0,MAX(0,TODAY()-$D22))</f>
        <v/>
      </c>
      <c r="G22" s="2">
        <f>IF($E22=0,"Current",IF($F22&lt;=30,"1-30",IF($F22&lt;=60,"31-60",IF($F22&lt;=90,"61-90","90+"))))</f>
        <v/>
      </c>
      <c r="H22" s="2">
        <f>Quarterly_Billing_Run!Q22</f>
        <v/>
      </c>
    </row>
    <row r="23">
      <c r="A23" s="2">
        <f>Quarterly_Billing_Run!D23</f>
        <v/>
      </c>
      <c r="B23" s="2">
        <f>Quarterly_Billing_Run!F23</f>
        <v/>
      </c>
      <c r="C23" s="2">
        <f>Quarterly_Billing_Run!A23</f>
        <v/>
      </c>
      <c r="D23" s="12">
        <f>Quarterly_Billing_Run!I23</f>
        <v/>
      </c>
      <c r="E23" s="13">
        <f>Quarterly_Billing_Run!P23</f>
        <v/>
      </c>
      <c r="F23" s="2">
        <f>IF($E23=0,0,MAX(0,TODAY()-$D23))</f>
        <v/>
      </c>
      <c r="G23" s="2">
        <f>IF($E23=0,"Current",IF($F23&lt;=30,"1-30",IF($F23&lt;=60,"31-60",IF($F23&lt;=90,"61-90","90+"))))</f>
        <v/>
      </c>
      <c r="H23" s="2">
        <f>Quarterly_Billing_Run!Q23</f>
        <v/>
      </c>
    </row>
    <row r="24">
      <c r="A24" s="2">
        <f>Quarterly_Billing_Run!D24</f>
        <v/>
      </c>
      <c r="B24" s="2">
        <f>Quarterly_Billing_Run!F24</f>
        <v/>
      </c>
      <c r="C24" s="2">
        <f>Quarterly_Billing_Run!A24</f>
        <v/>
      </c>
      <c r="D24" s="12">
        <f>Quarterly_Billing_Run!I24</f>
        <v/>
      </c>
      <c r="E24" s="13">
        <f>Quarterly_Billing_Run!P24</f>
        <v/>
      </c>
      <c r="F24" s="2">
        <f>IF($E24=0,0,MAX(0,TODAY()-$D24))</f>
        <v/>
      </c>
      <c r="G24" s="2">
        <f>IF($E24=0,"Current",IF($F24&lt;=30,"1-30",IF($F24&lt;=60,"31-60",IF($F24&lt;=90,"61-90","90+"))))</f>
        <v/>
      </c>
      <c r="H24" s="2">
        <f>Quarterly_Billing_Run!Q24</f>
        <v/>
      </c>
    </row>
    <row r="25">
      <c r="A25" s="2">
        <f>Quarterly_Billing_Run!D25</f>
        <v/>
      </c>
      <c r="B25" s="2">
        <f>Quarterly_Billing_Run!F25</f>
        <v/>
      </c>
      <c r="C25" s="2">
        <f>Quarterly_Billing_Run!A25</f>
        <v/>
      </c>
      <c r="D25" s="12">
        <f>Quarterly_Billing_Run!I25</f>
        <v/>
      </c>
      <c r="E25" s="13">
        <f>Quarterly_Billing_Run!P25</f>
        <v/>
      </c>
      <c r="F25" s="2">
        <f>IF($E25=0,0,MAX(0,TODAY()-$D25))</f>
        <v/>
      </c>
      <c r="G25" s="2">
        <f>IF($E25=0,"Current",IF($F25&lt;=30,"1-30",IF($F25&lt;=60,"31-60",IF($F25&lt;=90,"61-90","90+"))))</f>
        <v/>
      </c>
      <c r="H25" s="2">
        <f>Quarterly_Billing_Run!Q25</f>
        <v/>
      </c>
    </row>
    <row r="26">
      <c r="A26" s="2">
        <f>Quarterly_Billing_Run!D26</f>
        <v/>
      </c>
      <c r="B26" s="2">
        <f>Quarterly_Billing_Run!F26</f>
        <v/>
      </c>
      <c r="C26" s="2">
        <f>Quarterly_Billing_Run!A26</f>
        <v/>
      </c>
      <c r="D26" s="12">
        <f>Quarterly_Billing_Run!I26</f>
        <v/>
      </c>
      <c r="E26" s="13">
        <f>Quarterly_Billing_Run!P26</f>
        <v/>
      </c>
      <c r="F26" s="2">
        <f>IF($E26=0,0,MAX(0,TODAY()-$D26))</f>
        <v/>
      </c>
      <c r="G26" s="2">
        <f>IF($E26=0,"Current",IF($F26&lt;=30,"1-30",IF($F26&lt;=60,"31-60",IF($F26&lt;=90,"61-90","90+"))))</f>
        <v/>
      </c>
      <c r="H26" s="2">
        <f>Quarterly_Billing_Run!Q26</f>
        <v/>
      </c>
    </row>
    <row r="27">
      <c r="A27" s="2">
        <f>Quarterly_Billing_Run!D27</f>
        <v/>
      </c>
      <c r="B27" s="2">
        <f>Quarterly_Billing_Run!F27</f>
        <v/>
      </c>
      <c r="C27" s="2">
        <f>Quarterly_Billing_Run!A27</f>
        <v/>
      </c>
      <c r="D27" s="12">
        <f>Quarterly_Billing_Run!I27</f>
        <v/>
      </c>
      <c r="E27" s="13">
        <f>Quarterly_Billing_Run!P27</f>
        <v/>
      </c>
      <c r="F27" s="2">
        <f>IF($E27=0,0,MAX(0,TODAY()-$D27))</f>
        <v/>
      </c>
      <c r="G27" s="2">
        <f>IF($E27=0,"Current",IF($F27&lt;=30,"1-30",IF($F27&lt;=60,"31-60",IF($F27&lt;=90,"61-90","90+"))))</f>
        <v/>
      </c>
      <c r="H27" s="2">
        <f>Quarterly_Billing_Run!Q27</f>
        <v/>
      </c>
    </row>
    <row r="28">
      <c r="A28" s="2">
        <f>Quarterly_Billing_Run!D28</f>
        <v/>
      </c>
      <c r="B28" s="2">
        <f>Quarterly_Billing_Run!F28</f>
        <v/>
      </c>
      <c r="C28" s="2">
        <f>Quarterly_Billing_Run!A28</f>
        <v/>
      </c>
      <c r="D28" s="12">
        <f>Quarterly_Billing_Run!I28</f>
        <v/>
      </c>
      <c r="E28" s="13">
        <f>Quarterly_Billing_Run!P28</f>
        <v/>
      </c>
      <c r="F28" s="2">
        <f>IF($E28=0,0,MAX(0,TODAY()-$D28))</f>
        <v/>
      </c>
      <c r="G28" s="2">
        <f>IF($E28=0,"Current",IF($F28&lt;=30,"1-30",IF($F28&lt;=60,"31-60",IF($F28&lt;=90,"61-90","90+"))))</f>
        <v/>
      </c>
      <c r="H28" s="2">
        <f>Quarterly_Billing_Run!Q28</f>
        <v/>
      </c>
    </row>
    <row r="29">
      <c r="A29" s="2">
        <f>Quarterly_Billing_Run!D29</f>
        <v/>
      </c>
      <c r="B29" s="2">
        <f>Quarterly_Billing_Run!F29</f>
        <v/>
      </c>
      <c r="C29" s="2">
        <f>Quarterly_Billing_Run!A29</f>
        <v/>
      </c>
      <c r="D29" s="12">
        <f>Quarterly_Billing_Run!I29</f>
        <v/>
      </c>
      <c r="E29" s="13">
        <f>Quarterly_Billing_Run!P29</f>
        <v/>
      </c>
      <c r="F29" s="2">
        <f>IF($E29=0,0,MAX(0,TODAY()-$D29))</f>
        <v/>
      </c>
      <c r="G29" s="2">
        <f>IF($E29=0,"Current",IF($F29&lt;=30,"1-30",IF($F29&lt;=60,"31-60",IF($F29&lt;=90,"61-90","90+"))))</f>
        <v/>
      </c>
      <c r="H29" s="2">
        <f>Quarterly_Billing_Run!Q29</f>
        <v/>
      </c>
    </row>
    <row r="30">
      <c r="A30" s="2">
        <f>Quarterly_Billing_Run!D30</f>
        <v/>
      </c>
      <c r="B30" s="2">
        <f>Quarterly_Billing_Run!F30</f>
        <v/>
      </c>
      <c r="C30" s="2">
        <f>Quarterly_Billing_Run!A30</f>
        <v/>
      </c>
      <c r="D30" s="12">
        <f>Quarterly_Billing_Run!I30</f>
        <v/>
      </c>
      <c r="E30" s="13">
        <f>Quarterly_Billing_Run!P30</f>
        <v/>
      </c>
      <c r="F30" s="2">
        <f>IF($E30=0,0,MAX(0,TODAY()-$D30))</f>
        <v/>
      </c>
      <c r="G30" s="2">
        <f>IF($E30=0,"Current",IF($F30&lt;=30,"1-30",IF($F30&lt;=60,"31-60",IF($F30&lt;=90,"61-90","90+"))))</f>
        <v/>
      </c>
      <c r="H30" s="2">
        <f>Quarterly_Billing_Run!Q30</f>
        <v/>
      </c>
    </row>
    <row r="31">
      <c r="A31" s="2">
        <f>Quarterly_Billing_Run!D31</f>
        <v/>
      </c>
      <c r="B31" s="2">
        <f>Quarterly_Billing_Run!F31</f>
        <v/>
      </c>
      <c r="C31" s="2">
        <f>Quarterly_Billing_Run!A31</f>
        <v/>
      </c>
      <c r="D31" s="12">
        <f>Quarterly_Billing_Run!I31</f>
        <v/>
      </c>
      <c r="E31" s="13">
        <f>Quarterly_Billing_Run!P31</f>
        <v/>
      </c>
      <c r="F31" s="2">
        <f>IF($E31=0,0,MAX(0,TODAY()-$D31))</f>
        <v/>
      </c>
      <c r="G31" s="2">
        <f>IF($E31=0,"Current",IF($F31&lt;=30,"1-30",IF($F31&lt;=60,"31-60",IF($F31&lt;=90,"61-90","90+"))))</f>
        <v/>
      </c>
      <c r="H31" s="2">
        <f>Quarterly_Billing_Run!Q31</f>
        <v/>
      </c>
    </row>
    <row r="32">
      <c r="A32" s="2">
        <f>Quarterly_Billing_Run!D32</f>
        <v/>
      </c>
      <c r="B32" s="2">
        <f>Quarterly_Billing_Run!F32</f>
        <v/>
      </c>
      <c r="C32" s="2">
        <f>Quarterly_Billing_Run!A32</f>
        <v/>
      </c>
      <c r="D32" s="12">
        <f>Quarterly_Billing_Run!I32</f>
        <v/>
      </c>
      <c r="E32" s="13">
        <f>Quarterly_Billing_Run!P32</f>
        <v/>
      </c>
      <c r="F32" s="2">
        <f>IF($E32=0,0,MAX(0,TODAY()-$D32))</f>
        <v/>
      </c>
      <c r="G32" s="2">
        <f>IF($E32=0,"Current",IF($F32&lt;=30,"1-30",IF($F32&lt;=60,"31-60",IF($F32&lt;=90,"61-90","90+"))))</f>
        <v/>
      </c>
      <c r="H32" s="2">
        <f>Quarterly_Billing_Run!Q32</f>
        <v/>
      </c>
    </row>
    <row r="33">
      <c r="A33" s="2">
        <f>Quarterly_Billing_Run!D33</f>
        <v/>
      </c>
      <c r="B33" s="2">
        <f>Quarterly_Billing_Run!F33</f>
        <v/>
      </c>
      <c r="C33" s="2">
        <f>Quarterly_Billing_Run!A33</f>
        <v/>
      </c>
      <c r="D33" s="12">
        <f>Quarterly_Billing_Run!I33</f>
        <v/>
      </c>
      <c r="E33" s="13">
        <f>Quarterly_Billing_Run!P33</f>
        <v/>
      </c>
      <c r="F33" s="2">
        <f>IF($E33=0,0,MAX(0,TODAY()-$D33))</f>
        <v/>
      </c>
      <c r="G33" s="2">
        <f>IF($E33=0,"Current",IF($F33&lt;=30,"1-30",IF($F33&lt;=60,"31-60",IF($F33&lt;=90,"61-90","90+"))))</f>
        <v/>
      </c>
      <c r="H33" s="2">
        <f>Quarterly_Billing_Run!Q33</f>
        <v/>
      </c>
    </row>
    <row r="34">
      <c r="A34" s="2">
        <f>Quarterly_Billing_Run!D34</f>
        <v/>
      </c>
      <c r="B34" s="2">
        <f>Quarterly_Billing_Run!F34</f>
        <v/>
      </c>
      <c r="C34" s="2">
        <f>Quarterly_Billing_Run!A34</f>
        <v/>
      </c>
      <c r="D34" s="12">
        <f>Quarterly_Billing_Run!I34</f>
        <v/>
      </c>
      <c r="E34" s="13">
        <f>Quarterly_Billing_Run!P34</f>
        <v/>
      </c>
      <c r="F34" s="2">
        <f>IF($E34=0,0,MAX(0,TODAY()-$D34))</f>
        <v/>
      </c>
      <c r="G34" s="2">
        <f>IF($E34=0,"Current",IF($F34&lt;=30,"1-30",IF($F34&lt;=60,"31-60",IF($F34&lt;=90,"61-90","90+"))))</f>
        <v/>
      </c>
      <c r="H34" s="2">
        <f>Quarterly_Billing_Run!Q34</f>
        <v/>
      </c>
    </row>
    <row r="35">
      <c r="A35" s="2">
        <f>Quarterly_Billing_Run!D35</f>
        <v/>
      </c>
      <c r="B35" s="2">
        <f>Quarterly_Billing_Run!F35</f>
        <v/>
      </c>
      <c r="C35" s="2">
        <f>Quarterly_Billing_Run!A35</f>
        <v/>
      </c>
      <c r="D35" s="12">
        <f>Quarterly_Billing_Run!I35</f>
        <v/>
      </c>
      <c r="E35" s="13">
        <f>Quarterly_Billing_Run!P35</f>
        <v/>
      </c>
      <c r="F35" s="2">
        <f>IF($E35=0,0,MAX(0,TODAY()-$D35))</f>
        <v/>
      </c>
      <c r="G35" s="2">
        <f>IF($E35=0,"Current",IF($F35&lt;=30,"1-30",IF($F35&lt;=60,"31-60",IF($F35&lt;=90,"61-90","90+"))))</f>
        <v/>
      </c>
      <c r="H35" s="2">
        <f>Quarterly_Billing_Run!Q35</f>
        <v/>
      </c>
    </row>
    <row r="36">
      <c r="A36" s="2">
        <f>Quarterly_Billing_Run!D36</f>
        <v/>
      </c>
      <c r="B36" s="2">
        <f>Quarterly_Billing_Run!F36</f>
        <v/>
      </c>
      <c r="C36" s="2">
        <f>Quarterly_Billing_Run!A36</f>
        <v/>
      </c>
      <c r="D36" s="12">
        <f>Quarterly_Billing_Run!I36</f>
        <v/>
      </c>
      <c r="E36" s="13">
        <f>Quarterly_Billing_Run!P36</f>
        <v/>
      </c>
      <c r="F36" s="2">
        <f>IF($E36=0,0,MAX(0,TODAY()-$D36))</f>
        <v/>
      </c>
      <c r="G36" s="2">
        <f>IF($E36=0,"Current",IF($F36&lt;=30,"1-30",IF($F36&lt;=60,"31-60",IF($F36&lt;=90,"61-90","90+"))))</f>
        <v/>
      </c>
      <c r="H36" s="2">
        <f>Quarterly_Billing_Run!Q36</f>
        <v/>
      </c>
    </row>
    <row r="37">
      <c r="A37" s="2">
        <f>Quarterly_Billing_Run!D37</f>
        <v/>
      </c>
      <c r="B37" s="2">
        <f>Quarterly_Billing_Run!F37</f>
        <v/>
      </c>
      <c r="C37" s="2">
        <f>Quarterly_Billing_Run!A37</f>
        <v/>
      </c>
      <c r="D37" s="12">
        <f>Quarterly_Billing_Run!I37</f>
        <v/>
      </c>
      <c r="E37" s="13">
        <f>Quarterly_Billing_Run!P37</f>
        <v/>
      </c>
      <c r="F37" s="2">
        <f>IF($E37=0,0,MAX(0,TODAY()-$D37))</f>
        <v/>
      </c>
      <c r="G37" s="2">
        <f>IF($E37=0,"Current",IF($F37&lt;=30,"1-30",IF($F37&lt;=60,"31-60",IF($F37&lt;=90,"61-90","90+"))))</f>
        <v/>
      </c>
      <c r="H37" s="2">
        <f>Quarterly_Billing_Run!Q37</f>
        <v/>
      </c>
    </row>
    <row r="38">
      <c r="A38" s="2">
        <f>Quarterly_Billing_Run!D38</f>
        <v/>
      </c>
      <c r="B38" s="2">
        <f>Quarterly_Billing_Run!F38</f>
        <v/>
      </c>
      <c r="C38" s="2">
        <f>Quarterly_Billing_Run!A38</f>
        <v/>
      </c>
      <c r="D38" s="12">
        <f>Quarterly_Billing_Run!I38</f>
        <v/>
      </c>
      <c r="E38" s="13">
        <f>Quarterly_Billing_Run!P38</f>
        <v/>
      </c>
      <c r="F38" s="2">
        <f>IF($E38=0,0,MAX(0,TODAY()-$D38))</f>
        <v/>
      </c>
      <c r="G38" s="2">
        <f>IF($E38=0,"Current",IF($F38&lt;=30,"1-30",IF($F38&lt;=60,"31-60",IF($F38&lt;=90,"61-90","90+"))))</f>
        <v/>
      </c>
      <c r="H38" s="2">
        <f>Quarterly_Billing_Run!Q38</f>
        <v/>
      </c>
    </row>
    <row r="39">
      <c r="A39" s="2">
        <f>Quarterly_Billing_Run!D39</f>
        <v/>
      </c>
      <c r="B39" s="2">
        <f>Quarterly_Billing_Run!F39</f>
        <v/>
      </c>
      <c r="C39" s="2">
        <f>Quarterly_Billing_Run!A39</f>
        <v/>
      </c>
      <c r="D39" s="12">
        <f>Quarterly_Billing_Run!I39</f>
        <v/>
      </c>
      <c r="E39" s="13">
        <f>Quarterly_Billing_Run!P39</f>
        <v/>
      </c>
      <c r="F39" s="2">
        <f>IF($E39=0,0,MAX(0,TODAY()-$D39))</f>
        <v/>
      </c>
      <c r="G39" s="2">
        <f>IF($E39=0,"Current",IF($F39&lt;=30,"1-30",IF($F39&lt;=60,"31-60",IF($F39&lt;=90,"61-90","90+"))))</f>
        <v/>
      </c>
      <c r="H39" s="2">
        <f>Quarterly_Billing_Run!Q39</f>
        <v/>
      </c>
    </row>
    <row r="40">
      <c r="A40" s="2">
        <f>Quarterly_Billing_Run!D40</f>
        <v/>
      </c>
      <c r="B40" s="2">
        <f>Quarterly_Billing_Run!F40</f>
        <v/>
      </c>
      <c r="C40" s="2">
        <f>Quarterly_Billing_Run!A40</f>
        <v/>
      </c>
      <c r="D40" s="12">
        <f>Quarterly_Billing_Run!I40</f>
        <v/>
      </c>
      <c r="E40" s="13">
        <f>Quarterly_Billing_Run!P40</f>
        <v/>
      </c>
      <c r="F40" s="2">
        <f>IF($E40=0,0,MAX(0,TODAY()-$D40))</f>
        <v/>
      </c>
      <c r="G40" s="2">
        <f>IF($E40=0,"Current",IF($F40&lt;=30,"1-30",IF($F40&lt;=60,"31-60",IF($F40&lt;=90,"61-90","90+"))))</f>
        <v/>
      </c>
      <c r="H40" s="2">
        <f>Quarterly_Billing_Run!Q40</f>
        <v/>
      </c>
    </row>
    <row r="41">
      <c r="A41" s="2">
        <f>Quarterly_Billing_Run!D41</f>
        <v/>
      </c>
      <c r="B41" s="2">
        <f>Quarterly_Billing_Run!F41</f>
        <v/>
      </c>
      <c r="C41" s="2">
        <f>Quarterly_Billing_Run!A41</f>
        <v/>
      </c>
      <c r="D41" s="12">
        <f>Quarterly_Billing_Run!I41</f>
        <v/>
      </c>
      <c r="E41" s="13">
        <f>Quarterly_Billing_Run!P41</f>
        <v/>
      </c>
      <c r="F41" s="2">
        <f>IF($E41=0,0,MAX(0,TODAY()-$D41))</f>
        <v/>
      </c>
      <c r="G41" s="2">
        <f>IF($E41=0,"Current",IF($F41&lt;=30,"1-30",IF($F41&lt;=60,"31-60",IF($F41&lt;=90,"61-90","90+"))))</f>
        <v/>
      </c>
      <c r="H41" s="2">
        <f>Quarterly_Billing_Run!Q41</f>
        <v/>
      </c>
    </row>
    <row r="42">
      <c r="A42" s="2">
        <f>Quarterly_Billing_Run!D42</f>
        <v/>
      </c>
      <c r="B42" s="2">
        <f>Quarterly_Billing_Run!F42</f>
        <v/>
      </c>
      <c r="C42" s="2">
        <f>Quarterly_Billing_Run!A42</f>
        <v/>
      </c>
      <c r="D42" s="12">
        <f>Quarterly_Billing_Run!I42</f>
        <v/>
      </c>
      <c r="E42" s="13">
        <f>Quarterly_Billing_Run!P42</f>
        <v/>
      </c>
      <c r="F42" s="2">
        <f>IF($E42=0,0,MAX(0,TODAY()-$D42))</f>
        <v/>
      </c>
      <c r="G42" s="2">
        <f>IF($E42=0,"Current",IF($F42&lt;=30,"1-30",IF($F42&lt;=60,"31-60",IF($F42&lt;=90,"61-90","90+"))))</f>
        <v/>
      </c>
      <c r="H42" s="2">
        <f>Quarterly_Billing_Run!Q42</f>
        <v/>
      </c>
    </row>
    <row r="43">
      <c r="A43" s="2">
        <f>Quarterly_Billing_Run!D43</f>
        <v/>
      </c>
      <c r="B43" s="2">
        <f>Quarterly_Billing_Run!F43</f>
        <v/>
      </c>
      <c r="C43" s="2">
        <f>Quarterly_Billing_Run!A43</f>
        <v/>
      </c>
      <c r="D43" s="12">
        <f>Quarterly_Billing_Run!I43</f>
        <v/>
      </c>
      <c r="E43" s="13">
        <f>Quarterly_Billing_Run!P43</f>
        <v/>
      </c>
      <c r="F43" s="2">
        <f>IF($E43=0,0,MAX(0,TODAY()-$D43))</f>
        <v/>
      </c>
      <c r="G43" s="2">
        <f>IF($E43=0,"Current",IF($F43&lt;=30,"1-30",IF($F43&lt;=60,"31-60",IF($F43&lt;=90,"61-90","90+"))))</f>
        <v/>
      </c>
      <c r="H43" s="2">
        <f>Quarterly_Billing_Run!Q43</f>
        <v/>
      </c>
    </row>
    <row r="44">
      <c r="A44" s="2">
        <f>Quarterly_Billing_Run!D44</f>
        <v/>
      </c>
      <c r="B44" s="2">
        <f>Quarterly_Billing_Run!F44</f>
        <v/>
      </c>
      <c r="C44" s="2">
        <f>Quarterly_Billing_Run!A44</f>
        <v/>
      </c>
      <c r="D44" s="12">
        <f>Quarterly_Billing_Run!I44</f>
        <v/>
      </c>
      <c r="E44" s="13">
        <f>Quarterly_Billing_Run!P44</f>
        <v/>
      </c>
      <c r="F44" s="2">
        <f>IF($E44=0,0,MAX(0,TODAY()-$D44))</f>
        <v/>
      </c>
      <c r="G44" s="2">
        <f>IF($E44=0,"Current",IF($F44&lt;=30,"1-30",IF($F44&lt;=60,"31-60",IF($F44&lt;=90,"61-90","90+"))))</f>
        <v/>
      </c>
      <c r="H44" s="2">
        <f>Quarterly_Billing_Run!Q44</f>
        <v/>
      </c>
    </row>
    <row r="45">
      <c r="A45" s="2">
        <f>Quarterly_Billing_Run!D45</f>
        <v/>
      </c>
      <c r="B45" s="2">
        <f>Quarterly_Billing_Run!F45</f>
        <v/>
      </c>
      <c r="C45" s="2">
        <f>Quarterly_Billing_Run!A45</f>
        <v/>
      </c>
      <c r="D45" s="12">
        <f>Quarterly_Billing_Run!I45</f>
        <v/>
      </c>
      <c r="E45" s="13">
        <f>Quarterly_Billing_Run!P45</f>
        <v/>
      </c>
      <c r="F45" s="2">
        <f>IF($E45=0,0,MAX(0,TODAY()-$D45))</f>
        <v/>
      </c>
      <c r="G45" s="2">
        <f>IF($E45=0,"Current",IF($F45&lt;=30,"1-30",IF($F45&lt;=60,"31-60",IF($F45&lt;=90,"61-90","90+"))))</f>
        <v/>
      </c>
      <c r="H45" s="2">
        <f>Quarterly_Billing_Run!Q45</f>
        <v/>
      </c>
    </row>
    <row r="46">
      <c r="A46" s="2">
        <f>Quarterly_Billing_Run!D46</f>
        <v/>
      </c>
      <c r="B46" s="2">
        <f>Quarterly_Billing_Run!F46</f>
        <v/>
      </c>
      <c r="C46" s="2">
        <f>Quarterly_Billing_Run!A46</f>
        <v/>
      </c>
      <c r="D46" s="12">
        <f>Quarterly_Billing_Run!I46</f>
        <v/>
      </c>
      <c r="E46" s="13">
        <f>Quarterly_Billing_Run!P46</f>
        <v/>
      </c>
      <c r="F46" s="2">
        <f>IF($E46=0,0,MAX(0,TODAY()-$D46))</f>
        <v/>
      </c>
      <c r="G46" s="2">
        <f>IF($E46=0,"Current",IF($F46&lt;=30,"1-30",IF($F46&lt;=60,"31-60",IF($F46&lt;=90,"61-90","90+"))))</f>
        <v/>
      </c>
      <c r="H46" s="2">
        <f>Quarterly_Billing_Run!Q46</f>
        <v/>
      </c>
    </row>
    <row r="47">
      <c r="A47" s="2">
        <f>Quarterly_Billing_Run!D47</f>
        <v/>
      </c>
      <c r="B47" s="2">
        <f>Quarterly_Billing_Run!F47</f>
        <v/>
      </c>
      <c r="C47" s="2">
        <f>Quarterly_Billing_Run!A47</f>
        <v/>
      </c>
      <c r="D47" s="12">
        <f>Quarterly_Billing_Run!I47</f>
        <v/>
      </c>
      <c r="E47" s="13">
        <f>Quarterly_Billing_Run!P47</f>
        <v/>
      </c>
      <c r="F47" s="2">
        <f>IF($E47=0,0,MAX(0,TODAY()-$D47))</f>
        <v/>
      </c>
      <c r="G47" s="2">
        <f>IF($E47=0,"Current",IF($F47&lt;=30,"1-30",IF($F47&lt;=60,"31-60",IF($F47&lt;=90,"61-90","90+"))))</f>
        <v/>
      </c>
      <c r="H47" s="2">
        <f>Quarterly_Billing_Run!Q47</f>
        <v/>
      </c>
    </row>
    <row r="48">
      <c r="A48" s="2">
        <f>Quarterly_Billing_Run!D48</f>
        <v/>
      </c>
      <c r="B48" s="2">
        <f>Quarterly_Billing_Run!F48</f>
        <v/>
      </c>
      <c r="C48" s="2">
        <f>Quarterly_Billing_Run!A48</f>
        <v/>
      </c>
      <c r="D48" s="12">
        <f>Quarterly_Billing_Run!I48</f>
        <v/>
      </c>
      <c r="E48" s="13">
        <f>Quarterly_Billing_Run!P48</f>
        <v/>
      </c>
      <c r="F48" s="2">
        <f>IF($E48=0,0,MAX(0,TODAY()-$D48))</f>
        <v/>
      </c>
      <c r="G48" s="2">
        <f>IF($E48=0,"Current",IF($F48&lt;=30,"1-30",IF($F48&lt;=60,"31-60",IF($F48&lt;=90,"61-90","90+"))))</f>
        <v/>
      </c>
      <c r="H48" s="2">
        <f>Quarterly_Billing_Run!Q48</f>
        <v/>
      </c>
    </row>
    <row r="49">
      <c r="A49" s="2">
        <f>Quarterly_Billing_Run!D49</f>
        <v/>
      </c>
      <c r="B49" s="2">
        <f>Quarterly_Billing_Run!F49</f>
        <v/>
      </c>
      <c r="C49" s="2">
        <f>Quarterly_Billing_Run!A49</f>
        <v/>
      </c>
      <c r="D49" s="12">
        <f>Quarterly_Billing_Run!I49</f>
        <v/>
      </c>
      <c r="E49" s="13">
        <f>Quarterly_Billing_Run!P49</f>
        <v/>
      </c>
      <c r="F49" s="2">
        <f>IF($E49=0,0,MAX(0,TODAY()-$D49))</f>
        <v/>
      </c>
      <c r="G49" s="2">
        <f>IF($E49=0,"Current",IF($F49&lt;=30,"1-30",IF($F49&lt;=60,"31-60",IF($F49&lt;=90,"61-90","90+"))))</f>
        <v/>
      </c>
      <c r="H49" s="2">
        <f>Quarterly_Billing_Run!Q49</f>
        <v/>
      </c>
    </row>
    <row r="50">
      <c r="A50" s="2">
        <f>Quarterly_Billing_Run!D50</f>
        <v/>
      </c>
      <c r="B50" s="2">
        <f>Quarterly_Billing_Run!F50</f>
        <v/>
      </c>
      <c r="C50" s="2">
        <f>Quarterly_Billing_Run!A50</f>
        <v/>
      </c>
      <c r="D50" s="12">
        <f>Quarterly_Billing_Run!I50</f>
        <v/>
      </c>
      <c r="E50" s="13">
        <f>Quarterly_Billing_Run!P50</f>
        <v/>
      </c>
      <c r="F50" s="2">
        <f>IF($E50=0,0,MAX(0,TODAY()-$D50))</f>
        <v/>
      </c>
      <c r="G50" s="2">
        <f>IF($E50=0,"Current",IF($F50&lt;=30,"1-30",IF($F50&lt;=60,"31-60",IF($F50&lt;=90,"61-90","90+"))))</f>
        <v/>
      </c>
      <c r="H50" s="2">
        <f>Quarterly_Billing_Run!Q50</f>
        <v/>
      </c>
    </row>
    <row r="51">
      <c r="A51" s="2">
        <f>Quarterly_Billing_Run!D51</f>
        <v/>
      </c>
      <c r="B51" s="2">
        <f>Quarterly_Billing_Run!F51</f>
        <v/>
      </c>
      <c r="C51" s="2">
        <f>Quarterly_Billing_Run!A51</f>
        <v/>
      </c>
      <c r="D51" s="12">
        <f>Quarterly_Billing_Run!I51</f>
        <v/>
      </c>
      <c r="E51" s="13">
        <f>Quarterly_Billing_Run!P51</f>
        <v/>
      </c>
      <c r="F51" s="2">
        <f>IF($E51=0,0,MAX(0,TODAY()-$D51))</f>
        <v/>
      </c>
      <c r="G51" s="2">
        <f>IF($E51=0,"Current",IF($F51&lt;=30,"1-30",IF($F51&lt;=60,"31-60",IF($F51&lt;=90,"61-90","90+"))))</f>
        <v/>
      </c>
      <c r="H51" s="2">
        <f>Quarterly_Billing_Run!Q51</f>
        <v/>
      </c>
    </row>
    <row r="52">
      <c r="A52" s="2">
        <f>Quarterly_Billing_Run!D52</f>
        <v/>
      </c>
      <c r="B52" s="2">
        <f>Quarterly_Billing_Run!F52</f>
        <v/>
      </c>
      <c r="C52" s="2">
        <f>Quarterly_Billing_Run!A52</f>
        <v/>
      </c>
      <c r="D52" s="12">
        <f>Quarterly_Billing_Run!I52</f>
        <v/>
      </c>
      <c r="E52" s="13">
        <f>Quarterly_Billing_Run!P52</f>
        <v/>
      </c>
      <c r="F52" s="2">
        <f>IF($E52=0,0,MAX(0,TODAY()-$D52))</f>
        <v/>
      </c>
      <c r="G52" s="2">
        <f>IF($E52=0,"Current",IF($F52&lt;=30,"1-30",IF($F52&lt;=60,"31-60",IF($F52&lt;=90,"61-90","90+"))))</f>
        <v/>
      </c>
      <c r="H52" s="2">
        <f>Quarterly_Billing_Run!Q52</f>
        <v/>
      </c>
    </row>
    <row r="53">
      <c r="A53" s="2">
        <f>Quarterly_Billing_Run!D53</f>
        <v/>
      </c>
      <c r="B53" s="2">
        <f>Quarterly_Billing_Run!F53</f>
        <v/>
      </c>
      <c r="C53" s="2">
        <f>Quarterly_Billing_Run!A53</f>
        <v/>
      </c>
      <c r="D53" s="12">
        <f>Quarterly_Billing_Run!I53</f>
        <v/>
      </c>
      <c r="E53" s="13">
        <f>Quarterly_Billing_Run!P53</f>
        <v/>
      </c>
      <c r="F53" s="2">
        <f>IF($E53=0,0,MAX(0,TODAY()-$D53))</f>
        <v/>
      </c>
      <c r="G53" s="2">
        <f>IF($E53=0,"Current",IF($F53&lt;=30,"1-30",IF($F53&lt;=60,"31-60",IF($F53&lt;=90,"61-90","90+"))))</f>
        <v/>
      </c>
      <c r="H53" s="2">
        <f>Quarterly_Billing_Run!Q53</f>
        <v/>
      </c>
    </row>
    <row r="54">
      <c r="A54" s="2">
        <f>Quarterly_Billing_Run!D54</f>
        <v/>
      </c>
      <c r="B54" s="2">
        <f>Quarterly_Billing_Run!F54</f>
        <v/>
      </c>
      <c r="C54" s="2">
        <f>Quarterly_Billing_Run!A54</f>
        <v/>
      </c>
      <c r="D54" s="12">
        <f>Quarterly_Billing_Run!I54</f>
        <v/>
      </c>
      <c r="E54" s="13">
        <f>Quarterly_Billing_Run!P54</f>
        <v/>
      </c>
      <c r="F54" s="2">
        <f>IF($E54=0,0,MAX(0,TODAY()-$D54))</f>
        <v/>
      </c>
      <c r="G54" s="2">
        <f>IF($E54=0,"Current",IF($F54&lt;=30,"1-30",IF($F54&lt;=60,"31-60",IF($F54&lt;=90,"61-90","90+"))))</f>
        <v/>
      </c>
      <c r="H54" s="2">
        <f>Quarterly_Billing_Run!Q54</f>
        <v/>
      </c>
    </row>
    <row r="55">
      <c r="A55" s="2">
        <f>Quarterly_Billing_Run!D55</f>
        <v/>
      </c>
      <c r="B55" s="2">
        <f>Quarterly_Billing_Run!F55</f>
        <v/>
      </c>
      <c r="C55" s="2">
        <f>Quarterly_Billing_Run!A55</f>
        <v/>
      </c>
      <c r="D55" s="12">
        <f>Quarterly_Billing_Run!I55</f>
        <v/>
      </c>
      <c r="E55" s="13">
        <f>Quarterly_Billing_Run!P55</f>
        <v/>
      </c>
      <c r="F55" s="2">
        <f>IF($E55=0,0,MAX(0,TODAY()-$D55))</f>
        <v/>
      </c>
      <c r="G55" s="2">
        <f>IF($E55=0,"Current",IF($F55&lt;=30,"1-30",IF($F55&lt;=60,"31-60",IF($F55&lt;=90,"61-90","90+"))))</f>
        <v/>
      </c>
      <c r="H55" s="2">
        <f>Quarterly_Billing_Run!Q55</f>
        <v/>
      </c>
    </row>
    <row r="56">
      <c r="A56" s="2">
        <f>Quarterly_Billing_Run!D56</f>
        <v/>
      </c>
      <c r="B56" s="2">
        <f>Quarterly_Billing_Run!F56</f>
        <v/>
      </c>
      <c r="C56" s="2">
        <f>Quarterly_Billing_Run!A56</f>
        <v/>
      </c>
      <c r="D56" s="12">
        <f>Quarterly_Billing_Run!I56</f>
        <v/>
      </c>
      <c r="E56" s="13">
        <f>Quarterly_Billing_Run!P56</f>
        <v/>
      </c>
      <c r="F56" s="2">
        <f>IF($E56=0,0,MAX(0,TODAY()-$D56))</f>
        <v/>
      </c>
      <c r="G56" s="2">
        <f>IF($E56=0,"Current",IF($F56&lt;=30,"1-30",IF($F56&lt;=60,"31-60",IF($F56&lt;=90,"61-90","90+"))))</f>
        <v/>
      </c>
      <c r="H56" s="2">
        <f>Quarterly_Billing_Run!Q56</f>
        <v/>
      </c>
    </row>
    <row r="57">
      <c r="A57" s="2">
        <f>Quarterly_Billing_Run!D57</f>
        <v/>
      </c>
      <c r="B57" s="2">
        <f>Quarterly_Billing_Run!F57</f>
        <v/>
      </c>
      <c r="C57" s="2">
        <f>Quarterly_Billing_Run!A57</f>
        <v/>
      </c>
      <c r="D57" s="12">
        <f>Quarterly_Billing_Run!I57</f>
        <v/>
      </c>
      <c r="E57" s="13">
        <f>Quarterly_Billing_Run!P57</f>
        <v/>
      </c>
      <c r="F57" s="2">
        <f>IF($E57=0,0,MAX(0,TODAY()-$D57))</f>
        <v/>
      </c>
      <c r="G57" s="2">
        <f>IF($E57=0,"Current",IF($F57&lt;=30,"1-30",IF($F57&lt;=60,"31-60",IF($F57&lt;=90,"61-90","90+"))))</f>
        <v/>
      </c>
      <c r="H57" s="2">
        <f>Quarterly_Billing_Run!Q57</f>
        <v/>
      </c>
    </row>
    <row r="58">
      <c r="A58" s="2">
        <f>Quarterly_Billing_Run!D58</f>
        <v/>
      </c>
      <c r="B58" s="2">
        <f>Quarterly_Billing_Run!F58</f>
        <v/>
      </c>
      <c r="C58" s="2">
        <f>Quarterly_Billing_Run!A58</f>
        <v/>
      </c>
      <c r="D58" s="12">
        <f>Quarterly_Billing_Run!I58</f>
        <v/>
      </c>
      <c r="E58" s="13">
        <f>Quarterly_Billing_Run!P58</f>
        <v/>
      </c>
      <c r="F58" s="2">
        <f>IF($E58=0,0,MAX(0,TODAY()-$D58))</f>
        <v/>
      </c>
      <c r="G58" s="2">
        <f>IF($E58=0,"Current",IF($F58&lt;=30,"1-30",IF($F58&lt;=60,"31-60",IF($F58&lt;=90,"61-90","90+"))))</f>
        <v/>
      </c>
      <c r="H58" s="2">
        <f>Quarterly_Billing_Run!Q58</f>
        <v/>
      </c>
    </row>
    <row r="59">
      <c r="A59" s="2">
        <f>Quarterly_Billing_Run!D59</f>
        <v/>
      </c>
      <c r="B59" s="2">
        <f>Quarterly_Billing_Run!F59</f>
        <v/>
      </c>
      <c r="C59" s="2">
        <f>Quarterly_Billing_Run!A59</f>
        <v/>
      </c>
      <c r="D59" s="12">
        <f>Quarterly_Billing_Run!I59</f>
        <v/>
      </c>
      <c r="E59" s="13">
        <f>Quarterly_Billing_Run!P59</f>
        <v/>
      </c>
      <c r="F59" s="2">
        <f>IF($E59=0,0,MAX(0,TODAY()-$D59))</f>
        <v/>
      </c>
      <c r="G59" s="2">
        <f>IF($E59=0,"Current",IF($F59&lt;=30,"1-30",IF($F59&lt;=60,"31-60",IF($F59&lt;=90,"61-90","90+"))))</f>
        <v/>
      </c>
      <c r="H59" s="2">
        <f>Quarterly_Billing_Run!Q59</f>
        <v/>
      </c>
    </row>
    <row r="60">
      <c r="A60" s="2">
        <f>Quarterly_Billing_Run!D60</f>
        <v/>
      </c>
      <c r="B60" s="2">
        <f>Quarterly_Billing_Run!F60</f>
        <v/>
      </c>
      <c r="C60" s="2">
        <f>Quarterly_Billing_Run!A60</f>
        <v/>
      </c>
      <c r="D60" s="12">
        <f>Quarterly_Billing_Run!I60</f>
        <v/>
      </c>
      <c r="E60" s="13">
        <f>Quarterly_Billing_Run!P60</f>
        <v/>
      </c>
      <c r="F60" s="2">
        <f>IF($E60=0,0,MAX(0,TODAY()-$D60))</f>
        <v/>
      </c>
      <c r="G60" s="2">
        <f>IF($E60=0,"Current",IF($F60&lt;=30,"1-30",IF($F60&lt;=60,"31-60",IF($F60&lt;=90,"61-90","90+"))))</f>
        <v/>
      </c>
      <c r="H60" s="2">
        <f>Quarterly_Billing_Run!Q60</f>
        <v/>
      </c>
    </row>
    <row r="61">
      <c r="A61" s="2">
        <f>Quarterly_Billing_Run!D61</f>
        <v/>
      </c>
      <c r="B61" s="2">
        <f>Quarterly_Billing_Run!F61</f>
        <v/>
      </c>
      <c r="C61" s="2">
        <f>Quarterly_Billing_Run!A61</f>
        <v/>
      </c>
      <c r="D61" s="12">
        <f>Quarterly_Billing_Run!I61</f>
        <v/>
      </c>
      <c r="E61" s="13">
        <f>Quarterly_Billing_Run!P61</f>
        <v/>
      </c>
      <c r="F61" s="2">
        <f>IF($E61=0,0,MAX(0,TODAY()-$D61))</f>
        <v/>
      </c>
      <c r="G61" s="2">
        <f>IF($E61=0,"Current",IF($F61&lt;=30,"1-30",IF($F61&lt;=60,"31-60",IF($F61&lt;=90,"61-90","90+"))))</f>
        <v/>
      </c>
      <c r="H61" s="2">
        <f>Quarterly_Billing_Run!Q61</f>
        <v/>
      </c>
    </row>
    <row r="62">
      <c r="A62" s="2">
        <f>Quarterly_Billing_Run!D62</f>
        <v/>
      </c>
      <c r="B62" s="2">
        <f>Quarterly_Billing_Run!F62</f>
        <v/>
      </c>
      <c r="C62" s="2">
        <f>Quarterly_Billing_Run!A62</f>
        <v/>
      </c>
      <c r="D62" s="12">
        <f>Quarterly_Billing_Run!I62</f>
        <v/>
      </c>
      <c r="E62" s="13">
        <f>Quarterly_Billing_Run!P62</f>
        <v/>
      </c>
      <c r="F62" s="2">
        <f>IF($E62=0,0,MAX(0,TODAY()-$D62))</f>
        <v/>
      </c>
      <c r="G62" s="2">
        <f>IF($E62=0,"Current",IF($F62&lt;=30,"1-30",IF($F62&lt;=60,"31-60",IF($F62&lt;=90,"61-90","90+"))))</f>
        <v/>
      </c>
      <c r="H62" s="2">
        <f>Quarterly_Billing_Run!Q62</f>
        <v/>
      </c>
    </row>
    <row r="63">
      <c r="A63" s="2">
        <f>Quarterly_Billing_Run!D63</f>
        <v/>
      </c>
      <c r="B63" s="2">
        <f>Quarterly_Billing_Run!F63</f>
        <v/>
      </c>
      <c r="C63" s="2">
        <f>Quarterly_Billing_Run!A63</f>
        <v/>
      </c>
      <c r="D63" s="12">
        <f>Quarterly_Billing_Run!I63</f>
        <v/>
      </c>
      <c r="E63" s="13">
        <f>Quarterly_Billing_Run!P63</f>
        <v/>
      </c>
      <c r="F63" s="2">
        <f>IF($E63=0,0,MAX(0,TODAY()-$D63))</f>
        <v/>
      </c>
      <c r="G63" s="2">
        <f>IF($E63=0,"Current",IF($F63&lt;=30,"1-30",IF($F63&lt;=60,"31-60",IF($F63&lt;=90,"61-90","90+"))))</f>
        <v/>
      </c>
      <c r="H63" s="2">
        <f>Quarterly_Billing_Run!Q63</f>
        <v/>
      </c>
    </row>
    <row r="64">
      <c r="A64" s="2">
        <f>Quarterly_Billing_Run!D64</f>
        <v/>
      </c>
      <c r="B64" s="2">
        <f>Quarterly_Billing_Run!F64</f>
        <v/>
      </c>
      <c r="C64" s="2">
        <f>Quarterly_Billing_Run!A64</f>
        <v/>
      </c>
      <c r="D64" s="12">
        <f>Quarterly_Billing_Run!I64</f>
        <v/>
      </c>
      <c r="E64" s="13">
        <f>Quarterly_Billing_Run!P64</f>
        <v/>
      </c>
      <c r="F64" s="2">
        <f>IF($E64=0,0,MAX(0,TODAY()-$D64))</f>
        <v/>
      </c>
      <c r="G64" s="2">
        <f>IF($E64=0,"Current",IF($F64&lt;=30,"1-30",IF($F64&lt;=60,"31-60",IF($F64&lt;=90,"61-90","90+"))))</f>
        <v/>
      </c>
      <c r="H64" s="2">
        <f>Quarterly_Billing_Run!Q64</f>
        <v/>
      </c>
    </row>
    <row r="65">
      <c r="A65" s="2">
        <f>Quarterly_Billing_Run!D65</f>
        <v/>
      </c>
      <c r="B65" s="2">
        <f>Quarterly_Billing_Run!F65</f>
        <v/>
      </c>
      <c r="C65" s="2">
        <f>Quarterly_Billing_Run!A65</f>
        <v/>
      </c>
      <c r="D65" s="12">
        <f>Quarterly_Billing_Run!I65</f>
        <v/>
      </c>
      <c r="E65" s="13">
        <f>Quarterly_Billing_Run!P65</f>
        <v/>
      </c>
      <c r="F65" s="2">
        <f>IF($E65=0,0,MAX(0,TODAY()-$D65))</f>
        <v/>
      </c>
      <c r="G65" s="2">
        <f>IF($E65=0,"Current",IF($F65&lt;=30,"1-30",IF($F65&lt;=60,"31-60",IF($F65&lt;=90,"61-90","90+"))))</f>
        <v/>
      </c>
      <c r="H65" s="2">
        <f>Quarterly_Billing_Run!Q65</f>
        <v/>
      </c>
    </row>
    <row r="66">
      <c r="A66" s="2">
        <f>Quarterly_Billing_Run!D66</f>
        <v/>
      </c>
      <c r="B66" s="2">
        <f>Quarterly_Billing_Run!F66</f>
        <v/>
      </c>
      <c r="C66" s="2">
        <f>Quarterly_Billing_Run!A66</f>
        <v/>
      </c>
      <c r="D66" s="12">
        <f>Quarterly_Billing_Run!I66</f>
        <v/>
      </c>
      <c r="E66" s="13">
        <f>Quarterly_Billing_Run!P66</f>
        <v/>
      </c>
      <c r="F66" s="2">
        <f>IF($E66=0,0,MAX(0,TODAY()-$D66))</f>
        <v/>
      </c>
      <c r="G66" s="2">
        <f>IF($E66=0,"Current",IF($F66&lt;=30,"1-30",IF($F66&lt;=60,"31-60",IF($F66&lt;=90,"61-90","90+"))))</f>
        <v/>
      </c>
      <c r="H66" s="2">
        <f>Quarterly_Billing_Run!Q66</f>
        <v/>
      </c>
    </row>
    <row r="67">
      <c r="A67" s="2">
        <f>Quarterly_Billing_Run!D67</f>
        <v/>
      </c>
      <c r="B67" s="2">
        <f>Quarterly_Billing_Run!F67</f>
        <v/>
      </c>
      <c r="C67" s="2">
        <f>Quarterly_Billing_Run!A67</f>
        <v/>
      </c>
      <c r="D67" s="12">
        <f>Quarterly_Billing_Run!I67</f>
        <v/>
      </c>
      <c r="E67" s="13">
        <f>Quarterly_Billing_Run!P67</f>
        <v/>
      </c>
      <c r="F67" s="2">
        <f>IF($E67=0,0,MAX(0,TODAY()-$D67))</f>
        <v/>
      </c>
      <c r="G67" s="2">
        <f>IF($E67=0,"Current",IF($F67&lt;=30,"1-30",IF($F67&lt;=60,"31-60",IF($F67&lt;=90,"61-90","90+"))))</f>
        <v/>
      </c>
      <c r="H67" s="2">
        <f>Quarterly_Billing_Run!Q67</f>
        <v/>
      </c>
    </row>
    <row r="68">
      <c r="A68" s="2">
        <f>Quarterly_Billing_Run!D68</f>
        <v/>
      </c>
      <c r="B68" s="2">
        <f>Quarterly_Billing_Run!F68</f>
        <v/>
      </c>
      <c r="C68" s="2">
        <f>Quarterly_Billing_Run!A68</f>
        <v/>
      </c>
      <c r="D68" s="12">
        <f>Quarterly_Billing_Run!I68</f>
        <v/>
      </c>
      <c r="E68" s="13">
        <f>Quarterly_Billing_Run!P68</f>
        <v/>
      </c>
      <c r="F68" s="2">
        <f>IF($E68=0,0,MAX(0,TODAY()-$D68))</f>
        <v/>
      </c>
      <c r="G68" s="2">
        <f>IF($E68=0,"Current",IF($F68&lt;=30,"1-30",IF($F68&lt;=60,"31-60",IF($F68&lt;=90,"61-90","90+"))))</f>
        <v/>
      </c>
      <c r="H68" s="2">
        <f>Quarterly_Billing_Run!Q68</f>
        <v/>
      </c>
    </row>
    <row r="69">
      <c r="A69" s="2">
        <f>Quarterly_Billing_Run!D69</f>
        <v/>
      </c>
      <c r="B69" s="2">
        <f>Quarterly_Billing_Run!F69</f>
        <v/>
      </c>
      <c r="C69" s="2">
        <f>Quarterly_Billing_Run!A69</f>
        <v/>
      </c>
      <c r="D69" s="12">
        <f>Quarterly_Billing_Run!I69</f>
        <v/>
      </c>
      <c r="E69" s="13">
        <f>Quarterly_Billing_Run!P69</f>
        <v/>
      </c>
      <c r="F69" s="2">
        <f>IF($E69=0,0,MAX(0,TODAY()-$D69))</f>
        <v/>
      </c>
      <c r="G69" s="2">
        <f>IF($E69=0,"Current",IF($F69&lt;=30,"1-30",IF($F69&lt;=60,"31-60",IF($F69&lt;=90,"61-90","90+"))))</f>
        <v/>
      </c>
      <c r="H69" s="2">
        <f>Quarterly_Billing_Run!Q69</f>
        <v/>
      </c>
    </row>
    <row r="70">
      <c r="A70" s="2">
        <f>Quarterly_Billing_Run!D70</f>
        <v/>
      </c>
      <c r="B70" s="2">
        <f>Quarterly_Billing_Run!F70</f>
        <v/>
      </c>
      <c r="C70" s="2">
        <f>Quarterly_Billing_Run!A70</f>
        <v/>
      </c>
      <c r="D70" s="12">
        <f>Quarterly_Billing_Run!I70</f>
        <v/>
      </c>
      <c r="E70" s="13">
        <f>Quarterly_Billing_Run!P70</f>
        <v/>
      </c>
      <c r="F70" s="2">
        <f>IF($E70=0,0,MAX(0,TODAY()-$D70))</f>
        <v/>
      </c>
      <c r="G70" s="2">
        <f>IF($E70=0,"Current",IF($F70&lt;=30,"1-30",IF($F70&lt;=60,"31-60",IF($F70&lt;=90,"61-90","90+"))))</f>
        <v/>
      </c>
      <c r="H70" s="2">
        <f>Quarterly_Billing_Run!Q70</f>
        <v/>
      </c>
    </row>
    <row r="71">
      <c r="A71" s="2">
        <f>Quarterly_Billing_Run!D71</f>
        <v/>
      </c>
      <c r="B71" s="2">
        <f>Quarterly_Billing_Run!F71</f>
        <v/>
      </c>
      <c r="C71" s="2">
        <f>Quarterly_Billing_Run!A71</f>
        <v/>
      </c>
      <c r="D71" s="12">
        <f>Quarterly_Billing_Run!I71</f>
        <v/>
      </c>
      <c r="E71" s="13">
        <f>Quarterly_Billing_Run!P71</f>
        <v/>
      </c>
      <c r="F71" s="2">
        <f>IF($E71=0,0,MAX(0,TODAY()-$D71))</f>
        <v/>
      </c>
      <c r="G71" s="2">
        <f>IF($E71=0,"Current",IF($F71&lt;=30,"1-30",IF($F71&lt;=60,"31-60",IF($F71&lt;=90,"61-90","90+"))))</f>
        <v/>
      </c>
      <c r="H71" s="2">
        <f>Quarterly_Billing_Run!Q71</f>
        <v/>
      </c>
    </row>
    <row r="72">
      <c r="A72" s="2">
        <f>Quarterly_Billing_Run!D72</f>
        <v/>
      </c>
      <c r="B72" s="2">
        <f>Quarterly_Billing_Run!F72</f>
        <v/>
      </c>
      <c r="C72" s="2">
        <f>Quarterly_Billing_Run!A72</f>
        <v/>
      </c>
      <c r="D72" s="12">
        <f>Quarterly_Billing_Run!I72</f>
        <v/>
      </c>
      <c r="E72" s="13">
        <f>Quarterly_Billing_Run!P72</f>
        <v/>
      </c>
      <c r="F72" s="2">
        <f>IF($E72=0,0,MAX(0,TODAY()-$D72))</f>
        <v/>
      </c>
      <c r="G72" s="2">
        <f>IF($E72=0,"Current",IF($F72&lt;=30,"1-30",IF($F72&lt;=60,"31-60",IF($F72&lt;=90,"61-90","90+"))))</f>
        <v/>
      </c>
      <c r="H72" s="2">
        <f>Quarterly_Billing_Run!Q72</f>
        <v/>
      </c>
    </row>
    <row r="73">
      <c r="A73" s="2">
        <f>Quarterly_Billing_Run!D73</f>
        <v/>
      </c>
      <c r="B73" s="2">
        <f>Quarterly_Billing_Run!F73</f>
        <v/>
      </c>
      <c r="C73" s="2">
        <f>Quarterly_Billing_Run!A73</f>
        <v/>
      </c>
      <c r="D73" s="12">
        <f>Quarterly_Billing_Run!I73</f>
        <v/>
      </c>
      <c r="E73" s="13">
        <f>Quarterly_Billing_Run!P73</f>
        <v/>
      </c>
      <c r="F73" s="2">
        <f>IF($E73=0,0,MAX(0,TODAY()-$D73))</f>
        <v/>
      </c>
      <c r="G73" s="2">
        <f>IF($E73=0,"Current",IF($F73&lt;=30,"1-30",IF($F73&lt;=60,"31-60",IF($F73&lt;=90,"61-90","90+"))))</f>
        <v/>
      </c>
      <c r="H73" s="2">
        <f>Quarterly_Billing_Run!Q73</f>
        <v/>
      </c>
    </row>
    <row r="74">
      <c r="A74" s="2">
        <f>Quarterly_Billing_Run!D74</f>
        <v/>
      </c>
      <c r="B74" s="2">
        <f>Quarterly_Billing_Run!F74</f>
        <v/>
      </c>
      <c r="C74" s="2">
        <f>Quarterly_Billing_Run!A74</f>
        <v/>
      </c>
      <c r="D74" s="12">
        <f>Quarterly_Billing_Run!I74</f>
        <v/>
      </c>
      <c r="E74" s="13">
        <f>Quarterly_Billing_Run!P74</f>
        <v/>
      </c>
      <c r="F74" s="2">
        <f>IF($E74=0,0,MAX(0,TODAY()-$D74))</f>
        <v/>
      </c>
      <c r="G74" s="2">
        <f>IF($E74=0,"Current",IF($F74&lt;=30,"1-30",IF($F74&lt;=60,"31-60",IF($F74&lt;=90,"61-90","90+"))))</f>
        <v/>
      </c>
      <c r="H74" s="2">
        <f>Quarterly_Billing_Run!Q74</f>
        <v/>
      </c>
    </row>
    <row r="75">
      <c r="A75" s="2">
        <f>Quarterly_Billing_Run!D75</f>
        <v/>
      </c>
      <c r="B75" s="2">
        <f>Quarterly_Billing_Run!F75</f>
        <v/>
      </c>
      <c r="C75" s="2">
        <f>Quarterly_Billing_Run!A75</f>
        <v/>
      </c>
      <c r="D75" s="12">
        <f>Quarterly_Billing_Run!I75</f>
        <v/>
      </c>
      <c r="E75" s="13">
        <f>Quarterly_Billing_Run!P75</f>
        <v/>
      </c>
      <c r="F75" s="2">
        <f>IF($E75=0,0,MAX(0,TODAY()-$D75))</f>
        <v/>
      </c>
      <c r="G75" s="2">
        <f>IF($E75=0,"Current",IF($F75&lt;=30,"1-30",IF($F75&lt;=60,"31-60",IF($F75&lt;=90,"61-90","90+"))))</f>
        <v/>
      </c>
      <c r="H75" s="2">
        <f>Quarterly_Billing_Run!Q75</f>
        <v/>
      </c>
    </row>
    <row r="76">
      <c r="A76" s="2">
        <f>Quarterly_Billing_Run!D76</f>
        <v/>
      </c>
      <c r="B76" s="2">
        <f>Quarterly_Billing_Run!F76</f>
        <v/>
      </c>
      <c r="C76" s="2">
        <f>Quarterly_Billing_Run!A76</f>
        <v/>
      </c>
      <c r="D76" s="12">
        <f>Quarterly_Billing_Run!I76</f>
        <v/>
      </c>
      <c r="E76" s="13">
        <f>Quarterly_Billing_Run!P76</f>
        <v/>
      </c>
      <c r="F76" s="2">
        <f>IF($E76=0,0,MAX(0,TODAY()-$D76))</f>
        <v/>
      </c>
      <c r="G76" s="2">
        <f>IF($E76=0,"Current",IF($F76&lt;=30,"1-30",IF($F76&lt;=60,"31-60",IF($F76&lt;=90,"61-90","90+"))))</f>
        <v/>
      </c>
      <c r="H76" s="2">
        <f>Quarterly_Billing_Run!Q76</f>
        <v/>
      </c>
    </row>
    <row r="77">
      <c r="A77" s="2">
        <f>Quarterly_Billing_Run!D77</f>
        <v/>
      </c>
      <c r="B77" s="2">
        <f>Quarterly_Billing_Run!F77</f>
        <v/>
      </c>
      <c r="C77" s="2">
        <f>Quarterly_Billing_Run!A77</f>
        <v/>
      </c>
      <c r="D77" s="12">
        <f>Quarterly_Billing_Run!I77</f>
        <v/>
      </c>
      <c r="E77" s="13">
        <f>Quarterly_Billing_Run!P77</f>
        <v/>
      </c>
      <c r="F77" s="2">
        <f>IF($E77=0,0,MAX(0,TODAY()-$D77))</f>
        <v/>
      </c>
      <c r="G77" s="2">
        <f>IF($E77=0,"Current",IF($F77&lt;=30,"1-30",IF($F77&lt;=60,"31-60",IF($F77&lt;=90,"61-90","90+"))))</f>
        <v/>
      </c>
      <c r="H77" s="2">
        <f>Quarterly_Billing_Run!Q77</f>
        <v/>
      </c>
    </row>
    <row r="78">
      <c r="A78" s="2">
        <f>Quarterly_Billing_Run!D78</f>
        <v/>
      </c>
      <c r="B78" s="2">
        <f>Quarterly_Billing_Run!F78</f>
        <v/>
      </c>
      <c r="C78" s="2">
        <f>Quarterly_Billing_Run!A78</f>
        <v/>
      </c>
      <c r="D78" s="12">
        <f>Quarterly_Billing_Run!I78</f>
        <v/>
      </c>
      <c r="E78" s="13">
        <f>Quarterly_Billing_Run!P78</f>
        <v/>
      </c>
      <c r="F78" s="2">
        <f>IF($E78=0,0,MAX(0,TODAY()-$D78))</f>
        <v/>
      </c>
      <c r="G78" s="2">
        <f>IF($E78=0,"Current",IF($F78&lt;=30,"1-30",IF($F78&lt;=60,"31-60",IF($F78&lt;=90,"61-90","90+"))))</f>
        <v/>
      </c>
      <c r="H78" s="2">
        <f>Quarterly_Billing_Run!Q78</f>
        <v/>
      </c>
    </row>
    <row r="79">
      <c r="A79" s="2">
        <f>Quarterly_Billing_Run!D79</f>
        <v/>
      </c>
      <c r="B79" s="2">
        <f>Quarterly_Billing_Run!F79</f>
        <v/>
      </c>
      <c r="C79" s="2">
        <f>Quarterly_Billing_Run!A79</f>
        <v/>
      </c>
      <c r="D79" s="12">
        <f>Quarterly_Billing_Run!I79</f>
        <v/>
      </c>
      <c r="E79" s="13">
        <f>Quarterly_Billing_Run!P79</f>
        <v/>
      </c>
      <c r="F79" s="2">
        <f>IF($E79=0,0,MAX(0,TODAY()-$D79))</f>
        <v/>
      </c>
      <c r="G79" s="2">
        <f>IF($E79=0,"Current",IF($F79&lt;=30,"1-30",IF($F79&lt;=60,"31-60",IF($F79&lt;=90,"61-90","90+"))))</f>
        <v/>
      </c>
      <c r="H79" s="2">
        <f>Quarterly_Billing_Run!Q79</f>
        <v/>
      </c>
    </row>
    <row r="80">
      <c r="A80" s="2">
        <f>Quarterly_Billing_Run!D80</f>
        <v/>
      </c>
      <c r="B80" s="2">
        <f>Quarterly_Billing_Run!F80</f>
        <v/>
      </c>
      <c r="C80" s="2">
        <f>Quarterly_Billing_Run!A80</f>
        <v/>
      </c>
      <c r="D80" s="12">
        <f>Quarterly_Billing_Run!I80</f>
        <v/>
      </c>
      <c r="E80" s="13">
        <f>Quarterly_Billing_Run!P80</f>
        <v/>
      </c>
      <c r="F80" s="2">
        <f>IF($E80=0,0,MAX(0,TODAY()-$D80))</f>
        <v/>
      </c>
      <c r="G80" s="2">
        <f>IF($E80=0,"Current",IF($F80&lt;=30,"1-30",IF($F80&lt;=60,"31-60",IF($F80&lt;=90,"61-90","90+"))))</f>
        <v/>
      </c>
      <c r="H80" s="2">
        <f>Quarterly_Billing_Run!Q80</f>
        <v/>
      </c>
    </row>
    <row r="81">
      <c r="A81" s="2">
        <f>Quarterly_Billing_Run!D81</f>
        <v/>
      </c>
      <c r="B81" s="2">
        <f>Quarterly_Billing_Run!F81</f>
        <v/>
      </c>
      <c r="C81" s="2">
        <f>Quarterly_Billing_Run!A81</f>
        <v/>
      </c>
      <c r="D81" s="12">
        <f>Quarterly_Billing_Run!I81</f>
        <v/>
      </c>
      <c r="E81" s="13">
        <f>Quarterly_Billing_Run!P81</f>
        <v/>
      </c>
      <c r="F81" s="2">
        <f>IF($E81=0,0,MAX(0,TODAY()-$D81))</f>
        <v/>
      </c>
      <c r="G81" s="2">
        <f>IF($E81=0,"Current",IF($F81&lt;=30,"1-30",IF($F81&lt;=60,"31-60",IF($F81&lt;=90,"61-90","90+"))))</f>
        <v/>
      </c>
      <c r="H81" s="2">
        <f>Quarterly_Billing_Run!Q81</f>
        <v/>
      </c>
    </row>
    <row r="82">
      <c r="A82" s="2">
        <f>Quarterly_Billing_Run!D82</f>
        <v/>
      </c>
      <c r="B82" s="2">
        <f>Quarterly_Billing_Run!F82</f>
        <v/>
      </c>
      <c r="C82" s="2">
        <f>Quarterly_Billing_Run!A82</f>
        <v/>
      </c>
      <c r="D82" s="12">
        <f>Quarterly_Billing_Run!I82</f>
        <v/>
      </c>
      <c r="E82" s="13">
        <f>Quarterly_Billing_Run!P82</f>
        <v/>
      </c>
      <c r="F82" s="2">
        <f>IF($E82=0,0,MAX(0,TODAY()-$D82))</f>
        <v/>
      </c>
      <c r="G82" s="2">
        <f>IF($E82=0,"Current",IF($F82&lt;=30,"1-30",IF($F82&lt;=60,"31-60",IF($F82&lt;=90,"61-90","90+"))))</f>
        <v/>
      </c>
      <c r="H82" s="2">
        <f>Quarterly_Billing_Run!Q82</f>
        <v/>
      </c>
    </row>
    <row r="83">
      <c r="A83" s="2">
        <f>Quarterly_Billing_Run!D83</f>
        <v/>
      </c>
      <c r="B83" s="2">
        <f>Quarterly_Billing_Run!F83</f>
        <v/>
      </c>
      <c r="C83" s="2">
        <f>Quarterly_Billing_Run!A83</f>
        <v/>
      </c>
      <c r="D83" s="12">
        <f>Quarterly_Billing_Run!I83</f>
        <v/>
      </c>
      <c r="E83" s="13">
        <f>Quarterly_Billing_Run!P83</f>
        <v/>
      </c>
      <c r="F83" s="2">
        <f>IF($E83=0,0,MAX(0,TODAY()-$D83))</f>
        <v/>
      </c>
      <c r="G83" s="2">
        <f>IF($E83=0,"Current",IF($F83&lt;=30,"1-30",IF($F83&lt;=60,"31-60",IF($F83&lt;=90,"61-90","90+"))))</f>
        <v/>
      </c>
      <c r="H83" s="2">
        <f>Quarterly_Billing_Run!Q83</f>
        <v/>
      </c>
    </row>
    <row r="84">
      <c r="A84" s="2">
        <f>Quarterly_Billing_Run!D84</f>
        <v/>
      </c>
      <c r="B84" s="2">
        <f>Quarterly_Billing_Run!F84</f>
        <v/>
      </c>
      <c r="C84" s="2">
        <f>Quarterly_Billing_Run!A84</f>
        <v/>
      </c>
      <c r="D84" s="12">
        <f>Quarterly_Billing_Run!I84</f>
        <v/>
      </c>
      <c r="E84" s="13">
        <f>Quarterly_Billing_Run!P84</f>
        <v/>
      </c>
      <c r="F84" s="2">
        <f>IF($E84=0,0,MAX(0,TODAY()-$D84))</f>
        <v/>
      </c>
      <c r="G84" s="2">
        <f>IF($E84=0,"Current",IF($F84&lt;=30,"1-30",IF($F84&lt;=60,"31-60",IF($F84&lt;=90,"61-90","90+"))))</f>
        <v/>
      </c>
      <c r="H84" s="2">
        <f>Quarterly_Billing_Run!Q84</f>
        <v/>
      </c>
    </row>
    <row r="85">
      <c r="A85" s="2">
        <f>Quarterly_Billing_Run!D85</f>
        <v/>
      </c>
      <c r="B85" s="2">
        <f>Quarterly_Billing_Run!F85</f>
        <v/>
      </c>
      <c r="C85" s="2">
        <f>Quarterly_Billing_Run!A85</f>
        <v/>
      </c>
      <c r="D85" s="12">
        <f>Quarterly_Billing_Run!I85</f>
        <v/>
      </c>
      <c r="E85" s="13">
        <f>Quarterly_Billing_Run!P85</f>
        <v/>
      </c>
      <c r="F85" s="2">
        <f>IF($E85=0,0,MAX(0,TODAY()-$D85))</f>
        <v/>
      </c>
      <c r="G85" s="2">
        <f>IF($E85=0,"Current",IF($F85&lt;=30,"1-30",IF($F85&lt;=60,"31-60",IF($F85&lt;=90,"61-90","90+"))))</f>
        <v/>
      </c>
      <c r="H85" s="2">
        <f>Quarterly_Billing_Run!Q85</f>
        <v/>
      </c>
    </row>
    <row r="86">
      <c r="A86" s="2">
        <f>Quarterly_Billing_Run!D86</f>
        <v/>
      </c>
      <c r="B86" s="2">
        <f>Quarterly_Billing_Run!F86</f>
        <v/>
      </c>
      <c r="C86" s="2">
        <f>Quarterly_Billing_Run!A86</f>
        <v/>
      </c>
      <c r="D86" s="12">
        <f>Quarterly_Billing_Run!I86</f>
        <v/>
      </c>
      <c r="E86" s="13">
        <f>Quarterly_Billing_Run!P86</f>
        <v/>
      </c>
      <c r="F86" s="2">
        <f>IF($E86=0,0,MAX(0,TODAY()-$D86))</f>
        <v/>
      </c>
      <c r="G86" s="2">
        <f>IF($E86=0,"Current",IF($F86&lt;=30,"1-30",IF($F86&lt;=60,"31-60",IF($F86&lt;=90,"61-90","90+"))))</f>
        <v/>
      </c>
      <c r="H86" s="2">
        <f>Quarterly_Billing_Run!Q86</f>
        <v/>
      </c>
    </row>
    <row r="87">
      <c r="A87" s="2">
        <f>Quarterly_Billing_Run!D87</f>
        <v/>
      </c>
      <c r="B87" s="2">
        <f>Quarterly_Billing_Run!F87</f>
        <v/>
      </c>
      <c r="C87" s="2">
        <f>Quarterly_Billing_Run!A87</f>
        <v/>
      </c>
      <c r="D87" s="12">
        <f>Quarterly_Billing_Run!I87</f>
        <v/>
      </c>
      <c r="E87" s="13">
        <f>Quarterly_Billing_Run!P87</f>
        <v/>
      </c>
      <c r="F87" s="2">
        <f>IF($E87=0,0,MAX(0,TODAY()-$D87))</f>
        <v/>
      </c>
      <c r="G87" s="2">
        <f>IF($E87=0,"Current",IF($F87&lt;=30,"1-30",IF($F87&lt;=60,"31-60",IF($F87&lt;=90,"61-90","90+"))))</f>
        <v/>
      </c>
      <c r="H87" s="2">
        <f>Quarterly_Billing_Run!Q87</f>
        <v/>
      </c>
    </row>
    <row r="88">
      <c r="A88" s="2">
        <f>Quarterly_Billing_Run!D88</f>
        <v/>
      </c>
      <c r="B88" s="2">
        <f>Quarterly_Billing_Run!F88</f>
        <v/>
      </c>
      <c r="C88" s="2">
        <f>Quarterly_Billing_Run!A88</f>
        <v/>
      </c>
      <c r="D88" s="12">
        <f>Quarterly_Billing_Run!I88</f>
        <v/>
      </c>
      <c r="E88" s="13">
        <f>Quarterly_Billing_Run!P88</f>
        <v/>
      </c>
      <c r="F88" s="2">
        <f>IF($E88=0,0,MAX(0,TODAY()-$D88))</f>
        <v/>
      </c>
      <c r="G88" s="2">
        <f>IF($E88=0,"Current",IF($F88&lt;=30,"1-30",IF($F88&lt;=60,"31-60",IF($F88&lt;=90,"61-90","90+"))))</f>
        <v/>
      </c>
      <c r="H88" s="2">
        <f>Quarterly_Billing_Run!Q88</f>
        <v/>
      </c>
    </row>
    <row r="89">
      <c r="A89" s="2">
        <f>Quarterly_Billing_Run!D89</f>
        <v/>
      </c>
      <c r="B89" s="2">
        <f>Quarterly_Billing_Run!F89</f>
        <v/>
      </c>
      <c r="C89" s="2">
        <f>Quarterly_Billing_Run!A89</f>
        <v/>
      </c>
      <c r="D89" s="12">
        <f>Quarterly_Billing_Run!I89</f>
        <v/>
      </c>
      <c r="E89" s="13">
        <f>Quarterly_Billing_Run!P89</f>
        <v/>
      </c>
      <c r="F89" s="2">
        <f>IF($E89=0,0,MAX(0,TODAY()-$D89))</f>
        <v/>
      </c>
      <c r="G89" s="2">
        <f>IF($E89=0,"Current",IF($F89&lt;=30,"1-30",IF($F89&lt;=60,"31-60",IF($F89&lt;=90,"61-90","90+"))))</f>
        <v/>
      </c>
      <c r="H89" s="2">
        <f>Quarterly_Billing_Run!Q89</f>
        <v/>
      </c>
    </row>
    <row r="90">
      <c r="A90" s="2">
        <f>Quarterly_Billing_Run!D90</f>
        <v/>
      </c>
      <c r="B90" s="2">
        <f>Quarterly_Billing_Run!F90</f>
        <v/>
      </c>
      <c r="C90" s="2">
        <f>Quarterly_Billing_Run!A90</f>
        <v/>
      </c>
      <c r="D90" s="12">
        <f>Quarterly_Billing_Run!I90</f>
        <v/>
      </c>
      <c r="E90" s="13">
        <f>Quarterly_Billing_Run!P90</f>
        <v/>
      </c>
      <c r="F90" s="2">
        <f>IF($E90=0,0,MAX(0,TODAY()-$D90))</f>
        <v/>
      </c>
      <c r="G90" s="2">
        <f>IF($E90=0,"Current",IF($F90&lt;=30,"1-30",IF($F90&lt;=60,"31-60",IF($F90&lt;=90,"61-90","90+"))))</f>
        <v/>
      </c>
      <c r="H90" s="2">
        <f>Quarterly_Billing_Run!Q90</f>
        <v/>
      </c>
    </row>
    <row r="91">
      <c r="A91" s="2">
        <f>Quarterly_Billing_Run!D91</f>
        <v/>
      </c>
      <c r="B91" s="2">
        <f>Quarterly_Billing_Run!F91</f>
        <v/>
      </c>
      <c r="C91" s="2">
        <f>Quarterly_Billing_Run!A91</f>
        <v/>
      </c>
      <c r="D91" s="12">
        <f>Quarterly_Billing_Run!I91</f>
        <v/>
      </c>
      <c r="E91" s="13">
        <f>Quarterly_Billing_Run!P91</f>
        <v/>
      </c>
      <c r="F91" s="2">
        <f>IF($E91=0,0,MAX(0,TODAY()-$D91))</f>
        <v/>
      </c>
      <c r="G91" s="2">
        <f>IF($E91=0,"Current",IF($F91&lt;=30,"1-30",IF($F91&lt;=60,"31-60",IF($F91&lt;=90,"61-90","90+"))))</f>
        <v/>
      </c>
      <c r="H91" s="2">
        <f>Quarterly_Billing_Run!Q91</f>
        <v/>
      </c>
    </row>
    <row r="92">
      <c r="A92" s="2">
        <f>Quarterly_Billing_Run!D92</f>
        <v/>
      </c>
      <c r="B92" s="2">
        <f>Quarterly_Billing_Run!F92</f>
        <v/>
      </c>
      <c r="C92" s="2">
        <f>Quarterly_Billing_Run!A92</f>
        <v/>
      </c>
      <c r="D92" s="12">
        <f>Quarterly_Billing_Run!I92</f>
        <v/>
      </c>
      <c r="E92" s="13">
        <f>Quarterly_Billing_Run!P92</f>
        <v/>
      </c>
      <c r="F92" s="2">
        <f>IF($E92=0,0,MAX(0,TODAY()-$D92))</f>
        <v/>
      </c>
      <c r="G92" s="2">
        <f>IF($E92=0,"Current",IF($F92&lt;=30,"1-30",IF($F92&lt;=60,"31-60",IF($F92&lt;=90,"61-90","90+"))))</f>
        <v/>
      </c>
      <c r="H92" s="2">
        <f>Quarterly_Billing_Run!Q92</f>
        <v/>
      </c>
    </row>
    <row r="93">
      <c r="A93" s="2">
        <f>Quarterly_Billing_Run!D93</f>
        <v/>
      </c>
      <c r="B93" s="2">
        <f>Quarterly_Billing_Run!F93</f>
        <v/>
      </c>
      <c r="C93" s="2">
        <f>Quarterly_Billing_Run!A93</f>
        <v/>
      </c>
      <c r="D93" s="12">
        <f>Quarterly_Billing_Run!I93</f>
        <v/>
      </c>
      <c r="E93" s="13">
        <f>Quarterly_Billing_Run!P93</f>
        <v/>
      </c>
      <c r="F93" s="2">
        <f>IF($E93=0,0,MAX(0,TODAY()-$D93))</f>
        <v/>
      </c>
      <c r="G93" s="2">
        <f>IF($E93=0,"Current",IF($F93&lt;=30,"1-30",IF($F93&lt;=60,"31-60",IF($F93&lt;=90,"61-90","90+"))))</f>
        <v/>
      </c>
      <c r="H93" s="2">
        <f>Quarterly_Billing_Run!Q93</f>
        <v/>
      </c>
    </row>
    <row r="94">
      <c r="A94" s="2">
        <f>Quarterly_Billing_Run!D94</f>
        <v/>
      </c>
      <c r="B94" s="2">
        <f>Quarterly_Billing_Run!F94</f>
        <v/>
      </c>
      <c r="C94" s="2">
        <f>Quarterly_Billing_Run!A94</f>
        <v/>
      </c>
      <c r="D94" s="12">
        <f>Quarterly_Billing_Run!I94</f>
        <v/>
      </c>
      <c r="E94" s="13">
        <f>Quarterly_Billing_Run!P94</f>
        <v/>
      </c>
      <c r="F94" s="2">
        <f>IF($E94=0,0,MAX(0,TODAY()-$D94))</f>
        <v/>
      </c>
      <c r="G94" s="2">
        <f>IF($E94=0,"Current",IF($F94&lt;=30,"1-30",IF($F94&lt;=60,"31-60",IF($F94&lt;=90,"61-90","90+"))))</f>
        <v/>
      </c>
      <c r="H94" s="2">
        <f>Quarterly_Billing_Run!Q94</f>
        <v/>
      </c>
    </row>
    <row r="95">
      <c r="A95" s="2">
        <f>Quarterly_Billing_Run!D95</f>
        <v/>
      </c>
      <c r="B95" s="2">
        <f>Quarterly_Billing_Run!F95</f>
        <v/>
      </c>
      <c r="C95" s="2">
        <f>Quarterly_Billing_Run!A95</f>
        <v/>
      </c>
      <c r="D95" s="12">
        <f>Quarterly_Billing_Run!I95</f>
        <v/>
      </c>
      <c r="E95" s="13">
        <f>Quarterly_Billing_Run!P95</f>
        <v/>
      </c>
      <c r="F95" s="2">
        <f>IF($E95=0,0,MAX(0,TODAY()-$D95))</f>
        <v/>
      </c>
      <c r="G95" s="2">
        <f>IF($E95=0,"Current",IF($F95&lt;=30,"1-30",IF($F95&lt;=60,"31-60",IF($F95&lt;=90,"61-90","90+"))))</f>
        <v/>
      </c>
      <c r="H95" s="2">
        <f>Quarterly_Billing_Run!Q95</f>
        <v/>
      </c>
    </row>
    <row r="96">
      <c r="A96" s="2">
        <f>Quarterly_Billing_Run!D96</f>
        <v/>
      </c>
      <c r="B96" s="2">
        <f>Quarterly_Billing_Run!F96</f>
        <v/>
      </c>
      <c r="C96" s="2">
        <f>Quarterly_Billing_Run!A96</f>
        <v/>
      </c>
      <c r="D96" s="12">
        <f>Quarterly_Billing_Run!I96</f>
        <v/>
      </c>
      <c r="E96" s="13">
        <f>Quarterly_Billing_Run!P96</f>
        <v/>
      </c>
      <c r="F96" s="2">
        <f>IF($E96=0,0,MAX(0,TODAY()-$D96))</f>
        <v/>
      </c>
      <c r="G96" s="2">
        <f>IF($E96=0,"Current",IF($F96&lt;=30,"1-30",IF($F96&lt;=60,"31-60",IF($F96&lt;=90,"61-90","90+"))))</f>
        <v/>
      </c>
      <c r="H96" s="2">
        <f>Quarterly_Billing_Run!Q96</f>
        <v/>
      </c>
    </row>
    <row r="97">
      <c r="A97" s="2">
        <f>Quarterly_Billing_Run!D97</f>
        <v/>
      </c>
      <c r="B97" s="2">
        <f>Quarterly_Billing_Run!F97</f>
        <v/>
      </c>
      <c r="C97" s="2">
        <f>Quarterly_Billing_Run!A97</f>
        <v/>
      </c>
      <c r="D97" s="12">
        <f>Quarterly_Billing_Run!I97</f>
        <v/>
      </c>
      <c r="E97" s="13">
        <f>Quarterly_Billing_Run!P97</f>
        <v/>
      </c>
      <c r="F97" s="2">
        <f>IF($E97=0,0,MAX(0,TODAY()-$D97))</f>
        <v/>
      </c>
      <c r="G97" s="2">
        <f>IF($E97=0,"Current",IF($F97&lt;=30,"1-30",IF($F97&lt;=60,"31-60",IF($F97&lt;=90,"61-90","90+"))))</f>
        <v/>
      </c>
      <c r="H97" s="2">
        <f>Quarterly_Billing_Run!Q97</f>
        <v/>
      </c>
    </row>
    <row r="98">
      <c r="A98" s="2">
        <f>Quarterly_Billing_Run!D98</f>
        <v/>
      </c>
      <c r="B98" s="2">
        <f>Quarterly_Billing_Run!F98</f>
        <v/>
      </c>
      <c r="C98" s="2">
        <f>Quarterly_Billing_Run!A98</f>
        <v/>
      </c>
      <c r="D98" s="12">
        <f>Quarterly_Billing_Run!I98</f>
        <v/>
      </c>
      <c r="E98" s="13">
        <f>Quarterly_Billing_Run!P98</f>
        <v/>
      </c>
      <c r="F98" s="2">
        <f>IF($E98=0,0,MAX(0,TODAY()-$D98))</f>
        <v/>
      </c>
      <c r="G98" s="2">
        <f>IF($E98=0,"Current",IF($F98&lt;=30,"1-30",IF($F98&lt;=60,"31-60",IF($F98&lt;=90,"61-90","90+"))))</f>
        <v/>
      </c>
      <c r="H98" s="2">
        <f>Quarterly_Billing_Run!Q98</f>
        <v/>
      </c>
    </row>
    <row r="99">
      <c r="A99" s="2">
        <f>Quarterly_Billing_Run!D99</f>
        <v/>
      </c>
      <c r="B99" s="2">
        <f>Quarterly_Billing_Run!F99</f>
        <v/>
      </c>
      <c r="C99" s="2">
        <f>Quarterly_Billing_Run!A99</f>
        <v/>
      </c>
      <c r="D99" s="12">
        <f>Quarterly_Billing_Run!I99</f>
        <v/>
      </c>
      <c r="E99" s="13">
        <f>Quarterly_Billing_Run!P99</f>
        <v/>
      </c>
      <c r="F99" s="2">
        <f>IF($E99=0,0,MAX(0,TODAY()-$D99))</f>
        <v/>
      </c>
      <c r="G99" s="2">
        <f>IF($E99=0,"Current",IF($F99&lt;=30,"1-30",IF($F99&lt;=60,"31-60",IF($F99&lt;=90,"61-90","90+"))))</f>
        <v/>
      </c>
      <c r="H99" s="2">
        <f>Quarterly_Billing_Run!Q99</f>
        <v/>
      </c>
    </row>
    <row r="100">
      <c r="A100" s="2">
        <f>Quarterly_Billing_Run!D100</f>
        <v/>
      </c>
      <c r="B100" s="2">
        <f>Quarterly_Billing_Run!F100</f>
        <v/>
      </c>
      <c r="C100" s="2">
        <f>Quarterly_Billing_Run!A100</f>
        <v/>
      </c>
      <c r="D100" s="12">
        <f>Quarterly_Billing_Run!I100</f>
        <v/>
      </c>
      <c r="E100" s="13">
        <f>Quarterly_Billing_Run!P100</f>
        <v/>
      </c>
      <c r="F100" s="2">
        <f>IF($E100=0,0,MAX(0,TODAY()-$D100))</f>
        <v/>
      </c>
      <c r="G100" s="2">
        <f>IF($E100=0,"Current",IF($F100&lt;=30,"1-30",IF($F100&lt;=60,"31-60",IF($F100&lt;=90,"61-90","90+"))))</f>
        <v/>
      </c>
      <c r="H100" s="2">
        <f>Quarterly_Billing_Run!Q100</f>
        <v/>
      </c>
    </row>
    <row r="101">
      <c r="A101" s="2">
        <f>Quarterly_Billing_Run!D101</f>
        <v/>
      </c>
      <c r="B101" s="2">
        <f>Quarterly_Billing_Run!F101</f>
        <v/>
      </c>
      <c r="C101" s="2">
        <f>Quarterly_Billing_Run!A101</f>
        <v/>
      </c>
      <c r="D101" s="12">
        <f>Quarterly_Billing_Run!I101</f>
        <v/>
      </c>
      <c r="E101" s="13">
        <f>Quarterly_Billing_Run!P101</f>
        <v/>
      </c>
      <c r="F101" s="2">
        <f>IF($E101=0,0,MAX(0,TODAY()-$D101))</f>
        <v/>
      </c>
      <c r="G101" s="2">
        <f>IF($E101=0,"Current",IF($F101&lt;=30,"1-30",IF($F101&lt;=60,"31-60",IF($F101&lt;=90,"61-90","90+"))))</f>
        <v/>
      </c>
      <c r="H101" s="2">
        <f>Quarterly_Billing_Run!Q101</f>
        <v/>
      </c>
    </row>
    <row r="102">
      <c r="A102" s="2">
        <f>Quarterly_Billing_Run!D102</f>
        <v/>
      </c>
      <c r="B102" s="2">
        <f>Quarterly_Billing_Run!F102</f>
        <v/>
      </c>
      <c r="C102" s="2">
        <f>Quarterly_Billing_Run!A102</f>
        <v/>
      </c>
      <c r="D102" s="12">
        <f>Quarterly_Billing_Run!I102</f>
        <v/>
      </c>
      <c r="E102" s="13">
        <f>Quarterly_Billing_Run!P102</f>
        <v/>
      </c>
      <c r="F102" s="2">
        <f>IF($E102=0,0,MAX(0,TODAY()-$D102))</f>
        <v/>
      </c>
      <c r="G102" s="2">
        <f>IF($E102=0,"Current",IF($F102&lt;=30,"1-30",IF($F102&lt;=60,"31-60",IF($F102&lt;=90,"61-90","90+"))))</f>
        <v/>
      </c>
      <c r="H102" s="2">
        <f>Quarterly_Billing_Run!Q102</f>
        <v/>
      </c>
    </row>
    <row r="103">
      <c r="A103" s="2">
        <f>Quarterly_Billing_Run!D103</f>
        <v/>
      </c>
      <c r="B103" s="2">
        <f>Quarterly_Billing_Run!F103</f>
        <v/>
      </c>
      <c r="C103" s="2">
        <f>Quarterly_Billing_Run!A103</f>
        <v/>
      </c>
      <c r="D103" s="12">
        <f>Quarterly_Billing_Run!I103</f>
        <v/>
      </c>
      <c r="E103" s="13">
        <f>Quarterly_Billing_Run!P103</f>
        <v/>
      </c>
      <c r="F103" s="2">
        <f>IF($E103=0,0,MAX(0,TODAY()-$D103))</f>
        <v/>
      </c>
      <c r="G103" s="2">
        <f>IF($E103=0,"Current",IF($F103&lt;=30,"1-30",IF($F103&lt;=60,"31-60",IF($F103&lt;=90,"61-90","90+"))))</f>
        <v/>
      </c>
      <c r="H103" s="2">
        <f>Quarterly_Billing_Run!Q103</f>
        <v/>
      </c>
    </row>
    <row r="104">
      <c r="A104" s="2">
        <f>Quarterly_Billing_Run!D104</f>
        <v/>
      </c>
      <c r="B104" s="2">
        <f>Quarterly_Billing_Run!F104</f>
        <v/>
      </c>
      <c r="C104" s="2">
        <f>Quarterly_Billing_Run!A104</f>
        <v/>
      </c>
      <c r="D104" s="12">
        <f>Quarterly_Billing_Run!I104</f>
        <v/>
      </c>
      <c r="E104" s="13">
        <f>Quarterly_Billing_Run!P104</f>
        <v/>
      </c>
      <c r="F104" s="2">
        <f>IF($E104=0,0,MAX(0,TODAY()-$D104))</f>
        <v/>
      </c>
      <c r="G104" s="2">
        <f>IF($E104=0,"Current",IF($F104&lt;=30,"1-30",IF($F104&lt;=60,"31-60",IF($F104&lt;=90,"61-90","90+"))))</f>
        <v/>
      </c>
      <c r="H104" s="2">
        <f>Quarterly_Billing_Run!Q104</f>
        <v/>
      </c>
    </row>
    <row r="105">
      <c r="A105" s="2">
        <f>Quarterly_Billing_Run!D105</f>
        <v/>
      </c>
      <c r="B105" s="2">
        <f>Quarterly_Billing_Run!F105</f>
        <v/>
      </c>
      <c r="C105" s="2">
        <f>Quarterly_Billing_Run!A105</f>
        <v/>
      </c>
      <c r="D105" s="12">
        <f>Quarterly_Billing_Run!I105</f>
        <v/>
      </c>
      <c r="E105" s="13">
        <f>Quarterly_Billing_Run!P105</f>
        <v/>
      </c>
      <c r="F105" s="2">
        <f>IF($E105=0,0,MAX(0,TODAY()-$D105))</f>
        <v/>
      </c>
      <c r="G105" s="2">
        <f>IF($E105=0,"Current",IF($F105&lt;=30,"1-30",IF($F105&lt;=60,"31-60",IF($F105&lt;=90,"61-90","90+"))))</f>
        <v/>
      </c>
      <c r="H105" s="2">
        <f>Quarterly_Billing_Run!Q105</f>
        <v/>
      </c>
    </row>
    <row r="106">
      <c r="A106" s="2">
        <f>Quarterly_Billing_Run!D106</f>
        <v/>
      </c>
      <c r="B106" s="2">
        <f>Quarterly_Billing_Run!F106</f>
        <v/>
      </c>
      <c r="C106" s="2">
        <f>Quarterly_Billing_Run!A106</f>
        <v/>
      </c>
      <c r="D106" s="12">
        <f>Quarterly_Billing_Run!I106</f>
        <v/>
      </c>
      <c r="E106" s="13">
        <f>Quarterly_Billing_Run!P106</f>
        <v/>
      </c>
      <c r="F106" s="2">
        <f>IF($E106=0,0,MAX(0,TODAY()-$D106))</f>
        <v/>
      </c>
      <c r="G106" s="2">
        <f>IF($E106=0,"Current",IF($F106&lt;=30,"1-30",IF($F106&lt;=60,"31-60",IF($F106&lt;=90,"61-90","90+"))))</f>
        <v/>
      </c>
      <c r="H106" s="2">
        <f>Quarterly_Billing_Run!Q106</f>
        <v/>
      </c>
    </row>
    <row r="107">
      <c r="A107" s="2">
        <f>Quarterly_Billing_Run!D107</f>
        <v/>
      </c>
      <c r="B107" s="2">
        <f>Quarterly_Billing_Run!F107</f>
        <v/>
      </c>
      <c r="C107" s="2">
        <f>Quarterly_Billing_Run!A107</f>
        <v/>
      </c>
      <c r="D107" s="12">
        <f>Quarterly_Billing_Run!I107</f>
        <v/>
      </c>
      <c r="E107" s="13">
        <f>Quarterly_Billing_Run!P107</f>
        <v/>
      </c>
      <c r="F107" s="2">
        <f>IF($E107=0,0,MAX(0,TODAY()-$D107))</f>
        <v/>
      </c>
      <c r="G107" s="2">
        <f>IF($E107=0,"Current",IF($F107&lt;=30,"1-30",IF($F107&lt;=60,"31-60",IF($F107&lt;=90,"61-90","90+"))))</f>
        <v/>
      </c>
      <c r="H107" s="2">
        <f>Quarterly_Billing_Run!Q107</f>
        <v/>
      </c>
    </row>
    <row r="108">
      <c r="A108" s="2">
        <f>Quarterly_Billing_Run!D108</f>
        <v/>
      </c>
      <c r="B108" s="2">
        <f>Quarterly_Billing_Run!F108</f>
        <v/>
      </c>
      <c r="C108" s="2">
        <f>Quarterly_Billing_Run!A108</f>
        <v/>
      </c>
      <c r="D108" s="12">
        <f>Quarterly_Billing_Run!I108</f>
        <v/>
      </c>
      <c r="E108" s="13">
        <f>Quarterly_Billing_Run!P108</f>
        <v/>
      </c>
      <c r="F108" s="2">
        <f>IF($E108=0,0,MAX(0,TODAY()-$D108))</f>
        <v/>
      </c>
      <c r="G108" s="2">
        <f>IF($E108=0,"Current",IF($F108&lt;=30,"1-30",IF($F108&lt;=60,"31-60",IF($F108&lt;=90,"61-90","90+"))))</f>
        <v/>
      </c>
      <c r="H108" s="2">
        <f>Quarterly_Billing_Run!Q108</f>
        <v/>
      </c>
    </row>
    <row r="109">
      <c r="A109" s="2">
        <f>Quarterly_Billing_Run!D109</f>
        <v/>
      </c>
      <c r="B109" s="2">
        <f>Quarterly_Billing_Run!F109</f>
        <v/>
      </c>
      <c r="C109" s="2">
        <f>Quarterly_Billing_Run!A109</f>
        <v/>
      </c>
      <c r="D109" s="12">
        <f>Quarterly_Billing_Run!I109</f>
        <v/>
      </c>
      <c r="E109" s="13">
        <f>Quarterly_Billing_Run!P109</f>
        <v/>
      </c>
      <c r="F109" s="2">
        <f>IF($E109=0,0,MAX(0,TODAY()-$D109))</f>
        <v/>
      </c>
      <c r="G109" s="2">
        <f>IF($E109=0,"Current",IF($F109&lt;=30,"1-30",IF($F109&lt;=60,"31-60",IF($F109&lt;=90,"61-90","90+"))))</f>
        <v/>
      </c>
      <c r="H109" s="2">
        <f>Quarterly_Billing_Run!Q109</f>
        <v/>
      </c>
    </row>
    <row r="110">
      <c r="A110" s="2">
        <f>Quarterly_Billing_Run!D110</f>
        <v/>
      </c>
      <c r="B110" s="2">
        <f>Quarterly_Billing_Run!F110</f>
        <v/>
      </c>
      <c r="C110" s="2">
        <f>Quarterly_Billing_Run!A110</f>
        <v/>
      </c>
      <c r="D110" s="12">
        <f>Quarterly_Billing_Run!I110</f>
        <v/>
      </c>
      <c r="E110" s="13">
        <f>Quarterly_Billing_Run!P110</f>
        <v/>
      </c>
      <c r="F110" s="2">
        <f>IF($E110=0,0,MAX(0,TODAY()-$D110))</f>
        <v/>
      </c>
      <c r="G110" s="2">
        <f>IF($E110=0,"Current",IF($F110&lt;=30,"1-30",IF($F110&lt;=60,"31-60",IF($F110&lt;=90,"61-90","90+"))))</f>
        <v/>
      </c>
      <c r="H110" s="2">
        <f>Quarterly_Billing_Run!Q110</f>
        <v/>
      </c>
    </row>
    <row r="111">
      <c r="A111" s="2">
        <f>Quarterly_Billing_Run!D111</f>
        <v/>
      </c>
      <c r="B111" s="2">
        <f>Quarterly_Billing_Run!F111</f>
        <v/>
      </c>
      <c r="C111" s="2">
        <f>Quarterly_Billing_Run!A111</f>
        <v/>
      </c>
      <c r="D111" s="12">
        <f>Quarterly_Billing_Run!I111</f>
        <v/>
      </c>
      <c r="E111" s="13">
        <f>Quarterly_Billing_Run!P111</f>
        <v/>
      </c>
      <c r="F111" s="2">
        <f>IF($E111=0,0,MAX(0,TODAY()-$D111))</f>
        <v/>
      </c>
      <c r="G111" s="2">
        <f>IF($E111=0,"Current",IF($F111&lt;=30,"1-30",IF($F111&lt;=60,"31-60",IF($F111&lt;=90,"61-90","90+"))))</f>
        <v/>
      </c>
      <c r="H111" s="2">
        <f>Quarterly_Billing_Run!Q111</f>
        <v/>
      </c>
    </row>
    <row r="112">
      <c r="A112" s="2">
        <f>Quarterly_Billing_Run!D112</f>
        <v/>
      </c>
      <c r="B112" s="2">
        <f>Quarterly_Billing_Run!F112</f>
        <v/>
      </c>
      <c r="C112" s="2">
        <f>Quarterly_Billing_Run!A112</f>
        <v/>
      </c>
      <c r="D112" s="12">
        <f>Quarterly_Billing_Run!I112</f>
        <v/>
      </c>
      <c r="E112" s="13">
        <f>Quarterly_Billing_Run!P112</f>
        <v/>
      </c>
      <c r="F112" s="2">
        <f>IF($E112=0,0,MAX(0,TODAY()-$D112))</f>
        <v/>
      </c>
      <c r="G112" s="2">
        <f>IF($E112=0,"Current",IF($F112&lt;=30,"1-30",IF($F112&lt;=60,"31-60",IF($F112&lt;=90,"61-90","90+"))))</f>
        <v/>
      </c>
      <c r="H112" s="2">
        <f>Quarterly_Billing_Run!Q112</f>
        <v/>
      </c>
    </row>
    <row r="113">
      <c r="A113" s="2">
        <f>Quarterly_Billing_Run!D113</f>
        <v/>
      </c>
      <c r="B113" s="2">
        <f>Quarterly_Billing_Run!F113</f>
        <v/>
      </c>
      <c r="C113" s="2">
        <f>Quarterly_Billing_Run!A113</f>
        <v/>
      </c>
      <c r="D113" s="12">
        <f>Quarterly_Billing_Run!I113</f>
        <v/>
      </c>
      <c r="E113" s="13">
        <f>Quarterly_Billing_Run!P113</f>
        <v/>
      </c>
      <c r="F113" s="2">
        <f>IF($E113=0,0,MAX(0,TODAY()-$D113))</f>
        <v/>
      </c>
      <c r="G113" s="2">
        <f>IF($E113=0,"Current",IF($F113&lt;=30,"1-30",IF($F113&lt;=60,"31-60",IF($F113&lt;=90,"61-90","90+"))))</f>
        <v/>
      </c>
      <c r="H113" s="2">
        <f>Quarterly_Billing_Run!Q113</f>
        <v/>
      </c>
    </row>
    <row r="114">
      <c r="A114" s="2">
        <f>Quarterly_Billing_Run!D114</f>
        <v/>
      </c>
      <c r="B114" s="2">
        <f>Quarterly_Billing_Run!F114</f>
        <v/>
      </c>
      <c r="C114" s="2">
        <f>Quarterly_Billing_Run!A114</f>
        <v/>
      </c>
      <c r="D114" s="12">
        <f>Quarterly_Billing_Run!I114</f>
        <v/>
      </c>
      <c r="E114" s="13">
        <f>Quarterly_Billing_Run!P114</f>
        <v/>
      </c>
      <c r="F114" s="2">
        <f>IF($E114=0,0,MAX(0,TODAY()-$D114))</f>
        <v/>
      </c>
      <c r="G114" s="2">
        <f>IF($E114=0,"Current",IF($F114&lt;=30,"1-30",IF($F114&lt;=60,"31-60",IF($F114&lt;=90,"61-90","90+"))))</f>
        <v/>
      </c>
      <c r="H114" s="2">
        <f>Quarterly_Billing_Run!Q114</f>
        <v/>
      </c>
    </row>
    <row r="115">
      <c r="A115" s="2">
        <f>Quarterly_Billing_Run!D115</f>
        <v/>
      </c>
      <c r="B115" s="2">
        <f>Quarterly_Billing_Run!F115</f>
        <v/>
      </c>
      <c r="C115" s="2">
        <f>Quarterly_Billing_Run!A115</f>
        <v/>
      </c>
      <c r="D115" s="12">
        <f>Quarterly_Billing_Run!I115</f>
        <v/>
      </c>
      <c r="E115" s="13">
        <f>Quarterly_Billing_Run!P115</f>
        <v/>
      </c>
      <c r="F115" s="2">
        <f>IF($E115=0,0,MAX(0,TODAY()-$D115))</f>
        <v/>
      </c>
      <c r="G115" s="2">
        <f>IF($E115=0,"Current",IF($F115&lt;=30,"1-30",IF($F115&lt;=60,"31-60",IF($F115&lt;=90,"61-90","90+"))))</f>
        <v/>
      </c>
      <c r="H115" s="2">
        <f>Quarterly_Billing_Run!Q115</f>
        <v/>
      </c>
    </row>
    <row r="116">
      <c r="A116" s="2">
        <f>Quarterly_Billing_Run!D116</f>
        <v/>
      </c>
      <c r="B116" s="2">
        <f>Quarterly_Billing_Run!F116</f>
        <v/>
      </c>
      <c r="C116" s="2">
        <f>Quarterly_Billing_Run!A116</f>
        <v/>
      </c>
      <c r="D116" s="12">
        <f>Quarterly_Billing_Run!I116</f>
        <v/>
      </c>
      <c r="E116" s="13">
        <f>Quarterly_Billing_Run!P116</f>
        <v/>
      </c>
      <c r="F116" s="2">
        <f>IF($E116=0,0,MAX(0,TODAY()-$D116))</f>
        <v/>
      </c>
      <c r="G116" s="2">
        <f>IF($E116=0,"Current",IF($F116&lt;=30,"1-30",IF($F116&lt;=60,"31-60",IF($F116&lt;=90,"61-90","90+"))))</f>
        <v/>
      </c>
      <c r="H116" s="2">
        <f>Quarterly_Billing_Run!Q116</f>
        <v/>
      </c>
    </row>
    <row r="117">
      <c r="A117" s="2">
        <f>Quarterly_Billing_Run!D117</f>
        <v/>
      </c>
      <c r="B117" s="2">
        <f>Quarterly_Billing_Run!F117</f>
        <v/>
      </c>
      <c r="C117" s="2">
        <f>Quarterly_Billing_Run!A117</f>
        <v/>
      </c>
      <c r="D117" s="12">
        <f>Quarterly_Billing_Run!I117</f>
        <v/>
      </c>
      <c r="E117" s="13">
        <f>Quarterly_Billing_Run!P117</f>
        <v/>
      </c>
      <c r="F117" s="2">
        <f>IF($E117=0,0,MAX(0,TODAY()-$D117))</f>
        <v/>
      </c>
      <c r="G117" s="2">
        <f>IF($E117=0,"Current",IF($F117&lt;=30,"1-30",IF($F117&lt;=60,"31-60",IF($F117&lt;=90,"61-90","90+"))))</f>
        <v/>
      </c>
      <c r="H117" s="2">
        <f>Quarterly_Billing_Run!Q117</f>
        <v/>
      </c>
    </row>
    <row r="118">
      <c r="A118" s="2">
        <f>Quarterly_Billing_Run!D118</f>
        <v/>
      </c>
      <c r="B118" s="2">
        <f>Quarterly_Billing_Run!F118</f>
        <v/>
      </c>
      <c r="C118" s="2">
        <f>Quarterly_Billing_Run!A118</f>
        <v/>
      </c>
      <c r="D118" s="12">
        <f>Quarterly_Billing_Run!I118</f>
        <v/>
      </c>
      <c r="E118" s="13">
        <f>Quarterly_Billing_Run!P118</f>
        <v/>
      </c>
      <c r="F118" s="2">
        <f>IF($E118=0,0,MAX(0,TODAY()-$D118))</f>
        <v/>
      </c>
      <c r="G118" s="2">
        <f>IF($E118=0,"Current",IF($F118&lt;=30,"1-30",IF($F118&lt;=60,"31-60",IF($F118&lt;=90,"61-90","90+"))))</f>
        <v/>
      </c>
      <c r="H118" s="2">
        <f>Quarterly_Billing_Run!Q118</f>
        <v/>
      </c>
    </row>
    <row r="119">
      <c r="A119" s="2">
        <f>Quarterly_Billing_Run!D119</f>
        <v/>
      </c>
      <c r="B119" s="2">
        <f>Quarterly_Billing_Run!F119</f>
        <v/>
      </c>
      <c r="C119" s="2">
        <f>Quarterly_Billing_Run!A119</f>
        <v/>
      </c>
      <c r="D119" s="12">
        <f>Quarterly_Billing_Run!I119</f>
        <v/>
      </c>
      <c r="E119" s="13">
        <f>Quarterly_Billing_Run!P119</f>
        <v/>
      </c>
      <c r="F119" s="2">
        <f>IF($E119=0,0,MAX(0,TODAY()-$D119))</f>
        <v/>
      </c>
      <c r="G119" s="2">
        <f>IF($E119=0,"Current",IF($F119&lt;=30,"1-30",IF($F119&lt;=60,"31-60",IF($F119&lt;=90,"61-90","90+"))))</f>
        <v/>
      </c>
      <c r="H119" s="2">
        <f>Quarterly_Billing_Run!Q119</f>
        <v/>
      </c>
    </row>
    <row r="120">
      <c r="A120" s="2">
        <f>Quarterly_Billing_Run!D120</f>
        <v/>
      </c>
      <c r="B120" s="2">
        <f>Quarterly_Billing_Run!F120</f>
        <v/>
      </c>
      <c r="C120" s="2">
        <f>Quarterly_Billing_Run!A120</f>
        <v/>
      </c>
      <c r="D120" s="12">
        <f>Quarterly_Billing_Run!I120</f>
        <v/>
      </c>
      <c r="E120" s="13">
        <f>Quarterly_Billing_Run!P120</f>
        <v/>
      </c>
      <c r="F120" s="2">
        <f>IF($E120=0,0,MAX(0,TODAY()-$D120))</f>
        <v/>
      </c>
      <c r="G120" s="2">
        <f>IF($E120=0,"Current",IF($F120&lt;=30,"1-30",IF($F120&lt;=60,"31-60",IF($F120&lt;=90,"61-90","90+"))))</f>
        <v/>
      </c>
      <c r="H120" s="2">
        <f>Quarterly_Billing_Run!Q120</f>
        <v/>
      </c>
    </row>
    <row r="121">
      <c r="A121" s="2">
        <f>Quarterly_Billing_Run!D121</f>
        <v/>
      </c>
      <c r="B121" s="2">
        <f>Quarterly_Billing_Run!F121</f>
        <v/>
      </c>
      <c r="C121" s="2">
        <f>Quarterly_Billing_Run!A121</f>
        <v/>
      </c>
      <c r="D121" s="12">
        <f>Quarterly_Billing_Run!I121</f>
        <v/>
      </c>
      <c r="E121" s="13">
        <f>Quarterly_Billing_Run!P121</f>
        <v/>
      </c>
      <c r="F121" s="2">
        <f>IF($E121=0,0,MAX(0,TODAY()-$D121))</f>
        <v/>
      </c>
      <c r="G121" s="2">
        <f>IF($E121=0,"Current",IF($F121&lt;=30,"1-30",IF($F121&lt;=60,"31-60",IF($F121&lt;=90,"61-90","90+"))))</f>
        <v/>
      </c>
      <c r="H121" s="2">
        <f>Quarterly_Billing_Run!Q121</f>
        <v/>
      </c>
    </row>
    <row r="122">
      <c r="A122" s="2">
        <f>Quarterly_Billing_Run!D122</f>
        <v/>
      </c>
      <c r="B122" s="2">
        <f>Quarterly_Billing_Run!F122</f>
        <v/>
      </c>
      <c r="C122" s="2">
        <f>Quarterly_Billing_Run!A122</f>
        <v/>
      </c>
      <c r="D122" s="12">
        <f>Quarterly_Billing_Run!I122</f>
        <v/>
      </c>
      <c r="E122" s="13">
        <f>Quarterly_Billing_Run!P122</f>
        <v/>
      </c>
      <c r="F122" s="2">
        <f>IF($E122=0,0,MAX(0,TODAY()-$D122))</f>
        <v/>
      </c>
      <c r="G122" s="2">
        <f>IF($E122=0,"Current",IF($F122&lt;=30,"1-30",IF($F122&lt;=60,"31-60",IF($F122&lt;=90,"61-90","90+"))))</f>
        <v/>
      </c>
      <c r="H122" s="2">
        <f>Quarterly_Billing_Run!Q122</f>
        <v/>
      </c>
    </row>
    <row r="123">
      <c r="A123" s="2">
        <f>Quarterly_Billing_Run!D123</f>
        <v/>
      </c>
      <c r="B123" s="2">
        <f>Quarterly_Billing_Run!F123</f>
        <v/>
      </c>
      <c r="C123" s="2">
        <f>Quarterly_Billing_Run!A123</f>
        <v/>
      </c>
      <c r="D123" s="12">
        <f>Quarterly_Billing_Run!I123</f>
        <v/>
      </c>
      <c r="E123" s="13">
        <f>Quarterly_Billing_Run!P123</f>
        <v/>
      </c>
      <c r="F123" s="2">
        <f>IF($E123=0,0,MAX(0,TODAY()-$D123))</f>
        <v/>
      </c>
      <c r="G123" s="2">
        <f>IF($E123=0,"Current",IF($F123&lt;=30,"1-30",IF($F123&lt;=60,"31-60",IF($F123&lt;=90,"61-90","90+"))))</f>
        <v/>
      </c>
      <c r="H123" s="2">
        <f>Quarterly_Billing_Run!Q123</f>
        <v/>
      </c>
    </row>
    <row r="124">
      <c r="A124" s="2">
        <f>Quarterly_Billing_Run!D124</f>
        <v/>
      </c>
      <c r="B124" s="2">
        <f>Quarterly_Billing_Run!F124</f>
        <v/>
      </c>
      <c r="C124" s="2">
        <f>Quarterly_Billing_Run!A124</f>
        <v/>
      </c>
      <c r="D124" s="12">
        <f>Quarterly_Billing_Run!I124</f>
        <v/>
      </c>
      <c r="E124" s="13">
        <f>Quarterly_Billing_Run!P124</f>
        <v/>
      </c>
      <c r="F124" s="2">
        <f>IF($E124=0,0,MAX(0,TODAY()-$D124))</f>
        <v/>
      </c>
      <c r="G124" s="2">
        <f>IF($E124=0,"Current",IF($F124&lt;=30,"1-30",IF($F124&lt;=60,"31-60",IF($F124&lt;=90,"61-90","90+"))))</f>
        <v/>
      </c>
      <c r="H124" s="2">
        <f>Quarterly_Billing_Run!Q124</f>
        <v/>
      </c>
    </row>
    <row r="125">
      <c r="A125" s="2">
        <f>Quarterly_Billing_Run!D125</f>
        <v/>
      </c>
      <c r="B125" s="2">
        <f>Quarterly_Billing_Run!F125</f>
        <v/>
      </c>
      <c r="C125" s="2">
        <f>Quarterly_Billing_Run!A125</f>
        <v/>
      </c>
      <c r="D125" s="12">
        <f>Quarterly_Billing_Run!I125</f>
        <v/>
      </c>
      <c r="E125" s="13">
        <f>Quarterly_Billing_Run!P125</f>
        <v/>
      </c>
      <c r="F125" s="2">
        <f>IF($E125=0,0,MAX(0,TODAY()-$D125))</f>
        <v/>
      </c>
      <c r="G125" s="2">
        <f>IF($E125=0,"Current",IF($F125&lt;=30,"1-30",IF($F125&lt;=60,"31-60",IF($F125&lt;=90,"61-90","90+"))))</f>
        <v/>
      </c>
      <c r="H125" s="2">
        <f>Quarterly_Billing_Run!Q125</f>
        <v/>
      </c>
    </row>
    <row r="126">
      <c r="A126" s="2">
        <f>Quarterly_Billing_Run!D126</f>
        <v/>
      </c>
      <c r="B126" s="2">
        <f>Quarterly_Billing_Run!F126</f>
        <v/>
      </c>
      <c r="C126" s="2">
        <f>Quarterly_Billing_Run!A126</f>
        <v/>
      </c>
      <c r="D126" s="12">
        <f>Quarterly_Billing_Run!I126</f>
        <v/>
      </c>
      <c r="E126" s="13">
        <f>Quarterly_Billing_Run!P126</f>
        <v/>
      </c>
      <c r="F126" s="2">
        <f>IF($E126=0,0,MAX(0,TODAY()-$D126))</f>
        <v/>
      </c>
      <c r="G126" s="2">
        <f>IF($E126=0,"Current",IF($F126&lt;=30,"1-30",IF($F126&lt;=60,"31-60",IF($F126&lt;=90,"61-90","90+"))))</f>
        <v/>
      </c>
      <c r="H126" s="2">
        <f>Quarterly_Billing_Run!Q126</f>
        <v/>
      </c>
    </row>
    <row r="127">
      <c r="A127" s="2">
        <f>Quarterly_Billing_Run!D127</f>
        <v/>
      </c>
      <c r="B127" s="2">
        <f>Quarterly_Billing_Run!F127</f>
        <v/>
      </c>
      <c r="C127" s="2">
        <f>Quarterly_Billing_Run!A127</f>
        <v/>
      </c>
      <c r="D127" s="12">
        <f>Quarterly_Billing_Run!I127</f>
        <v/>
      </c>
      <c r="E127" s="13">
        <f>Quarterly_Billing_Run!P127</f>
        <v/>
      </c>
      <c r="F127" s="2">
        <f>IF($E127=0,0,MAX(0,TODAY()-$D127))</f>
        <v/>
      </c>
      <c r="G127" s="2">
        <f>IF($E127=0,"Current",IF($F127&lt;=30,"1-30",IF($F127&lt;=60,"31-60",IF($F127&lt;=90,"61-90","90+"))))</f>
        <v/>
      </c>
      <c r="H127" s="2">
        <f>Quarterly_Billing_Run!Q127</f>
        <v/>
      </c>
    </row>
    <row r="128">
      <c r="A128" s="2">
        <f>Quarterly_Billing_Run!D128</f>
        <v/>
      </c>
      <c r="B128" s="2">
        <f>Quarterly_Billing_Run!F128</f>
        <v/>
      </c>
      <c r="C128" s="2">
        <f>Quarterly_Billing_Run!A128</f>
        <v/>
      </c>
      <c r="D128" s="12">
        <f>Quarterly_Billing_Run!I128</f>
        <v/>
      </c>
      <c r="E128" s="13">
        <f>Quarterly_Billing_Run!P128</f>
        <v/>
      </c>
      <c r="F128" s="2">
        <f>IF($E128=0,0,MAX(0,TODAY()-$D128))</f>
        <v/>
      </c>
      <c r="G128" s="2">
        <f>IF($E128=0,"Current",IF($F128&lt;=30,"1-30",IF($F128&lt;=60,"31-60",IF($F128&lt;=90,"61-90","90+"))))</f>
        <v/>
      </c>
      <c r="H128" s="2">
        <f>Quarterly_Billing_Run!Q128</f>
        <v/>
      </c>
    </row>
    <row r="129">
      <c r="A129" s="2">
        <f>Quarterly_Billing_Run!D129</f>
        <v/>
      </c>
      <c r="B129" s="2">
        <f>Quarterly_Billing_Run!F129</f>
        <v/>
      </c>
      <c r="C129" s="2">
        <f>Quarterly_Billing_Run!A129</f>
        <v/>
      </c>
      <c r="D129" s="12">
        <f>Quarterly_Billing_Run!I129</f>
        <v/>
      </c>
      <c r="E129" s="13">
        <f>Quarterly_Billing_Run!P129</f>
        <v/>
      </c>
      <c r="F129" s="2">
        <f>IF($E129=0,0,MAX(0,TODAY()-$D129))</f>
        <v/>
      </c>
      <c r="G129" s="2">
        <f>IF($E129=0,"Current",IF($F129&lt;=30,"1-30",IF($F129&lt;=60,"31-60",IF($F129&lt;=90,"61-90","90+"))))</f>
        <v/>
      </c>
      <c r="H129" s="2">
        <f>Quarterly_Billing_Run!Q129</f>
        <v/>
      </c>
    </row>
    <row r="130">
      <c r="A130" s="2">
        <f>Quarterly_Billing_Run!D130</f>
        <v/>
      </c>
      <c r="B130" s="2">
        <f>Quarterly_Billing_Run!F130</f>
        <v/>
      </c>
      <c r="C130" s="2">
        <f>Quarterly_Billing_Run!A130</f>
        <v/>
      </c>
      <c r="D130" s="12">
        <f>Quarterly_Billing_Run!I130</f>
        <v/>
      </c>
      <c r="E130" s="13">
        <f>Quarterly_Billing_Run!P130</f>
        <v/>
      </c>
      <c r="F130" s="2">
        <f>IF($E130=0,0,MAX(0,TODAY()-$D130))</f>
        <v/>
      </c>
      <c r="G130" s="2">
        <f>IF($E130=0,"Current",IF($F130&lt;=30,"1-30",IF($F130&lt;=60,"31-60",IF($F130&lt;=90,"61-90","90+"))))</f>
        <v/>
      </c>
      <c r="H130" s="2">
        <f>Quarterly_Billing_Run!Q130</f>
        <v/>
      </c>
    </row>
    <row r="131">
      <c r="A131" s="2">
        <f>Quarterly_Billing_Run!D131</f>
        <v/>
      </c>
      <c r="B131" s="2">
        <f>Quarterly_Billing_Run!F131</f>
        <v/>
      </c>
      <c r="C131" s="2">
        <f>Quarterly_Billing_Run!A131</f>
        <v/>
      </c>
      <c r="D131" s="12">
        <f>Quarterly_Billing_Run!I131</f>
        <v/>
      </c>
      <c r="E131" s="13">
        <f>Quarterly_Billing_Run!P131</f>
        <v/>
      </c>
      <c r="F131" s="2">
        <f>IF($E131=0,0,MAX(0,TODAY()-$D131))</f>
        <v/>
      </c>
      <c r="G131" s="2">
        <f>IF($E131=0,"Current",IF($F131&lt;=30,"1-30",IF($F131&lt;=60,"31-60",IF($F131&lt;=90,"61-90","90+"))))</f>
        <v/>
      </c>
      <c r="H131" s="2">
        <f>Quarterly_Billing_Run!Q131</f>
        <v/>
      </c>
    </row>
    <row r="132">
      <c r="A132" s="2">
        <f>Quarterly_Billing_Run!D132</f>
        <v/>
      </c>
      <c r="B132" s="2">
        <f>Quarterly_Billing_Run!F132</f>
        <v/>
      </c>
      <c r="C132" s="2">
        <f>Quarterly_Billing_Run!A132</f>
        <v/>
      </c>
      <c r="D132" s="12">
        <f>Quarterly_Billing_Run!I132</f>
        <v/>
      </c>
      <c r="E132" s="13">
        <f>Quarterly_Billing_Run!P132</f>
        <v/>
      </c>
      <c r="F132" s="2">
        <f>IF($E132=0,0,MAX(0,TODAY()-$D132))</f>
        <v/>
      </c>
      <c r="G132" s="2">
        <f>IF($E132=0,"Current",IF($F132&lt;=30,"1-30",IF($F132&lt;=60,"31-60",IF($F132&lt;=90,"61-90","90+"))))</f>
        <v/>
      </c>
      <c r="H132" s="2">
        <f>Quarterly_Billing_Run!Q132</f>
        <v/>
      </c>
    </row>
    <row r="133">
      <c r="A133" s="2">
        <f>Quarterly_Billing_Run!D133</f>
        <v/>
      </c>
      <c r="B133" s="2">
        <f>Quarterly_Billing_Run!F133</f>
        <v/>
      </c>
      <c r="C133" s="2">
        <f>Quarterly_Billing_Run!A133</f>
        <v/>
      </c>
      <c r="D133" s="12">
        <f>Quarterly_Billing_Run!I133</f>
        <v/>
      </c>
      <c r="E133" s="13">
        <f>Quarterly_Billing_Run!P133</f>
        <v/>
      </c>
      <c r="F133" s="2">
        <f>IF($E133=0,0,MAX(0,TODAY()-$D133))</f>
        <v/>
      </c>
      <c r="G133" s="2">
        <f>IF($E133=0,"Current",IF($F133&lt;=30,"1-30",IF($F133&lt;=60,"31-60",IF($F133&lt;=90,"61-90","90+"))))</f>
        <v/>
      </c>
      <c r="H133" s="2">
        <f>Quarterly_Billing_Run!Q133</f>
        <v/>
      </c>
    </row>
    <row r="134">
      <c r="A134" s="2">
        <f>Quarterly_Billing_Run!D134</f>
        <v/>
      </c>
      <c r="B134" s="2">
        <f>Quarterly_Billing_Run!F134</f>
        <v/>
      </c>
      <c r="C134" s="2">
        <f>Quarterly_Billing_Run!A134</f>
        <v/>
      </c>
      <c r="D134" s="12">
        <f>Quarterly_Billing_Run!I134</f>
        <v/>
      </c>
      <c r="E134" s="13">
        <f>Quarterly_Billing_Run!P134</f>
        <v/>
      </c>
      <c r="F134" s="2">
        <f>IF($E134=0,0,MAX(0,TODAY()-$D134))</f>
        <v/>
      </c>
      <c r="G134" s="2">
        <f>IF($E134=0,"Current",IF($F134&lt;=30,"1-30",IF($F134&lt;=60,"31-60",IF($F134&lt;=90,"61-90","90+"))))</f>
        <v/>
      </c>
      <c r="H134" s="2">
        <f>Quarterly_Billing_Run!Q134</f>
        <v/>
      </c>
    </row>
    <row r="135">
      <c r="A135" s="2">
        <f>Quarterly_Billing_Run!D135</f>
        <v/>
      </c>
      <c r="B135" s="2">
        <f>Quarterly_Billing_Run!F135</f>
        <v/>
      </c>
      <c r="C135" s="2">
        <f>Quarterly_Billing_Run!A135</f>
        <v/>
      </c>
      <c r="D135" s="12">
        <f>Quarterly_Billing_Run!I135</f>
        <v/>
      </c>
      <c r="E135" s="13">
        <f>Quarterly_Billing_Run!P135</f>
        <v/>
      </c>
      <c r="F135" s="2">
        <f>IF($E135=0,0,MAX(0,TODAY()-$D135))</f>
        <v/>
      </c>
      <c r="G135" s="2">
        <f>IF($E135=0,"Current",IF($F135&lt;=30,"1-30",IF($F135&lt;=60,"31-60",IF($F135&lt;=90,"61-90","90+"))))</f>
        <v/>
      </c>
      <c r="H135" s="2">
        <f>Quarterly_Billing_Run!Q135</f>
        <v/>
      </c>
    </row>
    <row r="136">
      <c r="A136" s="2">
        <f>Quarterly_Billing_Run!D136</f>
        <v/>
      </c>
      <c r="B136" s="2">
        <f>Quarterly_Billing_Run!F136</f>
        <v/>
      </c>
      <c r="C136" s="2">
        <f>Quarterly_Billing_Run!A136</f>
        <v/>
      </c>
      <c r="D136" s="12">
        <f>Quarterly_Billing_Run!I136</f>
        <v/>
      </c>
      <c r="E136" s="13">
        <f>Quarterly_Billing_Run!P136</f>
        <v/>
      </c>
      <c r="F136" s="2">
        <f>IF($E136=0,0,MAX(0,TODAY()-$D136))</f>
        <v/>
      </c>
      <c r="G136" s="2">
        <f>IF($E136=0,"Current",IF($F136&lt;=30,"1-30",IF($F136&lt;=60,"31-60",IF($F136&lt;=90,"61-90","90+"))))</f>
        <v/>
      </c>
      <c r="H136" s="2">
        <f>Quarterly_Billing_Run!Q136</f>
        <v/>
      </c>
    </row>
    <row r="137">
      <c r="A137" s="2">
        <f>Quarterly_Billing_Run!D137</f>
        <v/>
      </c>
      <c r="B137" s="2">
        <f>Quarterly_Billing_Run!F137</f>
        <v/>
      </c>
      <c r="C137" s="2">
        <f>Quarterly_Billing_Run!A137</f>
        <v/>
      </c>
      <c r="D137" s="12">
        <f>Quarterly_Billing_Run!I137</f>
        <v/>
      </c>
      <c r="E137" s="13">
        <f>Quarterly_Billing_Run!P137</f>
        <v/>
      </c>
      <c r="F137" s="2">
        <f>IF($E137=0,0,MAX(0,TODAY()-$D137))</f>
        <v/>
      </c>
      <c r="G137" s="2">
        <f>IF($E137=0,"Current",IF($F137&lt;=30,"1-30",IF($F137&lt;=60,"31-60",IF($F137&lt;=90,"61-90","90+"))))</f>
        <v/>
      </c>
      <c r="H137" s="2">
        <f>Quarterly_Billing_Run!Q137</f>
        <v/>
      </c>
    </row>
    <row r="138">
      <c r="A138" s="2">
        <f>Quarterly_Billing_Run!D138</f>
        <v/>
      </c>
      <c r="B138" s="2">
        <f>Quarterly_Billing_Run!F138</f>
        <v/>
      </c>
      <c r="C138" s="2">
        <f>Quarterly_Billing_Run!A138</f>
        <v/>
      </c>
      <c r="D138" s="12">
        <f>Quarterly_Billing_Run!I138</f>
        <v/>
      </c>
      <c r="E138" s="13">
        <f>Quarterly_Billing_Run!P138</f>
        <v/>
      </c>
      <c r="F138" s="2">
        <f>IF($E138=0,0,MAX(0,TODAY()-$D138))</f>
        <v/>
      </c>
      <c r="G138" s="2">
        <f>IF($E138=0,"Current",IF($F138&lt;=30,"1-30",IF($F138&lt;=60,"31-60",IF($F138&lt;=90,"61-90","90+"))))</f>
        <v/>
      </c>
      <c r="H138" s="2">
        <f>Quarterly_Billing_Run!Q138</f>
        <v/>
      </c>
    </row>
    <row r="139">
      <c r="A139" s="2">
        <f>Quarterly_Billing_Run!D139</f>
        <v/>
      </c>
      <c r="B139" s="2">
        <f>Quarterly_Billing_Run!F139</f>
        <v/>
      </c>
      <c r="C139" s="2">
        <f>Quarterly_Billing_Run!A139</f>
        <v/>
      </c>
      <c r="D139" s="12">
        <f>Quarterly_Billing_Run!I139</f>
        <v/>
      </c>
      <c r="E139" s="13">
        <f>Quarterly_Billing_Run!P139</f>
        <v/>
      </c>
      <c r="F139" s="2">
        <f>IF($E139=0,0,MAX(0,TODAY()-$D139))</f>
        <v/>
      </c>
      <c r="G139" s="2">
        <f>IF($E139=0,"Current",IF($F139&lt;=30,"1-30",IF($F139&lt;=60,"31-60",IF($F139&lt;=90,"61-90","90+"))))</f>
        <v/>
      </c>
      <c r="H139" s="2">
        <f>Quarterly_Billing_Run!Q139</f>
        <v/>
      </c>
    </row>
    <row r="140">
      <c r="A140" s="2">
        <f>Quarterly_Billing_Run!D140</f>
        <v/>
      </c>
      <c r="B140" s="2">
        <f>Quarterly_Billing_Run!F140</f>
        <v/>
      </c>
      <c r="C140" s="2">
        <f>Quarterly_Billing_Run!A140</f>
        <v/>
      </c>
      <c r="D140" s="12">
        <f>Quarterly_Billing_Run!I140</f>
        <v/>
      </c>
      <c r="E140" s="13">
        <f>Quarterly_Billing_Run!P140</f>
        <v/>
      </c>
      <c r="F140" s="2">
        <f>IF($E140=0,0,MAX(0,TODAY()-$D140))</f>
        <v/>
      </c>
      <c r="G140" s="2">
        <f>IF($E140=0,"Current",IF($F140&lt;=30,"1-30",IF($F140&lt;=60,"31-60",IF($F140&lt;=90,"61-90","90+"))))</f>
        <v/>
      </c>
      <c r="H140" s="2">
        <f>Quarterly_Billing_Run!Q140</f>
        <v/>
      </c>
    </row>
    <row r="141">
      <c r="A141" s="2">
        <f>Quarterly_Billing_Run!D141</f>
        <v/>
      </c>
      <c r="B141" s="2">
        <f>Quarterly_Billing_Run!F141</f>
        <v/>
      </c>
      <c r="C141" s="2">
        <f>Quarterly_Billing_Run!A141</f>
        <v/>
      </c>
      <c r="D141" s="12">
        <f>Quarterly_Billing_Run!I141</f>
        <v/>
      </c>
      <c r="E141" s="13">
        <f>Quarterly_Billing_Run!P141</f>
        <v/>
      </c>
      <c r="F141" s="2">
        <f>IF($E141=0,0,MAX(0,TODAY()-$D141))</f>
        <v/>
      </c>
      <c r="G141" s="2">
        <f>IF($E141=0,"Current",IF($F141&lt;=30,"1-30",IF($F141&lt;=60,"31-60",IF($F141&lt;=90,"61-90","90+"))))</f>
        <v/>
      </c>
      <c r="H141" s="2">
        <f>Quarterly_Billing_Run!Q141</f>
        <v/>
      </c>
    </row>
    <row r="142">
      <c r="A142" s="2">
        <f>Quarterly_Billing_Run!D142</f>
        <v/>
      </c>
      <c r="B142" s="2">
        <f>Quarterly_Billing_Run!F142</f>
        <v/>
      </c>
      <c r="C142" s="2">
        <f>Quarterly_Billing_Run!A142</f>
        <v/>
      </c>
      <c r="D142" s="12">
        <f>Quarterly_Billing_Run!I142</f>
        <v/>
      </c>
      <c r="E142" s="13">
        <f>Quarterly_Billing_Run!P142</f>
        <v/>
      </c>
      <c r="F142" s="2">
        <f>IF($E142=0,0,MAX(0,TODAY()-$D142))</f>
        <v/>
      </c>
      <c r="G142" s="2">
        <f>IF($E142=0,"Current",IF($F142&lt;=30,"1-30",IF($F142&lt;=60,"31-60",IF($F142&lt;=90,"61-90","90+"))))</f>
        <v/>
      </c>
      <c r="H142" s="2">
        <f>Quarterly_Billing_Run!Q142</f>
        <v/>
      </c>
    </row>
    <row r="143">
      <c r="A143" s="2">
        <f>Quarterly_Billing_Run!D143</f>
        <v/>
      </c>
      <c r="B143" s="2">
        <f>Quarterly_Billing_Run!F143</f>
        <v/>
      </c>
      <c r="C143" s="2">
        <f>Quarterly_Billing_Run!A143</f>
        <v/>
      </c>
      <c r="D143" s="12">
        <f>Quarterly_Billing_Run!I143</f>
        <v/>
      </c>
      <c r="E143" s="13">
        <f>Quarterly_Billing_Run!P143</f>
        <v/>
      </c>
      <c r="F143" s="2">
        <f>IF($E143=0,0,MAX(0,TODAY()-$D143))</f>
        <v/>
      </c>
      <c r="G143" s="2">
        <f>IF($E143=0,"Current",IF($F143&lt;=30,"1-30",IF($F143&lt;=60,"31-60",IF($F143&lt;=90,"61-90","90+"))))</f>
        <v/>
      </c>
      <c r="H143" s="2">
        <f>Quarterly_Billing_Run!Q143</f>
        <v/>
      </c>
    </row>
    <row r="144">
      <c r="A144" s="2">
        <f>Quarterly_Billing_Run!D144</f>
        <v/>
      </c>
      <c r="B144" s="2">
        <f>Quarterly_Billing_Run!F144</f>
        <v/>
      </c>
      <c r="C144" s="2">
        <f>Quarterly_Billing_Run!A144</f>
        <v/>
      </c>
      <c r="D144" s="12">
        <f>Quarterly_Billing_Run!I144</f>
        <v/>
      </c>
      <c r="E144" s="13">
        <f>Quarterly_Billing_Run!P144</f>
        <v/>
      </c>
      <c r="F144" s="2">
        <f>IF($E144=0,0,MAX(0,TODAY()-$D144))</f>
        <v/>
      </c>
      <c r="G144" s="2">
        <f>IF($E144=0,"Current",IF($F144&lt;=30,"1-30",IF($F144&lt;=60,"31-60",IF($F144&lt;=90,"61-90","90+"))))</f>
        <v/>
      </c>
      <c r="H144" s="2">
        <f>Quarterly_Billing_Run!Q144</f>
        <v/>
      </c>
    </row>
    <row r="145">
      <c r="A145" s="2">
        <f>Quarterly_Billing_Run!D145</f>
        <v/>
      </c>
      <c r="B145" s="2">
        <f>Quarterly_Billing_Run!F145</f>
        <v/>
      </c>
      <c r="C145" s="2">
        <f>Quarterly_Billing_Run!A145</f>
        <v/>
      </c>
      <c r="D145" s="12">
        <f>Quarterly_Billing_Run!I145</f>
        <v/>
      </c>
      <c r="E145" s="13">
        <f>Quarterly_Billing_Run!P145</f>
        <v/>
      </c>
      <c r="F145" s="2">
        <f>IF($E145=0,0,MAX(0,TODAY()-$D145))</f>
        <v/>
      </c>
      <c r="G145" s="2">
        <f>IF($E145=0,"Current",IF($F145&lt;=30,"1-30",IF($F145&lt;=60,"31-60",IF($F145&lt;=90,"61-90","90+"))))</f>
        <v/>
      </c>
      <c r="H145" s="2">
        <f>Quarterly_Billing_Run!Q145</f>
        <v/>
      </c>
    </row>
    <row r="146">
      <c r="A146" s="2">
        <f>Quarterly_Billing_Run!D146</f>
        <v/>
      </c>
      <c r="B146" s="2">
        <f>Quarterly_Billing_Run!F146</f>
        <v/>
      </c>
      <c r="C146" s="2">
        <f>Quarterly_Billing_Run!A146</f>
        <v/>
      </c>
      <c r="D146" s="12">
        <f>Quarterly_Billing_Run!I146</f>
        <v/>
      </c>
      <c r="E146" s="13">
        <f>Quarterly_Billing_Run!P146</f>
        <v/>
      </c>
      <c r="F146" s="2">
        <f>IF($E146=0,0,MAX(0,TODAY()-$D146))</f>
        <v/>
      </c>
      <c r="G146" s="2">
        <f>IF($E146=0,"Current",IF($F146&lt;=30,"1-30",IF($F146&lt;=60,"31-60",IF($F146&lt;=90,"61-90","90+"))))</f>
        <v/>
      </c>
      <c r="H146" s="2">
        <f>Quarterly_Billing_Run!Q146</f>
        <v/>
      </c>
    </row>
    <row r="147">
      <c r="A147" s="2">
        <f>Quarterly_Billing_Run!D147</f>
        <v/>
      </c>
      <c r="B147" s="2">
        <f>Quarterly_Billing_Run!F147</f>
        <v/>
      </c>
      <c r="C147" s="2">
        <f>Quarterly_Billing_Run!A147</f>
        <v/>
      </c>
      <c r="D147" s="12">
        <f>Quarterly_Billing_Run!I147</f>
        <v/>
      </c>
      <c r="E147" s="13">
        <f>Quarterly_Billing_Run!P147</f>
        <v/>
      </c>
      <c r="F147" s="2">
        <f>IF($E147=0,0,MAX(0,TODAY()-$D147))</f>
        <v/>
      </c>
      <c r="G147" s="2">
        <f>IF($E147=0,"Current",IF($F147&lt;=30,"1-30",IF($F147&lt;=60,"31-60",IF($F147&lt;=90,"61-90","90+"))))</f>
        <v/>
      </c>
      <c r="H147" s="2">
        <f>Quarterly_Billing_Run!Q147</f>
        <v/>
      </c>
    </row>
    <row r="148">
      <c r="A148" s="2">
        <f>Quarterly_Billing_Run!D148</f>
        <v/>
      </c>
      <c r="B148" s="2">
        <f>Quarterly_Billing_Run!F148</f>
        <v/>
      </c>
      <c r="C148" s="2">
        <f>Quarterly_Billing_Run!A148</f>
        <v/>
      </c>
      <c r="D148" s="12">
        <f>Quarterly_Billing_Run!I148</f>
        <v/>
      </c>
      <c r="E148" s="13">
        <f>Quarterly_Billing_Run!P148</f>
        <v/>
      </c>
      <c r="F148" s="2">
        <f>IF($E148=0,0,MAX(0,TODAY()-$D148))</f>
        <v/>
      </c>
      <c r="G148" s="2">
        <f>IF($E148=0,"Current",IF($F148&lt;=30,"1-30",IF($F148&lt;=60,"31-60",IF($F148&lt;=90,"61-90","90+"))))</f>
        <v/>
      </c>
      <c r="H148" s="2">
        <f>Quarterly_Billing_Run!Q148</f>
        <v/>
      </c>
    </row>
    <row r="149">
      <c r="A149" s="2">
        <f>Quarterly_Billing_Run!D149</f>
        <v/>
      </c>
      <c r="B149" s="2">
        <f>Quarterly_Billing_Run!F149</f>
        <v/>
      </c>
      <c r="C149" s="2">
        <f>Quarterly_Billing_Run!A149</f>
        <v/>
      </c>
      <c r="D149" s="12">
        <f>Quarterly_Billing_Run!I149</f>
        <v/>
      </c>
      <c r="E149" s="13">
        <f>Quarterly_Billing_Run!P149</f>
        <v/>
      </c>
      <c r="F149" s="2">
        <f>IF($E149=0,0,MAX(0,TODAY()-$D149))</f>
        <v/>
      </c>
      <c r="G149" s="2">
        <f>IF($E149=0,"Current",IF($F149&lt;=30,"1-30",IF($F149&lt;=60,"31-60",IF($F149&lt;=90,"61-90","90+"))))</f>
        <v/>
      </c>
      <c r="H149" s="2">
        <f>Quarterly_Billing_Run!Q149</f>
        <v/>
      </c>
    </row>
    <row r="150">
      <c r="A150" s="2">
        <f>Quarterly_Billing_Run!D150</f>
        <v/>
      </c>
      <c r="B150" s="2">
        <f>Quarterly_Billing_Run!F150</f>
        <v/>
      </c>
      <c r="C150" s="2">
        <f>Quarterly_Billing_Run!A150</f>
        <v/>
      </c>
      <c r="D150" s="12">
        <f>Quarterly_Billing_Run!I150</f>
        <v/>
      </c>
      <c r="E150" s="13">
        <f>Quarterly_Billing_Run!P150</f>
        <v/>
      </c>
      <c r="F150" s="2">
        <f>IF($E150=0,0,MAX(0,TODAY()-$D150))</f>
        <v/>
      </c>
      <c r="G150" s="2">
        <f>IF($E150=0,"Current",IF($F150&lt;=30,"1-30",IF($F150&lt;=60,"31-60",IF($F150&lt;=90,"61-90","90+"))))</f>
        <v/>
      </c>
      <c r="H150" s="2">
        <f>Quarterly_Billing_Run!Q150</f>
        <v/>
      </c>
    </row>
    <row r="151">
      <c r="A151" s="2">
        <f>Quarterly_Billing_Run!D151</f>
        <v/>
      </c>
      <c r="B151" s="2">
        <f>Quarterly_Billing_Run!F151</f>
        <v/>
      </c>
      <c r="C151" s="2">
        <f>Quarterly_Billing_Run!A151</f>
        <v/>
      </c>
      <c r="D151" s="12">
        <f>Quarterly_Billing_Run!I151</f>
        <v/>
      </c>
      <c r="E151" s="13">
        <f>Quarterly_Billing_Run!P151</f>
        <v/>
      </c>
      <c r="F151" s="2">
        <f>IF($E151=0,0,MAX(0,TODAY()-$D151))</f>
        <v/>
      </c>
      <c r="G151" s="2">
        <f>IF($E151=0,"Current",IF($F151&lt;=30,"1-30",IF($F151&lt;=60,"31-60",IF($F151&lt;=90,"61-90","90+"))))</f>
        <v/>
      </c>
      <c r="H151" s="2">
        <f>Quarterly_Billing_Run!Q151</f>
        <v/>
      </c>
    </row>
    <row r="152">
      <c r="A152" s="2">
        <f>Quarterly_Billing_Run!D152</f>
        <v/>
      </c>
      <c r="B152" s="2">
        <f>Quarterly_Billing_Run!F152</f>
        <v/>
      </c>
      <c r="C152" s="2">
        <f>Quarterly_Billing_Run!A152</f>
        <v/>
      </c>
      <c r="D152" s="12">
        <f>Quarterly_Billing_Run!I152</f>
        <v/>
      </c>
      <c r="E152" s="13">
        <f>Quarterly_Billing_Run!P152</f>
        <v/>
      </c>
      <c r="F152" s="2">
        <f>IF($E152=0,0,MAX(0,TODAY()-$D152))</f>
        <v/>
      </c>
      <c r="G152" s="2">
        <f>IF($E152=0,"Current",IF($F152&lt;=30,"1-30",IF($F152&lt;=60,"31-60",IF($F152&lt;=90,"61-90","90+"))))</f>
        <v/>
      </c>
      <c r="H152" s="2">
        <f>Quarterly_Billing_Run!Q152</f>
        <v/>
      </c>
    </row>
    <row r="153">
      <c r="A153" s="2">
        <f>Quarterly_Billing_Run!D153</f>
        <v/>
      </c>
      <c r="B153" s="2">
        <f>Quarterly_Billing_Run!F153</f>
        <v/>
      </c>
      <c r="C153" s="2">
        <f>Quarterly_Billing_Run!A153</f>
        <v/>
      </c>
      <c r="D153" s="12">
        <f>Quarterly_Billing_Run!I153</f>
        <v/>
      </c>
      <c r="E153" s="13">
        <f>Quarterly_Billing_Run!P153</f>
        <v/>
      </c>
      <c r="F153" s="2">
        <f>IF($E153=0,0,MAX(0,TODAY()-$D153))</f>
        <v/>
      </c>
      <c r="G153" s="2">
        <f>IF($E153=0,"Current",IF($F153&lt;=30,"1-30",IF($F153&lt;=60,"31-60",IF($F153&lt;=90,"61-90","90+"))))</f>
        <v/>
      </c>
      <c r="H153" s="2">
        <f>Quarterly_Billing_Run!Q153</f>
        <v/>
      </c>
    </row>
    <row r="154">
      <c r="A154" s="2">
        <f>Quarterly_Billing_Run!D154</f>
        <v/>
      </c>
      <c r="B154" s="2">
        <f>Quarterly_Billing_Run!F154</f>
        <v/>
      </c>
      <c r="C154" s="2">
        <f>Quarterly_Billing_Run!A154</f>
        <v/>
      </c>
      <c r="D154" s="12">
        <f>Quarterly_Billing_Run!I154</f>
        <v/>
      </c>
      <c r="E154" s="13">
        <f>Quarterly_Billing_Run!P154</f>
        <v/>
      </c>
      <c r="F154" s="2">
        <f>IF($E154=0,0,MAX(0,TODAY()-$D154))</f>
        <v/>
      </c>
      <c r="G154" s="2">
        <f>IF($E154=0,"Current",IF($F154&lt;=30,"1-30",IF($F154&lt;=60,"31-60",IF($F154&lt;=90,"61-90","90+"))))</f>
        <v/>
      </c>
      <c r="H154" s="2">
        <f>Quarterly_Billing_Run!Q154</f>
        <v/>
      </c>
    </row>
    <row r="155">
      <c r="A155" s="2">
        <f>Quarterly_Billing_Run!D155</f>
        <v/>
      </c>
      <c r="B155" s="2">
        <f>Quarterly_Billing_Run!F155</f>
        <v/>
      </c>
      <c r="C155" s="2">
        <f>Quarterly_Billing_Run!A155</f>
        <v/>
      </c>
      <c r="D155" s="12">
        <f>Quarterly_Billing_Run!I155</f>
        <v/>
      </c>
      <c r="E155" s="13">
        <f>Quarterly_Billing_Run!P155</f>
        <v/>
      </c>
      <c r="F155" s="2">
        <f>IF($E155=0,0,MAX(0,TODAY()-$D155))</f>
        <v/>
      </c>
      <c r="G155" s="2">
        <f>IF($E155=0,"Current",IF($F155&lt;=30,"1-30",IF($F155&lt;=60,"31-60",IF($F155&lt;=90,"61-90","90+"))))</f>
        <v/>
      </c>
      <c r="H155" s="2">
        <f>Quarterly_Billing_Run!Q155</f>
        <v/>
      </c>
    </row>
    <row r="156">
      <c r="A156" s="2">
        <f>Quarterly_Billing_Run!D156</f>
        <v/>
      </c>
      <c r="B156" s="2">
        <f>Quarterly_Billing_Run!F156</f>
        <v/>
      </c>
      <c r="C156" s="2">
        <f>Quarterly_Billing_Run!A156</f>
        <v/>
      </c>
      <c r="D156" s="12">
        <f>Quarterly_Billing_Run!I156</f>
        <v/>
      </c>
      <c r="E156" s="13">
        <f>Quarterly_Billing_Run!P156</f>
        <v/>
      </c>
      <c r="F156" s="2">
        <f>IF($E156=0,0,MAX(0,TODAY()-$D156))</f>
        <v/>
      </c>
      <c r="G156" s="2">
        <f>IF($E156=0,"Current",IF($F156&lt;=30,"1-30",IF($F156&lt;=60,"31-60",IF($F156&lt;=90,"61-90","90+"))))</f>
        <v/>
      </c>
      <c r="H156" s="2">
        <f>Quarterly_Billing_Run!Q156</f>
        <v/>
      </c>
    </row>
    <row r="157">
      <c r="A157" s="2">
        <f>Quarterly_Billing_Run!D157</f>
        <v/>
      </c>
      <c r="B157" s="2">
        <f>Quarterly_Billing_Run!F157</f>
        <v/>
      </c>
      <c r="C157" s="2">
        <f>Quarterly_Billing_Run!A157</f>
        <v/>
      </c>
      <c r="D157" s="12">
        <f>Quarterly_Billing_Run!I157</f>
        <v/>
      </c>
      <c r="E157" s="13">
        <f>Quarterly_Billing_Run!P157</f>
        <v/>
      </c>
      <c r="F157" s="2">
        <f>IF($E157=0,0,MAX(0,TODAY()-$D157))</f>
        <v/>
      </c>
      <c r="G157" s="2">
        <f>IF($E157=0,"Current",IF($F157&lt;=30,"1-30",IF($F157&lt;=60,"31-60",IF($F157&lt;=90,"61-90","90+"))))</f>
        <v/>
      </c>
      <c r="H157" s="2">
        <f>Quarterly_Billing_Run!Q157</f>
        <v/>
      </c>
    </row>
    <row r="158">
      <c r="A158" s="2">
        <f>Quarterly_Billing_Run!D158</f>
        <v/>
      </c>
      <c r="B158" s="2">
        <f>Quarterly_Billing_Run!F158</f>
        <v/>
      </c>
      <c r="C158" s="2">
        <f>Quarterly_Billing_Run!A158</f>
        <v/>
      </c>
      <c r="D158" s="12">
        <f>Quarterly_Billing_Run!I158</f>
        <v/>
      </c>
      <c r="E158" s="13">
        <f>Quarterly_Billing_Run!P158</f>
        <v/>
      </c>
      <c r="F158" s="2">
        <f>IF($E158=0,0,MAX(0,TODAY()-$D158))</f>
        <v/>
      </c>
      <c r="G158" s="2">
        <f>IF($E158=0,"Current",IF($F158&lt;=30,"1-30",IF($F158&lt;=60,"31-60",IF($F158&lt;=90,"61-90","90+"))))</f>
        <v/>
      </c>
      <c r="H158" s="2">
        <f>Quarterly_Billing_Run!Q158</f>
        <v/>
      </c>
    </row>
    <row r="159">
      <c r="A159" s="2">
        <f>Quarterly_Billing_Run!D159</f>
        <v/>
      </c>
      <c r="B159" s="2">
        <f>Quarterly_Billing_Run!F159</f>
        <v/>
      </c>
      <c r="C159" s="2">
        <f>Quarterly_Billing_Run!A159</f>
        <v/>
      </c>
      <c r="D159" s="12">
        <f>Quarterly_Billing_Run!I159</f>
        <v/>
      </c>
      <c r="E159" s="13">
        <f>Quarterly_Billing_Run!P159</f>
        <v/>
      </c>
      <c r="F159" s="2">
        <f>IF($E159=0,0,MAX(0,TODAY()-$D159))</f>
        <v/>
      </c>
      <c r="G159" s="2">
        <f>IF($E159=0,"Current",IF($F159&lt;=30,"1-30",IF($F159&lt;=60,"31-60",IF($F159&lt;=90,"61-90","90+"))))</f>
        <v/>
      </c>
      <c r="H159" s="2">
        <f>Quarterly_Billing_Run!Q159</f>
        <v/>
      </c>
    </row>
    <row r="160">
      <c r="A160" s="2">
        <f>Quarterly_Billing_Run!D160</f>
        <v/>
      </c>
      <c r="B160" s="2">
        <f>Quarterly_Billing_Run!F160</f>
        <v/>
      </c>
      <c r="C160" s="2">
        <f>Quarterly_Billing_Run!A160</f>
        <v/>
      </c>
      <c r="D160" s="12">
        <f>Quarterly_Billing_Run!I160</f>
        <v/>
      </c>
      <c r="E160" s="13">
        <f>Quarterly_Billing_Run!P160</f>
        <v/>
      </c>
      <c r="F160" s="2">
        <f>IF($E160=0,0,MAX(0,TODAY()-$D160))</f>
        <v/>
      </c>
      <c r="G160" s="2">
        <f>IF($E160=0,"Current",IF($F160&lt;=30,"1-30",IF($F160&lt;=60,"31-60",IF($F160&lt;=90,"61-90","90+"))))</f>
        <v/>
      </c>
      <c r="H160" s="2">
        <f>Quarterly_Billing_Run!Q160</f>
        <v/>
      </c>
    </row>
    <row r="161">
      <c r="A161" s="2">
        <f>Quarterly_Billing_Run!D161</f>
        <v/>
      </c>
      <c r="B161" s="2">
        <f>Quarterly_Billing_Run!F161</f>
        <v/>
      </c>
      <c r="C161" s="2">
        <f>Quarterly_Billing_Run!A161</f>
        <v/>
      </c>
      <c r="D161" s="12">
        <f>Quarterly_Billing_Run!I161</f>
        <v/>
      </c>
      <c r="E161" s="13">
        <f>Quarterly_Billing_Run!P161</f>
        <v/>
      </c>
      <c r="F161" s="2">
        <f>IF($E161=0,0,MAX(0,TODAY()-$D161))</f>
        <v/>
      </c>
      <c r="G161" s="2">
        <f>IF($E161=0,"Current",IF($F161&lt;=30,"1-30",IF($F161&lt;=60,"31-60",IF($F161&lt;=90,"61-90","90+"))))</f>
        <v/>
      </c>
      <c r="H161" s="2">
        <f>Quarterly_Billing_Run!Q161</f>
        <v/>
      </c>
    </row>
    <row r="162">
      <c r="A162" s="2">
        <f>Quarterly_Billing_Run!D162</f>
        <v/>
      </c>
      <c r="B162" s="2">
        <f>Quarterly_Billing_Run!F162</f>
        <v/>
      </c>
      <c r="C162" s="2">
        <f>Quarterly_Billing_Run!A162</f>
        <v/>
      </c>
      <c r="D162" s="12">
        <f>Quarterly_Billing_Run!I162</f>
        <v/>
      </c>
      <c r="E162" s="13">
        <f>Quarterly_Billing_Run!P162</f>
        <v/>
      </c>
      <c r="F162" s="2">
        <f>IF($E162=0,0,MAX(0,TODAY()-$D162))</f>
        <v/>
      </c>
      <c r="G162" s="2">
        <f>IF($E162=0,"Current",IF($F162&lt;=30,"1-30",IF($F162&lt;=60,"31-60",IF($F162&lt;=90,"61-90","90+"))))</f>
        <v/>
      </c>
      <c r="H162" s="2">
        <f>Quarterly_Billing_Run!Q162</f>
        <v/>
      </c>
    </row>
    <row r="163">
      <c r="A163" s="2">
        <f>Quarterly_Billing_Run!D163</f>
        <v/>
      </c>
      <c r="B163" s="2">
        <f>Quarterly_Billing_Run!F163</f>
        <v/>
      </c>
      <c r="C163" s="2">
        <f>Quarterly_Billing_Run!A163</f>
        <v/>
      </c>
      <c r="D163" s="12">
        <f>Quarterly_Billing_Run!I163</f>
        <v/>
      </c>
      <c r="E163" s="13">
        <f>Quarterly_Billing_Run!P163</f>
        <v/>
      </c>
      <c r="F163" s="2">
        <f>IF($E163=0,0,MAX(0,TODAY()-$D163))</f>
        <v/>
      </c>
      <c r="G163" s="2">
        <f>IF($E163=0,"Current",IF($F163&lt;=30,"1-30",IF($F163&lt;=60,"31-60",IF($F163&lt;=90,"61-90","90+"))))</f>
        <v/>
      </c>
      <c r="H163" s="2">
        <f>Quarterly_Billing_Run!Q163</f>
        <v/>
      </c>
    </row>
    <row r="164">
      <c r="A164" s="2">
        <f>Quarterly_Billing_Run!D164</f>
        <v/>
      </c>
      <c r="B164" s="2">
        <f>Quarterly_Billing_Run!F164</f>
        <v/>
      </c>
      <c r="C164" s="2">
        <f>Quarterly_Billing_Run!A164</f>
        <v/>
      </c>
      <c r="D164" s="12">
        <f>Quarterly_Billing_Run!I164</f>
        <v/>
      </c>
      <c r="E164" s="13">
        <f>Quarterly_Billing_Run!P164</f>
        <v/>
      </c>
      <c r="F164" s="2">
        <f>IF($E164=0,0,MAX(0,TODAY()-$D164))</f>
        <v/>
      </c>
      <c r="G164" s="2">
        <f>IF($E164=0,"Current",IF($F164&lt;=30,"1-30",IF($F164&lt;=60,"31-60",IF($F164&lt;=90,"61-90","90+"))))</f>
        <v/>
      </c>
      <c r="H164" s="2">
        <f>Quarterly_Billing_Run!Q164</f>
        <v/>
      </c>
    </row>
    <row r="165">
      <c r="A165" s="2">
        <f>Quarterly_Billing_Run!D165</f>
        <v/>
      </c>
      <c r="B165" s="2">
        <f>Quarterly_Billing_Run!F165</f>
        <v/>
      </c>
      <c r="C165" s="2">
        <f>Quarterly_Billing_Run!A165</f>
        <v/>
      </c>
      <c r="D165" s="12">
        <f>Quarterly_Billing_Run!I165</f>
        <v/>
      </c>
      <c r="E165" s="13">
        <f>Quarterly_Billing_Run!P165</f>
        <v/>
      </c>
      <c r="F165" s="2">
        <f>IF($E165=0,0,MAX(0,TODAY()-$D165))</f>
        <v/>
      </c>
      <c r="G165" s="2">
        <f>IF($E165=0,"Current",IF($F165&lt;=30,"1-30",IF($F165&lt;=60,"31-60",IF($F165&lt;=90,"61-90","90+"))))</f>
        <v/>
      </c>
      <c r="H165" s="2">
        <f>Quarterly_Billing_Run!Q165</f>
        <v/>
      </c>
    </row>
    <row r="166">
      <c r="A166" s="2">
        <f>Quarterly_Billing_Run!D166</f>
        <v/>
      </c>
      <c r="B166" s="2">
        <f>Quarterly_Billing_Run!F166</f>
        <v/>
      </c>
      <c r="C166" s="2">
        <f>Quarterly_Billing_Run!A166</f>
        <v/>
      </c>
      <c r="D166" s="12">
        <f>Quarterly_Billing_Run!I166</f>
        <v/>
      </c>
      <c r="E166" s="13">
        <f>Quarterly_Billing_Run!P166</f>
        <v/>
      </c>
      <c r="F166" s="2">
        <f>IF($E166=0,0,MAX(0,TODAY()-$D166))</f>
        <v/>
      </c>
      <c r="G166" s="2">
        <f>IF($E166=0,"Current",IF($F166&lt;=30,"1-30",IF($F166&lt;=60,"31-60",IF($F166&lt;=90,"61-90","90+"))))</f>
        <v/>
      </c>
      <c r="H166" s="2">
        <f>Quarterly_Billing_Run!Q166</f>
        <v/>
      </c>
    </row>
    <row r="167">
      <c r="A167" s="2">
        <f>Quarterly_Billing_Run!D167</f>
        <v/>
      </c>
      <c r="B167" s="2">
        <f>Quarterly_Billing_Run!F167</f>
        <v/>
      </c>
      <c r="C167" s="2">
        <f>Quarterly_Billing_Run!A167</f>
        <v/>
      </c>
      <c r="D167" s="12">
        <f>Quarterly_Billing_Run!I167</f>
        <v/>
      </c>
      <c r="E167" s="13">
        <f>Quarterly_Billing_Run!P167</f>
        <v/>
      </c>
      <c r="F167" s="2">
        <f>IF($E167=0,0,MAX(0,TODAY()-$D167))</f>
        <v/>
      </c>
      <c r="G167" s="2">
        <f>IF($E167=0,"Current",IF($F167&lt;=30,"1-30",IF($F167&lt;=60,"31-60",IF($F167&lt;=90,"61-90","90+"))))</f>
        <v/>
      </c>
      <c r="H167" s="2">
        <f>Quarterly_Billing_Run!Q167</f>
        <v/>
      </c>
    </row>
    <row r="168">
      <c r="A168" s="2">
        <f>Quarterly_Billing_Run!D168</f>
        <v/>
      </c>
      <c r="B168" s="2">
        <f>Quarterly_Billing_Run!F168</f>
        <v/>
      </c>
      <c r="C168" s="2">
        <f>Quarterly_Billing_Run!A168</f>
        <v/>
      </c>
      <c r="D168" s="12">
        <f>Quarterly_Billing_Run!I168</f>
        <v/>
      </c>
      <c r="E168" s="13">
        <f>Quarterly_Billing_Run!P168</f>
        <v/>
      </c>
      <c r="F168" s="2">
        <f>IF($E168=0,0,MAX(0,TODAY()-$D168))</f>
        <v/>
      </c>
      <c r="G168" s="2">
        <f>IF($E168=0,"Current",IF($F168&lt;=30,"1-30",IF($F168&lt;=60,"31-60",IF($F168&lt;=90,"61-90","90+"))))</f>
        <v/>
      </c>
      <c r="H168" s="2">
        <f>Quarterly_Billing_Run!Q168</f>
        <v/>
      </c>
    </row>
    <row r="169">
      <c r="A169" s="2">
        <f>Quarterly_Billing_Run!D169</f>
        <v/>
      </c>
      <c r="B169" s="2">
        <f>Quarterly_Billing_Run!F169</f>
        <v/>
      </c>
      <c r="C169" s="2">
        <f>Quarterly_Billing_Run!A169</f>
        <v/>
      </c>
      <c r="D169" s="12">
        <f>Quarterly_Billing_Run!I169</f>
        <v/>
      </c>
      <c r="E169" s="13">
        <f>Quarterly_Billing_Run!P169</f>
        <v/>
      </c>
      <c r="F169" s="2">
        <f>IF($E169=0,0,MAX(0,TODAY()-$D169))</f>
        <v/>
      </c>
      <c r="G169" s="2">
        <f>IF($E169=0,"Current",IF($F169&lt;=30,"1-30",IF($F169&lt;=60,"31-60",IF($F169&lt;=90,"61-90","90+"))))</f>
        <v/>
      </c>
      <c r="H169" s="2">
        <f>Quarterly_Billing_Run!Q169</f>
        <v/>
      </c>
    </row>
    <row r="170">
      <c r="A170" s="2">
        <f>Quarterly_Billing_Run!D170</f>
        <v/>
      </c>
      <c r="B170" s="2">
        <f>Quarterly_Billing_Run!F170</f>
        <v/>
      </c>
      <c r="C170" s="2">
        <f>Quarterly_Billing_Run!A170</f>
        <v/>
      </c>
      <c r="D170" s="12">
        <f>Quarterly_Billing_Run!I170</f>
        <v/>
      </c>
      <c r="E170" s="13">
        <f>Quarterly_Billing_Run!P170</f>
        <v/>
      </c>
      <c r="F170" s="2">
        <f>IF($E170=0,0,MAX(0,TODAY()-$D170))</f>
        <v/>
      </c>
      <c r="G170" s="2">
        <f>IF($E170=0,"Current",IF($F170&lt;=30,"1-30",IF($F170&lt;=60,"31-60",IF($F170&lt;=90,"61-90","90+"))))</f>
        <v/>
      </c>
      <c r="H170" s="2">
        <f>Quarterly_Billing_Run!Q170</f>
        <v/>
      </c>
    </row>
    <row r="171">
      <c r="A171" s="2">
        <f>Quarterly_Billing_Run!D171</f>
        <v/>
      </c>
      <c r="B171" s="2">
        <f>Quarterly_Billing_Run!F171</f>
        <v/>
      </c>
      <c r="C171" s="2">
        <f>Quarterly_Billing_Run!A171</f>
        <v/>
      </c>
      <c r="D171" s="12">
        <f>Quarterly_Billing_Run!I171</f>
        <v/>
      </c>
      <c r="E171" s="13">
        <f>Quarterly_Billing_Run!P171</f>
        <v/>
      </c>
      <c r="F171" s="2">
        <f>IF($E171=0,0,MAX(0,TODAY()-$D171))</f>
        <v/>
      </c>
      <c r="G171" s="2">
        <f>IF($E171=0,"Current",IF($F171&lt;=30,"1-30",IF($F171&lt;=60,"31-60",IF($F171&lt;=90,"61-90","90+"))))</f>
        <v/>
      </c>
      <c r="H171" s="2">
        <f>Quarterly_Billing_Run!Q171</f>
        <v/>
      </c>
    </row>
    <row r="172">
      <c r="A172" s="2">
        <f>Quarterly_Billing_Run!D172</f>
        <v/>
      </c>
      <c r="B172" s="2">
        <f>Quarterly_Billing_Run!F172</f>
        <v/>
      </c>
      <c r="C172" s="2">
        <f>Quarterly_Billing_Run!A172</f>
        <v/>
      </c>
      <c r="D172" s="12">
        <f>Quarterly_Billing_Run!I172</f>
        <v/>
      </c>
      <c r="E172" s="13">
        <f>Quarterly_Billing_Run!P172</f>
        <v/>
      </c>
      <c r="F172" s="2">
        <f>IF($E172=0,0,MAX(0,TODAY()-$D172))</f>
        <v/>
      </c>
      <c r="G172" s="2">
        <f>IF($E172=0,"Current",IF($F172&lt;=30,"1-30",IF($F172&lt;=60,"31-60",IF($F172&lt;=90,"61-90","90+"))))</f>
        <v/>
      </c>
      <c r="H172" s="2">
        <f>Quarterly_Billing_Run!Q172</f>
        <v/>
      </c>
    </row>
    <row r="173">
      <c r="A173" s="2">
        <f>Quarterly_Billing_Run!D173</f>
        <v/>
      </c>
      <c r="B173" s="2">
        <f>Quarterly_Billing_Run!F173</f>
        <v/>
      </c>
      <c r="C173" s="2">
        <f>Quarterly_Billing_Run!A173</f>
        <v/>
      </c>
      <c r="D173" s="12">
        <f>Quarterly_Billing_Run!I173</f>
        <v/>
      </c>
      <c r="E173" s="13">
        <f>Quarterly_Billing_Run!P173</f>
        <v/>
      </c>
      <c r="F173" s="2">
        <f>IF($E173=0,0,MAX(0,TODAY()-$D173))</f>
        <v/>
      </c>
      <c r="G173" s="2">
        <f>IF($E173=0,"Current",IF($F173&lt;=30,"1-30",IF($F173&lt;=60,"31-60",IF($F173&lt;=90,"61-90","90+"))))</f>
        <v/>
      </c>
      <c r="H173" s="2">
        <f>Quarterly_Billing_Run!Q173</f>
        <v/>
      </c>
    </row>
    <row r="174">
      <c r="A174" s="2">
        <f>Quarterly_Billing_Run!D174</f>
        <v/>
      </c>
      <c r="B174" s="2">
        <f>Quarterly_Billing_Run!F174</f>
        <v/>
      </c>
      <c r="C174" s="2">
        <f>Quarterly_Billing_Run!A174</f>
        <v/>
      </c>
      <c r="D174" s="12">
        <f>Quarterly_Billing_Run!I174</f>
        <v/>
      </c>
      <c r="E174" s="13">
        <f>Quarterly_Billing_Run!P174</f>
        <v/>
      </c>
      <c r="F174" s="2">
        <f>IF($E174=0,0,MAX(0,TODAY()-$D174))</f>
        <v/>
      </c>
      <c r="G174" s="2">
        <f>IF($E174=0,"Current",IF($F174&lt;=30,"1-30",IF($F174&lt;=60,"31-60",IF($F174&lt;=90,"61-90","90+"))))</f>
        <v/>
      </c>
      <c r="H174" s="2">
        <f>Quarterly_Billing_Run!Q174</f>
        <v/>
      </c>
    </row>
    <row r="175">
      <c r="A175" s="2">
        <f>Quarterly_Billing_Run!D175</f>
        <v/>
      </c>
      <c r="B175" s="2">
        <f>Quarterly_Billing_Run!F175</f>
        <v/>
      </c>
      <c r="C175" s="2">
        <f>Quarterly_Billing_Run!A175</f>
        <v/>
      </c>
      <c r="D175" s="12">
        <f>Quarterly_Billing_Run!I175</f>
        <v/>
      </c>
      <c r="E175" s="13">
        <f>Quarterly_Billing_Run!P175</f>
        <v/>
      </c>
      <c r="F175" s="2">
        <f>IF($E175=0,0,MAX(0,TODAY()-$D175))</f>
        <v/>
      </c>
      <c r="G175" s="2">
        <f>IF($E175=0,"Current",IF($F175&lt;=30,"1-30",IF($F175&lt;=60,"31-60",IF($F175&lt;=90,"61-90","90+"))))</f>
        <v/>
      </c>
      <c r="H175" s="2">
        <f>Quarterly_Billing_Run!Q175</f>
        <v/>
      </c>
    </row>
    <row r="176">
      <c r="A176" s="2">
        <f>Quarterly_Billing_Run!D176</f>
        <v/>
      </c>
      <c r="B176" s="2">
        <f>Quarterly_Billing_Run!F176</f>
        <v/>
      </c>
      <c r="C176" s="2">
        <f>Quarterly_Billing_Run!A176</f>
        <v/>
      </c>
      <c r="D176" s="12">
        <f>Quarterly_Billing_Run!I176</f>
        <v/>
      </c>
      <c r="E176" s="13">
        <f>Quarterly_Billing_Run!P176</f>
        <v/>
      </c>
      <c r="F176" s="2">
        <f>IF($E176=0,0,MAX(0,TODAY()-$D176))</f>
        <v/>
      </c>
      <c r="G176" s="2">
        <f>IF($E176=0,"Current",IF($F176&lt;=30,"1-30",IF($F176&lt;=60,"31-60",IF($F176&lt;=90,"61-90","90+"))))</f>
        <v/>
      </c>
      <c r="H176" s="2">
        <f>Quarterly_Billing_Run!Q176</f>
        <v/>
      </c>
    </row>
    <row r="177">
      <c r="A177" s="2">
        <f>Quarterly_Billing_Run!D177</f>
        <v/>
      </c>
      <c r="B177" s="2">
        <f>Quarterly_Billing_Run!F177</f>
        <v/>
      </c>
      <c r="C177" s="2">
        <f>Quarterly_Billing_Run!A177</f>
        <v/>
      </c>
      <c r="D177" s="12">
        <f>Quarterly_Billing_Run!I177</f>
        <v/>
      </c>
      <c r="E177" s="13">
        <f>Quarterly_Billing_Run!P177</f>
        <v/>
      </c>
      <c r="F177" s="2">
        <f>IF($E177=0,0,MAX(0,TODAY()-$D177))</f>
        <v/>
      </c>
      <c r="G177" s="2">
        <f>IF($E177=0,"Current",IF($F177&lt;=30,"1-30",IF($F177&lt;=60,"31-60",IF($F177&lt;=90,"61-90","90+"))))</f>
        <v/>
      </c>
      <c r="H177" s="2">
        <f>Quarterly_Billing_Run!Q177</f>
        <v/>
      </c>
    </row>
    <row r="178">
      <c r="A178" s="2">
        <f>Quarterly_Billing_Run!D178</f>
        <v/>
      </c>
      <c r="B178" s="2">
        <f>Quarterly_Billing_Run!F178</f>
        <v/>
      </c>
      <c r="C178" s="2">
        <f>Quarterly_Billing_Run!A178</f>
        <v/>
      </c>
      <c r="D178" s="12">
        <f>Quarterly_Billing_Run!I178</f>
        <v/>
      </c>
      <c r="E178" s="13">
        <f>Quarterly_Billing_Run!P178</f>
        <v/>
      </c>
      <c r="F178" s="2">
        <f>IF($E178=0,0,MAX(0,TODAY()-$D178))</f>
        <v/>
      </c>
      <c r="G178" s="2">
        <f>IF($E178=0,"Current",IF($F178&lt;=30,"1-30",IF($F178&lt;=60,"31-60",IF($F178&lt;=90,"61-90","90+"))))</f>
        <v/>
      </c>
      <c r="H178" s="2">
        <f>Quarterly_Billing_Run!Q178</f>
        <v/>
      </c>
    </row>
    <row r="179">
      <c r="A179" s="2">
        <f>Quarterly_Billing_Run!D179</f>
        <v/>
      </c>
      <c r="B179" s="2">
        <f>Quarterly_Billing_Run!F179</f>
        <v/>
      </c>
      <c r="C179" s="2">
        <f>Quarterly_Billing_Run!A179</f>
        <v/>
      </c>
      <c r="D179" s="12">
        <f>Quarterly_Billing_Run!I179</f>
        <v/>
      </c>
      <c r="E179" s="13">
        <f>Quarterly_Billing_Run!P179</f>
        <v/>
      </c>
      <c r="F179" s="2">
        <f>IF($E179=0,0,MAX(0,TODAY()-$D179))</f>
        <v/>
      </c>
      <c r="G179" s="2">
        <f>IF($E179=0,"Current",IF($F179&lt;=30,"1-30",IF($F179&lt;=60,"31-60",IF($F179&lt;=90,"61-90","90+"))))</f>
        <v/>
      </c>
      <c r="H179" s="2">
        <f>Quarterly_Billing_Run!Q179</f>
        <v/>
      </c>
    </row>
    <row r="180">
      <c r="A180" s="2">
        <f>Quarterly_Billing_Run!D180</f>
        <v/>
      </c>
      <c r="B180" s="2">
        <f>Quarterly_Billing_Run!F180</f>
        <v/>
      </c>
      <c r="C180" s="2">
        <f>Quarterly_Billing_Run!A180</f>
        <v/>
      </c>
      <c r="D180" s="12">
        <f>Quarterly_Billing_Run!I180</f>
        <v/>
      </c>
      <c r="E180" s="13">
        <f>Quarterly_Billing_Run!P180</f>
        <v/>
      </c>
      <c r="F180" s="2">
        <f>IF($E180=0,0,MAX(0,TODAY()-$D180))</f>
        <v/>
      </c>
      <c r="G180" s="2">
        <f>IF($E180=0,"Current",IF($F180&lt;=30,"1-30",IF($F180&lt;=60,"31-60",IF($F180&lt;=90,"61-90","90+"))))</f>
        <v/>
      </c>
      <c r="H180" s="2">
        <f>Quarterly_Billing_Run!Q180</f>
        <v/>
      </c>
    </row>
    <row r="181">
      <c r="A181" s="2">
        <f>Quarterly_Billing_Run!D181</f>
        <v/>
      </c>
      <c r="B181" s="2">
        <f>Quarterly_Billing_Run!F181</f>
        <v/>
      </c>
      <c r="C181" s="2">
        <f>Quarterly_Billing_Run!A181</f>
        <v/>
      </c>
      <c r="D181" s="12">
        <f>Quarterly_Billing_Run!I181</f>
        <v/>
      </c>
      <c r="E181" s="13">
        <f>Quarterly_Billing_Run!P181</f>
        <v/>
      </c>
      <c r="F181" s="2">
        <f>IF($E181=0,0,MAX(0,TODAY()-$D181))</f>
        <v/>
      </c>
      <c r="G181" s="2">
        <f>IF($E181=0,"Current",IF($F181&lt;=30,"1-30",IF($F181&lt;=60,"31-60",IF($F181&lt;=90,"61-90","90+"))))</f>
        <v/>
      </c>
      <c r="H181" s="2">
        <f>Quarterly_Billing_Run!Q181</f>
        <v/>
      </c>
    </row>
    <row r="182">
      <c r="A182" s="2">
        <f>Quarterly_Billing_Run!D182</f>
        <v/>
      </c>
      <c r="B182" s="2">
        <f>Quarterly_Billing_Run!F182</f>
        <v/>
      </c>
      <c r="C182" s="2">
        <f>Quarterly_Billing_Run!A182</f>
        <v/>
      </c>
      <c r="D182" s="12">
        <f>Quarterly_Billing_Run!I182</f>
        <v/>
      </c>
      <c r="E182" s="13">
        <f>Quarterly_Billing_Run!P182</f>
        <v/>
      </c>
      <c r="F182" s="2">
        <f>IF($E182=0,0,MAX(0,TODAY()-$D182))</f>
        <v/>
      </c>
      <c r="G182" s="2">
        <f>IF($E182=0,"Current",IF($F182&lt;=30,"1-30",IF($F182&lt;=60,"31-60",IF($F182&lt;=90,"61-90","90+"))))</f>
        <v/>
      </c>
      <c r="H182" s="2">
        <f>Quarterly_Billing_Run!Q182</f>
        <v/>
      </c>
    </row>
    <row r="183">
      <c r="A183" s="2">
        <f>Quarterly_Billing_Run!D183</f>
        <v/>
      </c>
      <c r="B183" s="2">
        <f>Quarterly_Billing_Run!F183</f>
        <v/>
      </c>
      <c r="C183" s="2">
        <f>Quarterly_Billing_Run!A183</f>
        <v/>
      </c>
      <c r="D183" s="12">
        <f>Quarterly_Billing_Run!I183</f>
        <v/>
      </c>
      <c r="E183" s="13">
        <f>Quarterly_Billing_Run!P183</f>
        <v/>
      </c>
      <c r="F183" s="2">
        <f>IF($E183=0,0,MAX(0,TODAY()-$D183))</f>
        <v/>
      </c>
      <c r="G183" s="2">
        <f>IF($E183=0,"Current",IF($F183&lt;=30,"1-30",IF($F183&lt;=60,"31-60",IF($F183&lt;=90,"61-90","90+"))))</f>
        <v/>
      </c>
      <c r="H183" s="2">
        <f>Quarterly_Billing_Run!Q183</f>
        <v/>
      </c>
    </row>
    <row r="184">
      <c r="A184" s="2">
        <f>Quarterly_Billing_Run!D184</f>
        <v/>
      </c>
      <c r="B184" s="2">
        <f>Quarterly_Billing_Run!F184</f>
        <v/>
      </c>
      <c r="C184" s="2">
        <f>Quarterly_Billing_Run!A184</f>
        <v/>
      </c>
      <c r="D184" s="12">
        <f>Quarterly_Billing_Run!I184</f>
        <v/>
      </c>
      <c r="E184" s="13">
        <f>Quarterly_Billing_Run!P184</f>
        <v/>
      </c>
      <c r="F184" s="2">
        <f>IF($E184=0,0,MAX(0,TODAY()-$D184))</f>
        <v/>
      </c>
      <c r="G184" s="2">
        <f>IF($E184=0,"Current",IF($F184&lt;=30,"1-30",IF($F184&lt;=60,"31-60",IF($F184&lt;=90,"61-90","90+"))))</f>
        <v/>
      </c>
      <c r="H184" s="2">
        <f>Quarterly_Billing_Run!Q184</f>
        <v/>
      </c>
    </row>
    <row r="185">
      <c r="A185" s="2">
        <f>Quarterly_Billing_Run!D185</f>
        <v/>
      </c>
      <c r="B185" s="2">
        <f>Quarterly_Billing_Run!F185</f>
        <v/>
      </c>
      <c r="C185" s="2">
        <f>Quarterly_Billing_Run!A185</f>
        <v/>
      </c>
      <c r="D185" s="12">
        <f>Quarterly_Billing_Run!I185</f>
        <v/>
      </c>
      <c r="E185" s="13">
        <f>Quarterly_Billing_Run!P185</f>
        <v/>
      </c>
      <c r="F185" s="2">
        <f>IF($E185=0,0,MAX(0,TODAY()-$D185))</f>
        <v/>
      </c>
      <c r="G185" s="2">
        <f>IF($E185=0,"Current",IF($F185&lt;=30,"1-30",IF($F185&lt;=60,"31-60",IF($F185&lt;=90,"61-90","90+"))))</f>
        <v/>
      </c>
      <c r="H185" s="2">
        <f>Quarterly_Billing_Run!Q185</f>
        <v/>
      </c>
    </row>
    <row r="186">
      <c r="A186" s="2">
        <f>Quarterly_Billing_Run!D186</f>
        <v/>
      </c>
      <c r="B186" s="2">
        <f>Quarterly_Billing_Run!F186</f>
        <v/>
      </c>
      <c r="C186" s="2">
        <f>Quarterly_Billing_Run!A186</f>
        <v/>
      </c>
      <c r="D186" s="12">
        <f>Quarterly_Billing_Run!I186</f>
        <v/>
      </c>
      <c r="E186" s="13">
        <f>Quarterly_Billing_Run!P186</f>
        <v/>
      </c>
      <c r="F186" s="2">
        <f>IF($E186=0,0,MAX(0,TODAY()-$D186))</f>
        <v/>
      </c>
      <c r="G186" s="2">
        <f>IF($E186=0,"Current",IF($F186&lt;=30,"1-30",IF($F186&lt;=60,"31-60",IF($F186&lt;=90,"61-90","90+"))))</f>
        <v/>
      </c>
      <c r="H186" s="2">
        <f>Quarterly_Billing_Run!Q186</f>
        <v/>
      </c>
    </row>
    <row r="187">
      <c r="A187" s="2">
        <f>Quarterly_Billing_Run!D187</f>
        <v/>
      </c>
      <c r="B187" s="2">
        <f>Quarterly_Billing_Run!F187</f>
        <v/>
      </c>
      <c r="C187" s="2">
        <f>Quarterly_Billing_Run!A187</f>
        <v/>
      </c>
      <c r="D187" s="12">
        <f>Quarterly_Billing_Run!I187</f>
        <v/>
      </c>
      <c r="E187" s="13">
        <f>Quarterly_Billing_Run!P187</f>
        <v/>
      </c>
      <c r="F187" s="2">
        <f>IF($E187=0,0,MAX(0,TODAY()-$D187))</f>
        <v/>
      </c>
      <c r="G187" s="2">
        <f>IF($E187=0,"Current",IF($F187&lt;=30,"1-30",IF($F187&lt;=60,"31-60",IF($F187&lt;=90,"61-90","90+"))))</f>
        <v/>
      </c>
      <c r="H187" s="2">
        <f>Quarterly_Billing_Run!Q187</f>
        <v/>
      </c>
    </row>
    <row r="188">
      <c r="A188" s="2">
        <f>Quarterly_Billing_Run!D188</f>
        <v/>
      </c>
      <c r="B188" s="2">
        <f>Quarterly_Billing_Run!F188</f>
        <v/>
      </c>
      <c r="C188" s="2">
        <f>Quarterly_Billing_Run!A188</f>
        <v/>
      </c>
      <c r="D188" s="12">
        <f>Quarterly_Billing_Run!I188</f>
        <v/>
      </c>
      <c r="E188" s="13">
        <f>Quarterly_Billing_Run!P188</f>
        <v/>
      </c>
      <c r="F188" s="2">
        <f>IF($E188=0,0,MAX(0,TODAY()-$D188))</f>
        <v/>
      </c>
      <c r="G188" s="2">
        <f>IF($E188=0,"Current",IF($F188&lt;=30,"1-30",IF($F188&lt;=60,"31-60",IF($F188&lt;=90,"61-90","90+"))))</f>
        <v/>
      </c>
      <c r="H188" s="2">
        <f>Quarterly_Billing_Run!Q188</f>
        <v/>
      </c>
    </row>
    <row r="189">
      <c r="A189" s="2">
        <f>Quarterly_Billing_Run!D189</f>
        <v/>
      </c>
      <c r="B189" s="2">
        <f>Quarterly_Billing_Run!F189</f>
        <v/>
      </c>
      <c r="C189" s="2">
        <f>Quarterly_Billing_Run!A189</f>
        <v/>
      </c>
      <c r="D189" s="12">
        <f>Quarterly_Billing_Run!I189</f>
        <v/>
      </c>
      <c r="E189" s="13">
        <f>Quarterly_Billing_Run!P189</f>
        <v/>
      </c>
      <c r="F189" s="2">
        <f>IF($E189=0,0,MAX(0,TODAY()-$D189))</f>
        <v/>
      </c>
      <c r="G189" s="2">
        <f>IF($E189=0,"Current",IF($F189&lt;=30,"1-30",IF($F189&lt;=60,"31-60",IF($F189&lt;=90,"61-90","90+"))))</f>
        <v/>
      </c>
      <c r="H189" s="2">
        <f>Quarterly_Billing_Run!Q189</f>
        <v/>
      </c>
    </row>
    <row r="190">
      <c r="A190" s="2">
        <f>Quarterly_Billing_Run!D190</f>
        <v/>
      </c>
      <c r="B190" s="2">
        <f>Quarterly_Billing_Run!F190</f>
        <v/>
      </c>
      <c r="C190" s="2">
        <f>Quarterly_Billing_Run!A190</f>
        <v/>
      </c>
      <c r="D190" s="12">
        <f>Quarterly_Billing_Run!I190</f>
        <v/>
      </c>
      <c r="E190" s="13">
        <f>Quarterly_Billing_Run!P190</f>
        <v/>
      </c>
      <c r="F190" s="2">
        <f>IF($E190=0,0,MAX(0,TODAY()-$D190))</f>
        <v/>
      </c>
      <c r="G190" s="2">
        <f>IF($E190=0,"Current",IF($F190&lt;=30,"1-30",IF($F190&lt;=60,"31-60",IF($F190&lt;=90,"61-90","90+"))))</f>
        <v/>
      </c>
      <c r="H190" s="2">
        <f>Quarterly_Billing_Run!Q190</f>
        <v/>
      </c>
    </row>
    <row r="191">
      <c r="A191" s="2">
        <f>Quarterly_Billing_Run!D191</f>
        <v/>
      </c>
      <c r="B191" s="2">
        <f>Quarterly_Billing_Run!F191</f>
        <v/>
      </c>
      <c r="C191" s="2">
        <f>Quarterly_Billing_Run!A191</f>
        <v/>
      </c>
      <c r="D191" s="12">
        <f>Quarterly_Billing_Run!I191</f>
        <v/>
      </c>
      <c r="E191" s="13">
        <f>Quarterly_Billing_Run!P191</f>
        <v/>
      </c>
      <c r="F191" s="2">
        <f>IF($E191=0,0,MAX(0,TODAY()-$D191))</f>
        <v/>
      </c>
      <c r="G191" s="2">
        <f>IF($E191=0,"Current",IF($F191&lt;=30,"1-30",IF($F191&lt;=60,"31-60",IF($F191&lt;=90,"61-90","90+"))))</f>
        <v/>
      </c>
      <c r="H191" s="2">
        <f>Quarterly_Billing_Run!Q191</f>
        <v/>
      </c>
    </row>
    <row r="192">
      <c r="A192" s="2">
        <f>Quarterly_Billing_Run!D192</f>
        <v/>
      </c>
      <c r="B192" s="2">
        <f>Quarterly_Billing_Run!F192</f>
        <v/>
      </c>
      <c r="C192" s="2">
        <f>Quarterly_Billing_Run!A192</f>
        <v/>
      </c>
      <c r="D192" s="12">
        <f>Quarterly_Billing_Run!I192</f>
        <v/>
      </c>
      <c r="E192" s="13">
        <f>Quarterly_Billing_Run!P192</f>
        <v/>
      </c>
      <c r="F192" s="2">
        <f>IF($E192=0,0,MAX(0,TODAY()-$D192))</f>
        <v/>
      </c>
      <c r="G192" s="2">
        <f>IF($E192=0,"Current",IF($F192&lt;=30,"1-30",IF($F192&lt;=60,"31-60",IF($F192&lt;=90,"61-90","90+"))))</f>
        <v/>
      </c>
      <c r="H192" s="2">
        <f>Quarterly_Billing_Run!Q192</f>
        <v/>
      </c>
    </row>
    <row r="193">
      <c r="A193" s="2">
        <f>Quarterly_Billing_Run!D193</f>
        <v/>
      </c>
      <c r="B193" s="2">
        <f>Quarterly_Billing_Run!F193</f>
        <v/>
      </c>
      <c r="C193" s="2">
        <f>Quarterly_Billing_Run!A193</f>
        <v/>
      </c>
      <c r="D193" s="12">
        <f>Quarterly_Billing_Run!I193</f>
        <v/>
      </c>
      <c r="E193" s="13">
        <f>Quarterly_Billing_Run!P193</f>
        <v/>
      </c>
      <c r="F193" s="2">
        <f>IF($E193=0,0,MAX(0,TODAY()-$D193))</f>
        <v/>
      </c>
      <c r="G193" s="2">
        <f>IF($E193=0,"Current",IF($F193&lt;=30,"1-30",IF($F193&lt;=60,"31-60",IF($F193&lt;=90,"61-90","90+"))))</f>
        <v/>
      </c>
      <c r="H193" s="2">
        <f>Quarterly_Billing_Run!Q193</f>
        <v/>
      </c>
    </row>
    <row r="194">
      <c r="A194" s="2">
        <f>Quarterly_Billing_Run!D194</f>
        <v/>
      </c>
      <c r="B194" s="2">
        <f>Quarterly_Billing_Run!F194</f>
        <v/>
      </c>
      <c r="C194" s="2">
        <f>Quarterly_Billing_Run!A194</f>
        <v/>
      </c>
      <c r="D194" s="12">
        <f>Quarterly_Billing_Run!I194</f>
        <v/>
      </c>
      <c r="E194" s="13">
        <f>Quarterly_Billing_Run!P194</f>
        <v/>
      </c>
      <c r="F194" s="2">
        <f>IF($E194=0,0,MAX(0,TODAY()-$D194))</f>
        <v/>
      </c>
      <c r="G194" s="2">
        <f>IF($E194=0,"Current",IF($F194&lt;=30,"1-30",IF($F194&lt;=60,"31-60",IF($F194&lt;=90,"61-90","90+"))))</f>
        <v/>
      </c>
      <c r="H194" s="2">
        <f>Quarterly_Billing_Run!Q194</f>
        <v/>
      </c>
    </row>
    <row r="195">
      <c r="A195" s="2">
        <f>Quarterly_Billing_Run!D195</f>
        <v/>
      </c>
      <c r="B195" s="2">
        <f>Quarterly_Billing_Run!F195</f>
        <v/>
      </c>
      <c r="C195" s="2">
        <f>Quarterly_Billing_Run!A195</f>
        <v/>
      </c>
      <c r="D195" s="12">
        <f>Quarterly_Billing_Run!I195</f>
        <v/>
      </c>
      <c r="E195" s="13">
        <f>Quarterly_Billing_Run!P195</f>
        <v/>
      </c>
      <c r="F195" s="2">
        <f>IF($E195=0,0,MAX(0,TODAY()-$D195))</f>
        <v/>
      </c>
      <c r="G195" s="2">
        <f>IF($E195=0,"Current",IF($F195&lt;=30,"1-30",IF($F195&lt;=60,"31-60",IF($F195&lt;=90,"61-90","90+"))))</f>
        <v/>
      </c>
      <c r="H195" s="2">
        <f>Quarterly_Billing_Run!Q195</f>
        <v/>
      </c>
    </row>
    <row r="196">
      <c r="A196" s="2">
        <f>Quarterly_Billing_Run!D196</f>
        <v/>
      </c>
      <c r="B196" s="2">
        <f>Quarterly_Billing_Run!F196</f>
        <v/>
      </c>
      <c r="C196" s="2">
        <f>Quarterly_Billing_Run!A196</f>
        <v/>
      </c>
      <c r="D196" s="12">
        <f>Quarterly_Billing_Run!I196</f>
        <v/>
      </c>
      <c r="E196" s="13">
        <f>Quarterly_Billing_Run!P196</f>
        <v/>
      </c>
      <c r="F196" s="2">
        <f>IF($E196=0,0,MAX(0,TODAY()-$D196))</f>
        <v/>
      </c>
      <c r="G196" s="2">
        <f>IF($E196=0,"Current",IF($F196&lt;=30,"1-30",IF($F196&lt;=60,"31-60",IF($F196&lt;=90,"61-90","90+"))))</f>
        <v/>
      </c>
      <c r="H196" s="2">
        <f>Quarterly_Billing_Run!Q196</f>
        <v/>
      </c>
    </row>
    <row r="197">
      <c r="A197" s="2">
        <f>Quarterly_Billing_Run!D197</f>
        <v/>
      </c>
      <c r="B197" s="2">
        <f>Quarterly_Billing_Run!F197</f>
        <v/>
      </c>
      <c r="C197" s="2">
        <f>Quarterly_Billing_Run!A197</f>
        <v/>
      </c>
      <c r="D197" s="12">
        <f>Quarterly_Billing_Run!I197</f>
        <v/>
      </c>
      <c r="E197" s="13">
        <f>Quarterly_Billing_Run!P197</f>
        <v/>
      </c>
      <c r="F197" s="2">
        <f>IF($E197=0,0,MAX(0,TODAY()-$D197))</f>
        <v/>
      </c>
      <c r="G197" s="2">
        <f>IF($E197=0,"Current",IF($F197&lt;=30,"1-30",IF($F197&lt;=60,"31-60",IF($F197&lt;=90,"61-90","90+"))))</f>
        <v/>
      </c>
      <c r="H197" s="2">
        <f>Quarterly_Billing_Run!Q197</f>
        <v/>
      </c>
    </row>
    <row r="198">
      <c r="A198" s="2">
        <f>Quarterly_Billing_Run!D198</f>
        <v/>
      </c>
      <c r="B198" s="2">
        <f>Quarterly_Billing_Run!F198</f>
        <v/>
      </c>
      <c r="C198" s="2">
        <f>Quarterly_Billing_Run!A198</f>
        <v/>
      </c>
      <c r="D198" s="12">
        <f>Quarterly_Billing_Run!I198</f>
        <v/>
      </c>
      <c r="E198" s="13">
        <f>Quarterly_Billing_Run!P198</f>
        <v/>
      </c>
      <c r="F198" s="2">
        <f>IF($E198=0,0,MAX(0,TODAY()-$D198))</f>
        <v/>
      </c>
      <c r="G198" s="2">
        <f>IF($E198=0,"Current",IF($F198&lt;=30,"1-30",IF($F198&lt;=60,"31-60",IF($F198&lt;=90,"61-90","90+"))))</f>
        <v/>
      </c>
      <c r="H198" s="2">
        <f>Quarterly_Billing_Run!Q198</f>
        <v/>
      </c>
    </row>
    <row r="199">
      <c r="A199" s="2">
        <f>Quarterly_Billing_Run!D199</f>
        <v/>
      </c>
      <c r="B199" s="2">
        <f>Quarterly_Billing_Run!F199</f>
        <v/>
      </c>
      <c r="C199" s="2">
        <f>Quarterly_Billing_Run!A199</f>
        <v/>
      </c>
      <c r="D199" s="12">
        <f>Quarterly_Billing_Run!I199</f>
        <v/>
      </c>
      <c r="E199" s="13">
        <f>Quarterly_Billing_Run!P199</f>
        <v/>
      </c>
      <c r="F199" s="2">
        <f>IF($E199=0,0,MAX(0,TODAY()-$D199))</f>
        <v/>
      </c>
      <c r="G199" s="2">
        <f>IF($E199=0,"Current",IF($F199&lt;=30,"1-30",IF($F199&lt;=60,"31-60",IF($F199&lt;=90,"61-90","90+"))))</f>
        <v/>
      </c>
      <c r="H199" s="2">
        <f>Quarterly_Billing_Run!Q199</f>
        <v/>
      </c>
    </row>
    <row r="200">
      <c r="A200" s="2">
        <f>Quarterly_Billing_Run!D200</f>
        <v/>
      </c>
      <c r="B200" s="2">
        <f>Quarterly_Billing_Run!F200</f>
        <v/>
      </c>
      <c r="C200" s="2">
        <f>Quarterly_Billing_Run!A200</f>
        <v/>
      </c>
      <c r="D200" s="12">
        <f>Quarterly_Billing_Run!I200</f>
        <v/>
      </c>
      <c r="E200" s="13">
        <f>Quarterly_Billing_Run!P200</f>
        <v/>
      </c>
      <c r="F200" s="2">
        <f>IF($E200=0,0,MAX(0,TODAY()-$D200))</f>
        <v/>
      </c>
      <c r="G200" s="2">
        <f>IF($E200=0,"Current",IF($F200&lt;=30,"1-30",IF($F200&lt;=60,"31-60",IF($F200&lt;=90,"61-90","90+"))))</f>
        <v/>
      </c>
      <c r="H200" s="2">
        <f>Quarterly_Billing_Run!Q200</f>
        <v/>
      </c>
    </row>
    <row r="201">
      <c r="A201" s="2">
        <f>Quarterly_Billing_Run!D201</f>
        <v/>
      </c>
      <c r="B201" s="2">
        <f>Quarterly_Billing_Run!F201</f>
        <v/>
      </c>
      <c r="C201" s="2">
        <f>Quarterly_Billing_Run!A201</f>
        <v/>
      </c>
      <c r="D201" s="12">
        <f>Quarterly_Billing_Run!I201</f>
        <v/>
      </c>
      <c r="E201" s="13">
        <f>Quarterly_Billing_Run!P201</f>
        <v/>
      </c>
      <c r="F201" s="2">
        <f>IF($E201=0,0,MAX(0,TODAY()-$D201))</f>
        <v/>
      </c>
      <c r="G201" s="2">
        <f>IF($E201=0,"Current",IF($F201&lt;=30,"1-30",IF($F201&lt;=60,"31-60",IF($F201&lt;=90,"61-90","90+"))))</f>
        <v/>
      </c>
      <c r="H201" s="2">
        <f>Quarterly_Billing_Run!Q201</f>
        <v/>
      </c>
    </row>
    <row r="202">
      <c r="A202" s="2">
        <f>Quarterly_Billing_Run!D202</f>
        <v/>
      </c>
      <c r="B202" s="2">
        <f>Quarterly_Billing_Run!F202</f>
        <v/>
      </c>
      <c r="C202" s="2">
        <f>Quarterly_Billing_Run!A202</f>
        <v/>
      </c>
      <c r="D202" s="12">
        <f>Quarterly_Billing_Run!I202</f>
        <v/>
      </c>
      <c r="E202" s="13">
        <f>Quarterly_Billing_Run!P202</f>
        <v/>
      </c>
      <c r="F202" s="2">
        <f>IF($E202=0,0,MAX(0,TODAY()-$D202))</f>
        <v/>
      </c>
      <c r="G202" s="2">
        <f>IF($E202=0,"Current",IF($F202&lt;=30,"1-30",IF($F202&lt;=60,"31-60",IF($F202&lt;=90,"61-90","90+"))))</f>
        <v/>
      </c>
      <c r="H202" s="2">
        <f>Quarterly_Billing_Run!Q202</f>
        <v/>
      </c>
    </row>
    <row r="203">
      <c r="A203" s="2">
        <f>Quarterly_Billing_Run!D203</f>
        <v/>
      </c>
      <c r="B203" s="2">
        <f>Quarterly_Billing_Run!F203</f>
        <v/>
      </c>
      <c r="C203" s="2">
        <f>Quarterly_Billing_Run!A203</f>
        <v/>
      </c>
      <c r="D203" s="12">
        <f>Quarterly_Billing_Run!I203</f>
        <v/>
      </c>
      <c r="E203" s="13">
        <f>Quarterly_Billing_Run!P203</f>
        <v/>
      </c>
      <c r="F203" s="2">
        <f>IF($E203=0,0,MAX(0,TODAY()-$D203))</f>
        <v/>
      </c>
      <c r="G203" s="2">
        <f>IF($E203=0,"Current",IF($F203&lt;=30,"1-30",IF($F203&lt;=60,"31-60",IF($F203&lt;=90,"61-90","90+"))))</f>
        <v/>
      </c>
      <c r="H203" s="2">
        <f>Quarterly_Billing_Run!Q203</f>
        <v/>
      </c>
    </row>
    <row r="204">
      <c r="A204" s="2">
        <f>Quarterly_Billing_Run!D204</f>
        <v/>
      </c>
      <c r="B204" s="2">
        <f>Quarterly_Billing_Run!F204</f>
        <v/>
      </c>
      <c r="C204" s="2">
        <f>Quarterly_Billing_Run!A204</f>
        <v/>
      </c>
      <c r="D204" s="12">
        <f>Quarterly_Billing_Run!I204</f>
        <v/>
      </c>
      <c r="E204" s="13">
        <f>Quarterly_Billing_Run!P204</f>
        <v/>
      </c>
      <c r="F204" s="2">
        <f>IF($E204=0,0,MAX(0,TODAY()-$D204))</f>
        <v/>
      </c>
      <c r="G204" s="2">
        <f>IF($E204=0,"Current",IF($F204&lt;=30,"1-30",IF($F204&lt;=60,"31-60",IF($F204&lt;=90,"61-90","90+"))))</f>
        <v/>
      </c>
      <c r="H204" s="2">
        <f>Quarterly_Billing_Run!Q204</f>
        <v/>
      </c>
    </row>
    <row r="205">
      <c r="A205" s="2">
        <f>Quarterly_Billing_Run!D205</f>
        <v/>
      </c>
      <c r="B205" s="2">
        <f>Quarterly_Billing_Run!F205</f>
        <v/>
      </c>
      <c r="C205" s="2">
        <f>Quarterly_Billing_Run!A205</f>
        <v/>
      </c>
      <c r="D205" s="12">
        <f>Quarterly_Billing_Run!I205</f>
        <v/>
      </c>
      <c r="E205" s="13">
        <f>Quarterly_Billing_Run!P205</f>
        <v/>
      </c>
      <c r="F205" s="2">
        <f>IF($E205=0,0,MAX(0,TODAY()-$D205))</f>
        <v/>
      </c>
      <c r="G205" s="2">
        <f>IF($E205=0,"Current",IF($F205&lt;=30,"1-30",IF($F205&lt;=60,"31-60",IF($F205&lt;=90,"61-90","90+"))))</f>
        <v/>
      </c>
      <c r="H205" s="2">
        <f>Quarterly_Billing_Run!Q205</f>
        <v/>
      </c>
    </row>
    <row r="206">
      <c r="A206" s="2">
        <f>Quarterly_Billing_Run!D206</f>
        <v/>
      </c>
      <c r="B206" s="2">
        <f>Quarterly_Billing_Run!F206</f>
        <v/>
      </c>
      <c r="C206" s="2">
        <f>Quarterly_Billing_Run!A206</f>
        <v/>
      </c>
      <c r="D206" s="12">
        <f>Quarterly_Billing_Run!I206</f>
        <v/>
      </c>
      <c r="E206" s="13">
        <f>Quarterly_Billing_Run!P206</f>
        <v/>
      </c>
      <c r="F206" s="2">
        <f>IF($E206=0,0,MAX(0,TODAY()-$D206))</f>
        <v/>
      </c>
      <c r="G206" s="2">
        <f>IF($E206=0,"Current",IF($F206&lt;=30,"1-30",IF($F206&lt;=60,"31-60",IF($F206&lt;=90,"61-90","90+"))))</f>
        <v/>
      </c>
      <c r="H206" s="2">
        <f>Quarterly_Billing_Run!Q206</f>
        <v/>
      </c>
    </row>
    <row r="207">
      <c r="A207" s="2">
        <f>Quarterly_Billing_Run!D207</f>
        <v/>
      </c>
      <c r="B207" s="2">
        <f>Quarterly_Billing_Run!F207</f>
        <v/>
      </c>
      <c r="C207" s="2">
        <f>Quarterly_Billing_Run!A207</f>
        <v/>
      </c>
      <c r="D207" s="12">
        <f>Quarterly_Billing_Run!I207</f>
        <v/>
      </c>
      <c r="E207" s="13">
        <f>Quarterly_Billing_Run!P207</f>
        <v/>
      </c>
      <c r="F207" s="2">
        <f>IF($E207=0,0,MAX(0,TODAY()-$D207))</f>
        <v/>
      </c>
      <c r="G207" s="2">
        <f>IF($E207=0,"Current",IF($F207&lt;=30,"1-30",IF($F207&lt;=60,"31-60",IF($F207&lt;=90,"61-90","90+"))))</f>
        <v/>
      </c>
      <c r="H207" s="2">
        <f>Quarterly_Billing_Run!Q207</f>
        <v/>
      </c>
    </row>
    <row r="208">
      <c r="A208" s="2">
        <f>Quarterly_Billing_Run!D208</f>
        <v/>
      </c>
      <c r="B208" s="2">
        <f>Quarterly_Billing_Run!F208</f>
        <v/>
      </c>
      <c r="C208" s="2">
        <f>Quarterly_Billing_Run!A208</f>
        <v/>
      </c>
      <c r="D208" s="12">
        <f>Quarterly_Billing_Run!I208</f>
        <v/>
      </c>
      <c r="E208" s="13">
        <f>Quarterly_Billing_Run!P208</f>
        <v/>
      </c>
      <c r="F208" s="2">
        <f>IF($E208=0,0,MAX(0,TODAY()-$D208))</f>
        <v/>
      </c>
      <c r="G208" s="2">
        <f>IF($E208=0,"Current",IF($F208&lt;=30,"1-30",IF($F208&lt;=60,"31-60",IF($F208&lt;=90,"61-90","90+"))))</f>
        <v/>
      </c>
      <c r="H208" s="2">
        <f>Quarterly_Billing_Run!Q208</f>
        <v/>
      </c>
    </row>
    <row r="209">
      <c r="A209" s="2">
        <f>Quarterly_Billing_Run!D209</f>
        <v/>
      </c>
      <c r="B209" s="2">
        <f>Quarterly_Billing_Run!F209</f>
        <v/>
      </c>
      <c r="C209" s="2">
        <f>Quarterly_Billing_Run!A209</f>
        <v/>
      </c>
      <c r="D209" s="12">
        <f>Quarterly_Billing_Run!I209</f>
        <v/>
      </c>
      <c r="E209" s="13">
        <f>Quarterly_Billing_Run!P209</f>
        <v/>
      </c>
      <c r="F209" s="2">
        <f>IF($E209=0,0,MAX(0,TODAY()-$D209))</f>
        <v/>
      </c>
      <c r="G209" s="2">
        <f>IF($E209=0,"Current",IF($F209&lt;=30,"1-30",IF($F209&lt;=60,"31-60",IF($F209&lt;=90,"61-90","90+"))))</f>
        <v/>
      </c>
      <c r="H209" s="2">
        <f>Quarterly_Billing_Run!Q209</f>
        <v/>
      </c>
    </row>
    <row r="210">
      <c r="A210" s="2">
        <f>Quarterly_Billing_Run!D210</f>
        <v/>
      </c>
      <c r="B210" s="2">
        <f>Quarterly_Billing_Run!F210</f>
        <v/>
      </c>
      <c r="C210" s="2">
        <f>Quarterly_Billing_Run!A210</f>
        <v/>
      </c>
      <c r="D210" s="12">
        <f>Quarterly_Billing_Run!I210</f>
        <v/>
      </c>
      <c r="E210" s="13">
        <f>Quarterly_Billing_Run!P210</f>
        <v/>
      </c>
      <c r="F210" s="2">
        <f>IF($E210=0,0,MAX(0,TODAY()-$D210))</f>
        <v/>
      </c>
      <c r="G210" s="2">
        <f>IF($E210=0,"Current",IF($F210&lt;=30,"1-30",IF($F210&lt;=60,"31-60",IF($F210&lt;=90,"61-90","90+"))))</f>
        <v/>
      </c>
      <c r="H210" s="2">
        <f>Quarterly_Billing_Run!Q210</f>
        <v/>
      </c>
    </row>
    <row r="211">
      <c r="A211" s="2">
        <f>Quarterly_Billing_Run!D211</f>
        <v/>
      </c>
      <c r="B211" s="2">
        <f>Quarterly_Billing_Run!F211</f>
        <v/>
      </c>
      <c r="C211" s="2">
        <f>Quarterly_Billing_Run!A211</f>
        <v/>
      </c>
      <c r="D211" s="12">
        <f>Quarterly_Billing_Run!I211</f>
        <v/>
      </c>
      <c r="E211" s="13">
        <f>Quarterly_Billing_Run!P211</f>
        <v/>
      </c>
      <c r="F211" s="2">
        <f>IF($E211=0,0,MAX(0,TODAY()-$D211))</f>
        <v/>
      </c>
      <c r="G211" s="2">
        <f>IF($E211=0,"Current",IF($F211&lt;=30,"1-30",IF($F211&lt;=60,"31-60",IF($F211&lt;=90,"61-90","90+"))))</f>
        <v/>
      </c>
      <c r="H211" s="2">
        <f>Quarterly_Billing_Run!Q211</f>
        <v/>
      </c>
    </row>
    <row r="212">
      <c r="A212" s="2">
        <f>Quarterly_Billing_Run!D212</f>
        <v/>
      </c>
      <c r="B212" s="2">
        <f>Quarterly_Billing_Run!F212</f>
        <v/>
      </c>
      <c r="C212" s="2">
        <f>Quarterly_Billing_Run!A212</f>
        <v/>
      </c>
      <c r="D212" s="12">
        <f>Quarterly_Billing_Run!I212</f>
        <v/>
      </c>
      <c r="E212" s="13">
        <f>Quarterly_Billing_Run!P212</f>
        <v/>
      </c>
      <c r="F212" s="2">
        <f>IF($E212=0,0,MAX(0,TODAY()-$D212))</f>
        <v/>
      </c>
      <c r="G212" s="2">
        <f>IF($E212=0,"Current",IF($F212&lt;=30,"1-30",IF($F212&lt;=60,"31-60",IF($F212&lt;=90,"61-90","90+"))))</f>
        <v/>
      </c>
      <c r="H212" s="2">
        <f>Quarterly_Billing_Run!Q212</f>
        <v/>
      </c>
    </row>
    <row r="213">
      <c r="A213" s="2">
        <f>Quarterly_Billing_Run!D213</f>
        <v/>
      </c>
      <c r="B213" s="2">
        <f>Quarterly_Billing_Run!F213</f>
        <v/>
      </c>
      <c r="C213" s="2">
        <f>Quarterly_Billing_Run!A213</f>
        <v/>
      </c>
      <c r="D213" s="12">
        <f>Quarterly_Billing_Run!I213</f>
        <v/>
      </c>
      <c r="E213" s="13">
        <f>Quarterly_Billing_Run!P213</f>
        <v/>
      </c>
      <c r="F213" s="2">
        <f>IF($E213=0,0,MAX(0,TODAY()-$D213))</f>
        <v/>
      </c>
      <c r="G213" s="2">
        <f>IF($E213=0,"Current",IF($F213&lt;=30,"1-30",IF($F213&lt;=60,"31-60",IF($F213&lt;=90,"61-90","90+"))))</f>
        <v/>
      </c>
      <c r="H213" s="2">
        <f>Quarterly_Billing_Run!Q213</f>
        <v/>
      </c>
    </row>
    <row r="214">
      <c r="A214" s="2">
        <f>Quarterly_Billing_Run!D214</f>
        <v/>
      </c>
      <c r="B214" s="2">
        <f>Quarterly_Billing_Run!F214</f>
        <v/>
      </c>
      <c r="C214" s="2">
        <f>Quarterly_Billing_Run!A214</f>
        <v/>
      </c>
      <c r="D214" s="12">
        <f>Quarterly_Billing_Run!I214</f>
        <v/>
      </c>
      <c r="E214" s="13">
        <f>Quarterly_Billing_Run!P214</f>
        <v/>
      </c>
      <c r="F214" s="2">
        <f>IF($E214=0,0,MAX(0,TODAY()-$D214))</f>
        <v/>
      </c>
      <c r="G214" s="2">
        <f>IF($E214=0,"Current",IF($F214&lt;=30,"1-30",IF($F214&lt;=60,"31-60",IF($F214&lt;=90,"61-90","90+"))))</f>
        <v/>
      </c>
      <c r="H214" s="2">
        <f>Quarterly_Billing_Run!Q214</f>
        <v/>
      </c>
    </row>
    <row r="215">
      <c r="A215" s="2">
        <f>Quarterly_Billing_Run!D215</f>
        <v/>
      </c>
      <c r="B215" s="2">
        <f>Quarterly_Billing_Run!F215</f>
        <v/>
      </c>
      <c r="C215" s="2">
        <f>Quarterly_Billing_Run!A215</f>
        <v/>
      </c>
      <c r="D215" s="12">
        <f>Quarterly_Billing_Run!I215</f>
        <v/>
      </c>
      <c r="E215" s="13">
        <f>Quarterly_Billing_Run!P215</f>
        <v/>
      </c>
      <c r="F215" s="2">
        <f>IF($E215=0,0,MAX(0,TODAY()-$D215))</f>
        <v/>
      </c>
      <c r="G215" s="2">
        <f>IF($E215=0,"Current",IF($F215&lt;=30,"1-30",IF($F215&lt;=60,"31-60",IF($F215&lt;=90,"61-90","90+"))))</f>
        <v/>
      </c>
      <c r="H215" s="2">
        <f>Quarterly_Billing_Run!Q215</f>
        <v/>
      </c>
    </row>
    <row r="216">
      <c r="A216" s="2">
        <f>Quarterly_Billing_Run!D216</f>
        <v/>
      </c>
      <c r="B216" s="2">
        <f>Quarterly_Billing_Run!F216</f>
        <v/>
      </c>
      <c r="C216" s="2">
        <f>Quarterly_Billing_Run!A216</f>
        <v/>
      </c>
      <c r="D216" s="12">
        <f>Quarterly_Billing_Run!I216</f>
        <v/>
      </c>
      <c r="E216" s="13">
        <f>Quarterly_Billing_Run!P216</f>
        <v/>
      </c>
      <c r="F216" s="2">
        <f>IF($E216=0,0,MAX(0,TODAY()-$D216))</f>
        <v/>
      </c>
      <c r="G216" s="2">
        <f>IF($E216=0,"Current",IF($F216&lt;=30,"1-30",IF($F216&lt;=60,"31-60",IF($F216&lt;=90,"61-90","90+"))))</f>
        <v/>
      </c>
      <c r="H216" s="2">
        <f>Quarterly_Billing_Run!Q216</f>
        <v/>
      </c>
    </row>
    <row r="217">
      <c r="A217" s="2">
        <f>Quarterly_Billing_Run!D217</f>
        <v/>
      </c>
      <c r="B217" s="2">
        <f>Quarterly_Billing_Run!F217</f>
        <v/>
      </c>
      <c r="C217" s="2">
        <f>Quarterly_Billing_Run!A217</f>
        <v/>
      </c>
      <c r="D217" s="12">
        <f>Quarterly_Billing_Run!I217</f>
        <v/>
      </c>
      <c r="E217" s="13">
        <f>Quarterly_Billing_Run!P217</f>
        <v/>
      </c>
      <c r="F217" s="2">
        <f>IF($E217=0,0,MAX(0,TODAY()-$D217))</f>
        <v/>
      </c>
      <c r="G217" s="2">
        <f>IF($E217=0,"Current",IF($F217&lt;=30,"1-30",IF($F217&lt;=60,"31-60",IF($F217&lt;=90,"61-90","90+"))))</f>
        <v/>
      </c>
      <c r="H217" s="2">
        <f>Quarterly_Billing_Run!Q217</f>
        <v/>
      </c>
    </row>
    <row r="218">
      <c r="A218" s="2">
        <f>Quarterly_Billing_Run!D218</f>
        <v/>
      </c>
      <c r="B218" s="2">
        <f>Quarterly_Billing_Run!F218</f>
        <v/>
      </c>
      <c r="C218" s="2">
        <f>Quarterly_Billing_Run!A218</f>
        <v/>
      </c>
      <c r="D218" s="12">
        <f>Quarterly_Billing_Run!I218</f>
        <v/>
      </c>
      <c r="E218" s="13">
        <f>Quarterly_Billing_Run!P218</f>
        <v/>
      </c>
      <c r="F218" s="2">
        <f>IF($E218=0,0,MAX(0,TODAY()-$D218))</f>
        <v/>
      </c>
      <c r="G218" s="2">
        <f>IF($E218=0,"Current",IF($F218&lt;=30,"1-30",IF($F218&lt;=60,"31-60",IF($F218&lt;=90,"61-90","90+"))))</f>
        <v/>
      </c>
      <c r="H218" s="2">
        <f>Quarterly_Billing_Run!Q218</f>
        <v/>
      </c>
    </row>
    <row r="219">
      <c r="A219" s="2">
        <f>Quarterly_Billing_Run!D219</f>
        <v/>
      </c>
      <c r="B219" s="2">
        <f>Quarterly_Billing_Run!F219</f>
        <v/>
      </c>
      <c r="C219" s="2">
        <f>Quarterly_Billing_Run!A219</f>
        <v/>
      </c>
      <c r="D219" s="12">
        <f>Quarterly_Billing_Run!I219</f>
        <v/>
      </c>
      <c r="E219" s="13">
        <f>Quarterly_Billing_Run!P219</f>
        <v/>
      </c>
      <c r="F219" s="2">
        <f>IF($E219=0,0,MAX(0,TODAY()-$D219))</f>
        <v/>
      </c>
      <c r="G219" s="2">
        <f>IF($E219=0,"Current",IF($F219&lt;=30,"1-30",IF($F219&lt;=60,"31-60",IF($F219&lt;=90,"61-90","90+"))))</f>
        <v/>
      </c>
      <c r="H219" s="2">
        <f>Quarterly_Billing_Run!Q219</f>
        <v/>
      </c>
    </row>
    <row r="220">
      <c r="A220" s="2">
        <f>Quarterly_Billing_Run!D220</f>
        <v/>
      </c>
      <c r="B220" s="2">
        <f>Quarterly_Billing_Run!F220</f>
        <v/>
      </c>
      <c r="C220" s="2">
        <f>Quarterly_Billing_Run!A220</f>
        <v/>
      </c>
      <c r="D220" s="12">
        <f>Quarterly_Billing_Run!I220</f>
        <v/>
      </c>
      <c r="E220" s="13">
        <f>Quarterly_Billing_Run!P220</f>
        <v/>
      </c>
      <c r="F220" s="2">
        <f>IF($E220=0,0,MAX(0,TODAY()-$D220))</f>
        <v/>
      </c>
      <c r="G220" s="2">
        <f>IF($E220=0,"Current",IF($F220&lt;=30,"1-30",IF($F220&lt;=60,"31-60",IF($F220&lt;=90,"61-90","90+"))))</f>
        <v/>
      </c>
      <c r="H220" s="2">
        <f>Quarterly_Billing_Run!Q220</f>
        <v/>
      </c>
    </row>
    <row r="221">
      <c r="A221" s="2">
        <f>Quarterly_Billing_Run!D221</f>
        <v/>
      </c>
      <c r="B221" s="2">
        <f>Quarterly_Billing_Run!F221</f>
        <v/>
      </c>
      <c r="C221" s="2">
        <f>Quarterly_Billing_Run!A221</f>
        <v/>
      </c>
      <c r="D221" s="12">
        <f>Quarterly_Billing_Run!I221</f>
        <v/>
      </c>
      <c r="E221" s="13">
        <f>Quarterly_Billing_Run!P221</f>
        <v/>
      </c>
      <c r="F221" s="2">
        <f>IF($E221=0,0,MAX(0,TODAY()-$D221))</f>
        <v/>
      </c>
      <c r="G221" s="2">
        <f>IF($E221=0,"Current",IF($F221&lt;=30,"1-30",IF($F221&lt;=60,"31-60",IF($F221&lt;=90,"61-90","90+"))))</f>
        <v/>
      </c>
      <c r="H221" s="2">
        <f>Quarterly_Billing_Run!Q221</f>
        <v/>
      </c>
    </row>
    <row r="222">
      <c r="A222" s="2">
        <f>Quarterly_Billing_Run!D222</f>
        <v/>
      </c>
      <c r="B222" s="2">
        <f>Quarterly_Billing_Run!F222</f>
        <v/>
      </c>
      <c r="C222" s="2">
        <f>Quarterly_Billing_Run!A222</f>
        <v/>
      </c>
      <c r="D222" s="12">
        <f>Quarterly_Billing_Run!I222</f>
        <v/>
      </c>
      <c r="E222" s="13">
        <f>Quarterly_Billing_Run!P222</f>
        <v/>
      </c>
      <c r="F222" s="2">
        <f>IF($E222=0,0,MAX(0,TODAY()-$D222))</f>
        <v/>
      </c>
      <c r="G222" s="2">
        <f>IF($E222=0,"Current",IF($F222&lt;=30,"1-30",IF($F222&lt;=60,"31-60",IF($F222&lt;=90,"61-90","90+"))))</f>
        <v/>
      </c>
      <c r="H222" s="2">
        <f>Quarterly_Billing_Run!Q222</f>
        <v/>
      </c>
    </row>
    <row r="223">
      <c r="A223" s="2">
        <f>Quarterly_Billing_Run!D223</f>
        <v/>
      </c>
      <c r="B223" s="2">
        <f>Quarterly_Billing_Run!F223</f>
        <v/>
      </c>
      <c r="C223" s="2">
        <f>Quarterly_Billing_Run!A223</f>
        <v/>
      </c>
      <c r="D223" s="12">
        <f>Quarterly_Billing_Run!I223</f>
        <v/>
      </c>
      <c r="E223" s="13">
        <f>Quarterly_Billing_Run!P223</f>
        <v/>
      </c>
      <c r="F223" s="2">
        <f>IF($E223=0,0,MAX(0,TODAY()-$D223))</f>
        <v/>
      </c>
      <c r="G223" s="2">
        <f>IF($E223=0,"Current",IF($F223&lt;=30,"1-30",IF($F223&lt;=60,"31-60",IF($F223&lt;=90,"61-90","90+"))))</f>
        <v/>
      </c>
      <c r="H223" s="2">
        <f>Quarterly_Billing_Run!Q223</f>
        <v/>
      </c>
    </row>
    <row r="224">
      <c r="A224" s="2">
        <f>Quarterly_Billing_Run!D224</f>
        <v/>
      </c>
      <c r="B224" s="2">
        <f>Quarterly_Billing_Run!F224</f>
        <v/>
      </c>
      <c r="C224" s="2">
        <f>Quarterly_Billing_Run!A224</f>
        <v/>
      </c>
      <c r="D224" s="12">
        <f>Quarterly_Billing_Run!I224</f>
        <v/>
      </c>
      <c r="E224" s="13">
        <f>Quarterly_Billing_Run!P224</f>
        <v/>
      </c>
      <c r="F224" s="2">
        <f>IF($E224=0,0,MAX(0,TODAY()-$D224))</f>
        <v/>
      </c>
      <c r="G224" s="2">
        <f>IF($E224=0,"Current",IF($F224&lt;=30,"1-30",IF($F224&lt;=60,"31-60",IF($F224&lt;=90,"61-90","90+"))))</f>
        <v/>
      </c>
      <c r="H224" s="2">
        <f>Quarterly_Billing_Run!Q224</f>
        <v/>
      </c>
    </row>
    <row r="225">
      <c r="A225" s="2">
        <f>Quarterly_Billing_Run!D225</f>
        <v/>
      </c>
      <c r="B225" s="2">
        <f>Quarterly_Billing_Run!F225</f>
        <v/>
      </c>
      <c r="C225" s="2">
        <f>Quarterly_Billing_Run!A225</f>
        <v/>
      </c>
      <c r="D225" s="12">
        <f>Quarterly_Billing_Run!I225</f>
        <v/>
      </c>
      <c r="E225" s="13">
        <f>Quarterly_Billing_Run!P225</f>
        <v/>
      </c>
      <c r="F225" s="2">
        <f>IF($E225=0,0,MAX(0,TODAY()-$D225))</f>
        <v/>
      </c>
      <c r="G225" s="2">
        <f>IF($E225=0,"Current",IF($F225&lt;=30,"1-30",IF($F225&lt;=60,"31-60",IF($F225&lt;=90,"61-90","90+"))))</f>
        <v/>
      </c>
      <c r="H225" s="2">
        <f>Quarterly_Billing_Run!Q225</f>
        <v/>
      </c>
    </row>
    <row r="226">
      <c r="A226" s="2">
        <f>Quarterly_Billing_Run!D226</f>
        <v/>
      </c>
      <c r="B226" s="2">
        <f>Quarterly_Billing_Run!F226</f>
        <v/>
      </c>
      <c r="C226" s="2">
        <f>Quarterly_Billing_Run!A226</f>
        <v/>
      </c>
      <c r="D226" s="12">
        <f>Quarterly_Billing_Run!I226</f>
        <v/>
      </c>
      <c r="E226" s="13">
        <f>Quarterly_Billing_Run!P226</f>
        <v/>
      </c>
      <c r="F226" s="2">
        <f>IF($E226=0,0,MAX(0,TODAY()-$D226))</f>
        <v/>
      </c>
      <c r="G226" s="2">
        <f>IF($E226=0,"Current",IF($F226&lt;=30,"1-30",IF($F226&lt;=60,"31-60",IF($F226&lt;=90,"61-90","90+"))))</f>
        <v/>
      </c>
      <c r="H226" s="2">
        <f>Quarterly_Billing_Run!Q226</f>
        <v/>
      </c>
    </row>
    <row r="227">
      <c r="A227" s="2">
        <f>Quarterly_Billing_Run!D227</f>
        <v/>
      </c>
      <c r="B227" s="2">
        <f>Quarterly_Billing_Run!F227</f>
        <v/>
      </c>
      <c r="C227" s="2">
        <f>Quarterly_Billing_Run!A227</f>
        <v/>
      </c>
      <c r="D227" s="12">
        <f>Quarterly_Billing_Run!I227</f>
        <v/>
      </c>
      <c r="E227" s="13">
        <f>Quarterly_Billing_Run!P227</f>
        <v/>
      </c>
      <c r="F227" s="2">
        <f>IF($E227=0,0,MAX(0,TODAY()-$D227))</f>
        <v/>
      </c>
      <c r="G227" s="2">
        <f>IF($E227=0,"Current",IF($F227&lt;=30,"1-30",IF($F227&lt;=60,"31-60",IF($F227&lt;=90,"61-90","90+"))))</f>
        <v/>
      </c>
      <c r="H227" s="2">
        <f>Quarterly_Billing_Run!Q227</f>
        <v/>
      </c>
    </row>
    <row r="228">
      <c r="A228" s="2">
        <f>Quarterly_Billing_Run!D228</f>
        <v/>
      </c>
      <c r="B228" s="2">
        <f>Quarterly_Billing_Run!F228</f>
        <v/>
      </c>
      <c r="C228" s="2">
        <f>Quarterly_Billing_Run!A228</f>
        <v/>
      </c>
      <c r="D228" s="12">
        <f>Quarterly_Billing_Run!I228</f>
        <v/>
      </c>
      <c r="E228" s="13">
        <f>Quarterly_Billing_Run!P228</f>
        <v/>
      </c>
      <c r="F228" s="2">
        <f>IF($E228=0,0,MAX(0,TODAY()-$D228))</f>
        <v/>
      </c>
      <c r="G228" s="2">
        <f>IF($E228=0,"Current",IF($F228&lt;=30,"1-30",IF($F228&lt;=60,"31-60",IF($F228&lt;=90,"61-90","90+"))))</f>
        <v/>
      </c>
      <c r="H228" s="2">
        <f>Quarterly_Billing_Run!Q228</f>
        <v/>
      </c>
    </row>
    <row r="229">
      <c r="A229" s="2">
        <f>Quarterly_Billing_Run!D229</f>
        <v/>
      </c>
      <c r="B229" s="2">
        <f>Quarterly_Billing_Run!F229</f>
        <v/>
      </c>
      <c r="C229" s="2">
        <f>Quarterly_Billing_Run!A229</f>
        <v/>
      </c>
      <c r="D229" s="12">
        <f>Quarterly_Billing_Run!I229</f>
        <v/>
      </c>
      <c r="E229" s="13">
        <f>Quarterly_Billing_Run!P229</f>
        <v/>
      </c>
      <c r="F229" s="2">
        <f>IF($E229=0,0,MAX(0,TODAY()-$D229))</f>
        <v/>
      </c>
      <c r="G229" s="2">
        <f>IF($E229=0,"Current",IF($F229&lt;=30,"1-30",IF($F229&lt;=60,"31-60",IF($F229&lt;=90,"61-90","90+"))))</f>
        <v/>
      </c>
      <c r="H229" s="2">
        <f>Quarterly_Billing_Run!Q229</f>
        <v/>
      </c>
    </row>
    <row r="230">
      <c r="A230" s="2">
        <f>Quarterly_Billing_Run!D230</f>
        <v/>
      </c>
      <c r="B230" s="2">
        <f>Quarterly_Billing_Run!F230</f>
        <v/>
      </c>
      <c r="C230" s="2">
        <f>Quarterly_Billing_Run!A230</f>
        <v/>
      </c>
      <c r="D230" s="12">
        <f>Quarterly_Billing_Run!I230</f>
        <v/>
      </c>
      <c r="E230" s="13">
        <f>Quarterly_Billing_Run!P230</f>
        <v/>
      </c>
      <c r="F230" s="2">
        <f>IF($E230=0,0,MAX(0,TODAY()-$D230))</f>
        <v/>
      </c>
      <c r="G230" s="2">
        <f>IF($E230=0,"Current",IF($F230&lt;=30,"1-30",IF($F230&lt;=60,"31-60",IF($F230&lt;=90,"61-90","90+"))))</f>
        <v/>
      </c>
      <c r="H230" s="2">
        <f>Quarterly_Billing_Run!Q230</f>
        <v/>
      </c>
    </row>
    <row r="231">
      <c r="A231" s="2">
        <f>Quarterly_Billing_Run!D231</f>
        <v/>
      </c>
      <c r="B231" s="2">
        <f>Quarterly_Billing_Run!F231</f>
        <v/>
      </c>
      <c r="C231" s="2">
        <f>Quarterly_Billing_Run!A231</f>
        <v/>
      </c>
      <c r="D231" s="12">
        <f>Quarterly_Billing_Run!I231</f>
        <v/>
      </c>
      <c r="E231" s="13">
        <f>Quarterly_Billing_Run!P231</f>
        <v/>
      </c>
      <c r="F231" s="2">
        <f>IF($E231=0,0,MAX(0,TODAY()-$D231))</f>
        <v/>
      </c>
      <c r="G231" s="2">
        <f>IF($E231=0,"Current",IF($F231&lt;=30,"1-30",IF($F231&lt;=60,"31-60",IF($F231&lt;=90,"61-90","90+"))))</f>
        <v/>
      </c>
      <c r="H231" s="2">
        <f>Quarterly_Billing_Run!Q231</f>
        <v/>
      </c>
    </row>
    <row r="232">
      <c r="A232" s="2">
        <f>Quarterly_Billing_Run!D232</f>
        <v/>
      </c>
      <c r="B232" s="2">
        <f>Quarterly_Billing_Run!F232</f>
        <v/>
      </c>
      <c r="C232" s="2">
        <f>Quarterly_Billing_Run!A232</f>
        <v/>
      </c>
      <c r="D232" s="12">
        <f>Quarterly_Billing_Run!I232</f>
        <v/>
      </c>
      <c r="E232" s="13">
        <f>Quarterly_Billing_Run!P232</f>
        <v/>
      </c>
      <c r="F232" s="2">
        <f>IF($E232=0,0,MAX(0,TODAY()-$D232))</f>
        <v/>
      </c>
      <c r="G232" s="2">
        <f>IF($E232=0,"Current",IF($F232&lt;=30,"1-30",IF($F232&lt;=60,"31-60",IF($F232&lt;=90,"61-90","90+"))))</f>
        <v/>
      </c>
      <c r="H232" s="2">
        <f>Quarterly_Billing_Run!Q232</f>
        <v/>
      </c>
    </row>
    <row r="233">
      <c r="A233" s="2">
        <f>Quarterly_Billing_Run!D233</f>
        <v/>
      </c>
      <c r="B233" s="2">
        <f>Quarterly_Billing_Run!F233</f>
        <v/>
      </c>
      <c r="C233" s="2">
        <f>Quarterly_Billing_Run!A233</f>
        <v/>
      </c>
      <c r="D233" s="12">
        <f>Quarterly_Billing_Run!I233</f>
        <v/>
      </c>
      <c r="E233" s="13">
        <f>Quarterly_Billing_Run!P233</f>
        <v/>
      </c>
      <c r="F233" s="2">
        <f>IF($E233=0,0,MAX(0,TODAY()-$D233))</f>
        <v/>
      </c>
      <c r="G233" s="2">
        <f>IF($E233=0,"Current",IF($F233&lt;=30,"1-30",IF($F233&lt;=60,"31-60",IF($F233&lt;=90,"61-90","90+"))))</f>
        <v/>
      </c>
      <c r="H233" s="2">
        <f>Quarterly_Billing_Run!Q233</f>
        <v/>
      </c>
    </row>
    <row r="234">
      <c r="A234" s="2">
        <f>Quarterly_Billing_Run!D234</f>
        <v/>
      </c>
      <c r="B234" s="2">
        <f>Quarterly_Billing_Run!F234</f>
        <v/>
      </c>
      <c r="C234" s="2">
        <f>Quarterly_Billing_Run!A234</f>
        <v/>
      </c>
      <c r="D234" s="12">
        <f>Quarterly_Billing_Run!I234</f>
        <v/>
      </c>
      <c r="E234" s="13">
        <f>Quarterly_Billing_Run!P234</f>
        <v/>
      </c>
      <c r="F234" s="2">
        <f>IF($E234=0,0,MAX(0,TODAY()-$D234))</f>
        <v/>
      </c>
      <c r="G234" s="2">
        <f>IF($E234=0,"Current",IF($F234&lt;=30,"1-30",IF($F234&lt;=60,"31-60",IF($F234&lt;=90,"61-90","90+"))))</f>
        <v/>
      </c>
      <c r="H234" s="2">
        <f>Quarterly_Billing_Run!Q234</f>
        <v/>
      </c>
    </row>
    <row r="235">
      <c r="A235" s="2">
        <f>Quarterly_Billing_Run!D235</f>
        <v/>
      </c>
      <c r="B235" s="2">
        <f>Quarterly_Billing_Run!F235</f>
        <v/>
      </c>
      <c r="C235" s="2">
        <f>Quarterly_Billing_Run!A235</f>
        <v/>
      </c>
      <c r="D235" s="12">
        <f>Quarterly_Billing_Run!I235</f>
        <v/>
      </c>
      <c r="E235" s="13">
        <f>Quarterly_Billing_Run!P235</f>
        <v/>
      </c>
      <c r="F235" s="2">
        <f>IF($E235=0,0,MAX(0,TODAY()-$D235))</f>
        <v/>
      </c>
      <c r="G235" s="2">
        <f>IF($E235=0,"Current",IF($F235&lt;=30,"1-30",IF($F235&lt;=60,"31-60",IF($F235&lt;=90,"61-90","90+"))))</f>
        <v/>
      </c>
      <c r="H235" s="2">
        <f>Quarterly_Billing_Run!Q235</f>
        <v/>
      </c>
    </row>
    <row r="236">
      <c r="A236" s="2">
        <f>Quarterly_Billing_Run!D236</f>
        <v/>
      </c>
      <c r="B236" s="2">
        <f>Quarterly_Billing_Run!F236</f>
        <v/>
      </c>
      <c r="C236" s="2">
        <f>Quarterly_Billing_Run!A236</f>
        <v/>
      </c>
      <c r="D236" s="12">
        <f>Quarterly_Billing_Run!I236</f>
        <v/>
      </c>
      <c r="E236" s="13">
        <f>Quarterly_Billing_Run!P236</f>
        <v/>
      </c>
      <c r="F236" s="2">
        <f>IF($E236=0,0,MAX(0,TODAY()-$D236))</f>
        <v/>
      </c>
      <c r="G236" s="2">
        <f>IF($E236=0,"Current",IF($F236&lt;=30,"1-30",IF($F236&lt;=60,"31-60",IF($F236&lt;=90,"61-90","90+"))))</f>
        <v/>
      </c>
      <c r="H236" s="2">
        <f>Quarterly_Billing_Run!Q236</f>
        <v/>
      </c>
    </row>
    <row r="237">
      <c r="A237" s="2">
        <f>Quarterly_Billing_Run!D237</f>
        <v/>
      </c>
      <c r="B237" s="2">
        <f>Quarterly_Billing_Run!F237</f>
        <v/>
      </c>
      <c r="C237" s="2">
        <f>Quarterly_Billing_Run!A237</f>
        <v/>
      </c>
      <c r="D237" s="12">
        <f>Quarterly_Billing_Run!I237</f>
        <v/>
      </c>
      <c r="E237" s="13">
        <f>Quarterly_Billing_Run!P237</f>
        <v/>
      </c>
      <c r="F237" s="2">
        <f>IF($E237=0,0,MAX(0,TODAY()-$D237))</f>
        <v/>
      </c>
      <c r="G237" s="2">
        <f>IF($E237=0,"Current",IF($F237&lt;=30,"1-30",IF($F237&lt;=60,"31-60",IF($F237&lt;=90,"61-90","90+"))))</f>
        <v/>
      </c>
      <c r="H237" s="2">
        <f>Quarterly_Billing_Run!Q237</f>
        <v/>
      </c>
    </row>
    <row r="238">
      <c r="A238" s="2">
        <f>Quarterly_Billing_Run!D238</f>
        <v/>
      </c>
      <c r="B238" s="2">
        <f>Quarterly_Billing_Run!F238</f>
        <v/>
      </c>
      <c r="C238" s="2">
        <f>Quarterly_Billing_Run!A238</f>
        <v/>
      </c>
      <c r="D238" s="12">
        <f>Quarterly_Billing_Run!I238</f>
        <v/>
      </c>
      <c r="E238" s="13">
        <f>Quarterly_Billing_Run!P238</f>
        <v/>
      </c>
      <c r="F238" s="2">
        <f>IF($E238=0,0,MAX(0,TODAY()-$D238))</f>
        <v/>
      </c>
      <c r="G238" s="2">
        <f>IF($E238=0,"Current",IF($F238&lt;=30,"1-30",IF($F238&lt;=60,"31-60",IF($F238&lt;=90,"61-90","90+"))))</f>
        <v/>
      </c>
      <c r="H238" s="2">
        <f>Quarterly_Billing_Run!Q238</f>
        <v/>
      </c>
    </row>
    <row r="239">
      <c r="A239" s="2">
        <f>Quarterly_Billing_Run!D239</f>
        <v/>
      </c>
      <c r="B239" s="2">
        <f>Quarterly_Billing_Run!F239</f>
        <v/>
      </c>
      <c r="C239" s="2">
        <f>Quarterly_Billing_Run!A239</f>
        <v/>
      </c>
      <c r="D239" s="12">
        <f>Quarterly_Billing_Run!I239</f>
        <v/>
      </c>
      <c r="E239" s="13">
        <f>Quarterly_Billing_Run!P239</f>
        <v/>
      </c>
      <c r="F239" s="2">
        <f>IF($E239=0,0,MAX(0,TODAY()-$D239))</f>
        <v/>
      </c>
      <c r="G239" s="2">
        <f>IF($E239=0,"Current",IF($F239&lt;=30,"1-30",IF($F239&lt;=60,"31-60",IF($F239&lt;=90,"61-90","90+"))))</f>
        <v/>
      </c>
      <c r="H239" s="2">
        <f>Quarterly_Billing_Run!Q239</f>
        <v/>
      </c>
    </row>
    <row r="240">
      <c r="A240" s="2">
        <f>Quarterly_Billing_Run!D240</f>
        <v/>
      </c>
      <c r="B240" s="2">
        <f>Quarterly_Billing_Run!F240</f>
        <v/>
      </c>
      <c r="C240" s="2">
        <f>Quarterly_Billing_Run!A240</f>
        <v/>
      </c>
      <c r="D240" s="12">
        <f>Quarterly_Billing_Run!I240</f>
        <v/>
      </c>
      <c r="E240" s="13">
        <f>Quarterly_Billing_Run!P240</f>
        <v/>
      </c>
      <c r="F240" s="2">
        <f>IF($E240=0,0,MAX(0,TODAY()-$D240))</f>
        <v/>
      </c>
      <c r="G240" s="2">
        <f>IF($E240=0,"Current",IF($F240&lt;=30,"1-30",IF($F240&lt;=60,"31-60",IF($F240&lt;=90,"61-90","90+"))))</f>
        <v/>
      </c>
      <c r="H240" s="2">
        <f>Quarterly_Billing_Run!Q240</f>
        <v/>
      </c>
    </row>
    <row r="241">
      <c r="A241" s="2">
        <f>Quarterly_Billing_Run!D241</f>
        <v/>
      </c>
      <c r="B241" s="2">
        <f>Quarterly_Billing_Run!F241</f>
        <v/>
      </c>
      <c r="C241" s="2">
        <f>Quarterly_Billing_Run!A241</f>
        <v/>
      </c>
      <c r="D241" s="12">
        <f>Quarterly_Billing_Run!I241</f>
        <v/>
      </c>
      <c r="E241" s="13">
        <f>Quarterly_Billing_Run!P241</f>
        <v/>
      </c>
      <c r="F241" s="2">
        <f>IF($E241=0,0,MAX(0,TODAY()-$D241))</f>
        <v/>
      </c>
      <c r="G241" s="2">
        <f>IF($E241=0,"Current",IF($F241&lt;=30,"1-30",IF($F241&lt;=60,"31-60",IF($F241&lt;=90,"61-90","90+"))))</f>
        <v/>
      </c>
      <c r="H241" s="2">
        <f>Quarterly_Billing_Run!Q241</f>
        <v/>
      </c>
    </row>
    <row r="242">
      <c r="A242" s="2">
        <f>Quarterly_Billing_Run!D242</f>
        <v/>
      </c>
      <c r="B242" s="2">
        <f>Quarterly_Billing_Run!F242</f>
        <v/>
      </c>
      <c r="C242" s="2">
        <f>Quarterly_Billing_Run!A242</f>
        <v/>
      </c>
      <c r="D242" s="12">
        <f>Quarterly_Billing_Run!I242</f>
        <v/>
      </c>
      <c r="E242" s="13">
        <f>Quarterly_Billing_Run!P242</f>
        <v/>
      </c>
      <c r="F242" s="2">
        <f>IF($E242=0,0,MAX(0,TODAY()-$D242))</f>
        <v/>
      </c>
      <c r="G242" s="2">
        <f>IF($E242=0,"Current",IF($F242&lt;=30,"1-30",IF($F242&lt;=60,"31-60",IF($F242&lt;=90,"61-90","90+"))))</f>
        <v/>
      </c>
      <c r="H242" s="2">
        <f>Quarterly_Billing_Run!Q242</f>
        <v/>
      </c>
    </row>
    <row r="243">
      <c r="A243" s="2">
        <f>Quarterly_Billing_Run!D243</f>
        <v/>
      </c>
      <c r="B243" s="2">
        <f>Quarterly_Billing_Run!F243</f>
        <v/>
      </c>
      <c r="C243" s="2">
        <f>Quarterly_Billing_Run!A243</f>
        <v/>
      </c>
      <c r="D243" s="12">
        <f>Quarterly_Billing_Run!I243</f>
        <v/>
      </c>
      <c r="E243" s="13">
        <f>Quarterly_Billing_Run!P243</f>
        <v/>
      </c>
      <c r="F243" s="2">
        <f>IF($E243=0,0,MAX(0,TODAY()-$D243))</f>
        <v/>
      </c>
      <c r="G243" s="2">
        <f>IF($E243=0,"Current",IF($F243&lt;=30,"1-30",IF($F243&lt;=60,"31-60",IF($F243&lt;=90,"61-90","90+"))))</f>
        <v/>
      </c>
      <c r="H243" s="2">
        <f>Quarterly_Billing_Run!Q243</f>
        <v/>
      </c>
    </row>
    <row r="244">
      <c r="A244" s="2">
        <f>Quarterly_Billing_Run!D244</f>
        <v/>
      </c>
      <c r="B244" s="2">
        <f>Quarterly_Billing_Run!F244</f>
        <v/>
      </c>
      <c r="C244" s="2">
        <f>Quarterly_Billing_Run!A244</f>
        <v/>
      </c>
      <c r="D244" s="12">
        <f>Quarterly_Billing_Run!I244</f>
        <v/>
      </c>
      <c r="E244" s="13">
        <f>Quarterly_Billing_Run!P244</f>
        <v/>
      </c>
      <c r="F244" s="2">
        <f>IF($E244=0,0,MAX(0,TODAY()-$D244))</f>
        <v/>
      </c>
      <c r="G244" s="2">
        <f>IF($E244=0,"Current",IF($F244&lt;=30,"1-30",IF($F244&lt;=60,"31-60",IF($F244&lt;=90,"61-90","90+"))))</f>
        <v/>
      </c>
      <c r="H244" s="2">
        <f>Quarterly_Billing_Run!Q244</f>
        <v/>
      </c>
    </row>
    <row r="245">
      <c r="A245" s="2">
        <f>Quarterly_Billing_Run!D245</f>
        <v/>
      </c>
      <c r="B245" s="2">
        <f>Quarterly_Billing_Run!F245</f>
        <v/>
      </c>
      <c r="C245" s="2">
        <f>Quarterly_Billing_Run!A245</f>
        <v/>
      </c>
      <c r="D245" s="12">
        <f>Quarterly_Billing_Run!I245</f>
        <v/>
      </c>
      <c r="E245" s="13">
        <f>Quarterly_Billing_Run!P245</f>
        <v/>
      </c>
      <c r="F245" s="2">
        <f>IF($E245=0,0,MAX(0,TODAY()-$D245))</f>
        <v/>
      </c>
      <c r="G245" s="2">
        <f>IF($E245=0,"Current",IF($F245&lt;=30,"1-30",IF($F245&lt;=60,"31-60",IF($F245&lt;=90,"61-90","90+"))))</f>
        <v/>
      </c>
      <c r="H245" s="2">
        <f>Quarterly_Billing_Run!Q245</f>
        <v/>
      </c>
    </row>
    <row r="246">
      <c r="A246" s="2">
        <f>Quarterly_Billing_Run!D246</f>
        <v/>
      </c>
      <c r="B246" s="2">
        <f>Quarterly_Billing_Run!F246</f>
        <v/>
      </c>
      <c r="C246" s="2">
        <f>Quarterly_Billing_Run!A246</f>
        <v/>
      </c>
      <c r="D246" s="12">
        <f>Quarterly_Billing_Run!I246</f>
        <v/>
      </c>
      <c r="E246" s="13">
        <f>Quarterly_Billing_Run!P246</f>
        <v/>
      </c>
      <c r="F246" s="2">
        <f>IF($E246=0,0,MAX(0,TODAY()-$D246))</f>
        <v/>
      </c>
      <c r="G246" s="2">
        <f>IF($E246=0,"Current",IF($F246&lt;=30,"1-30",IF($F246&lt;=60,"31-60",IF($F246&lt;=90,"61-90","90+"))))</f>
        <v/>
      </c>
      <c r="H246" s="2">
        <f>Quarterly_Billing_Run!Q246</f>
        <v/>
      </c>
    </row>
    <row r="247">
      <c r="A247" s="2">
        <f>Quarterly_Billing_Run!D247</f>
        <v/>
      </c>
      <c r="B247" s="2">
        <f>Quarterly_Billing_Run!F247</f>
        <v/>
      </c>
      <c r="C247" s="2">
        <f>Quarterly_Billing_Run!A247</f>
        <v/>
      </c>
      <c r="D247" s="12">
        <f>Quarterly_Billing_Run!I247</f>
        <v/>
      </c>
      <c r="E247" s="13">
        <f>Quarterly_Billing_Run!P247</f>
        <v/>
      </c>
      <c r="F247" s="2">
        <f>IF($E247=0,0,MAX(0,TODAY()-$D247))</f>
        <v/>
      </c>
      <c r="G247" s="2">
        <f>IF($E247=0,"Current",IF($F247&lt;=30,"1-30",IF($F247&lt;=60,"31-60",IF($F247&lt;=90,"61-90","90+"))))</f>
        <v/>
      </c>
      <c r="H247" s="2">
        <f>Quarterly_Billing_Run!Q247</f>
        <v/>
      </c>
    </row>
    <row r="248">
      <c r="A248" s="2">
        <f>Quarterly_Billing_Run!D248</f>
        <v/>
      </c>
      <c r="B248" s="2">
        <f>Quarterly_Billing_Run!F248</f>
        <v/>
      </c>
      <c r="C248" s="2">
        <f>Quarterly_Billing_Run!A248</f>
        <v/>
      </c>
      <c r="D248" s="12">
        <f>Quarterly_Billing_Run!I248</f>
        <v/>
      </c>
      <c r="E248" s="13">
        <f>Quarterly_Billing_Run!P248</f>
        <v/>
      </c>
      <c r="F248" s="2">
        <f>IF($E248=0,0,MAX(0,TODAY()-$D248))</f>
        <v/>
      </c>
      <c r="G248" s="2">
        <f>IF($E248=0,"Current",IF($F248&lt;=30,"1-30",IF($F248&lt;=60,"31-60",IF($F248&lt;=90,"61-90","90+"))))</f>
        <v/>
      </c>
      <c r="H248" s="2">
        <f>Quarterly_Billing_Run!Q248</f>
        <v/>
      </c>
    </row>
    <row r="249">
      <c r="A249" s="2">
        <f>Quarterly_Billing_Run!D249</f>
        <v/>
      </c>
      <c r="B249" s="2">
        <f>Quarterly_Billing_Run!F249</f>
        <v/>
      </c>
      <c r="C249" s="2">
        <f>Quarterly_Billing_Run!A249</f>
        <v/>
      </c>
      <c r="D249" s="12">
        <f>Quarterly_Billing_Run!I249</f>
        <v/>
      </c>
      <c r="E249" s="13">
        <f>Quarterly_Billing_Run!P249</f>
        <v/>
      </c>
      <c r="F249" s="2">
        <f>IF($E249=0,0,MAX(0,TODAY()-$D249))</f>
        <v/>
      </c>
      <c r="G249" s="2">
        <f>IF($E249=0,"Current",IF($F249&lt;=30,"1-30",IF($F249&lt;=60,"31-60",IF($F249&lt;=90,"61-90","90+"))))</f>
        <v/>
      </c>
      <c r="H249" s="2">
        <f>Quarterly_Billing_Run!Q249</f>
        <v/>
      </c>
    </row>
    <row r="250">
      <c r="A250" s="2">
        <f>Quarterly_Billing_Run!D250</f>
        <v/>
      </c>
      <c r="B250" s="2">
        <f>Quarterly_Billing_Run!F250</f>
        <v/>
      </c>
      <c r="C250" s="2">
        <f>Quarterly_Billing_Run!A250</f>
        <v/>
      </c>
      <c r="D250" s="12">
        <f>Quarterly_Billing_Run!I250</f>
        <v/>
      </c>
      <c r="E250" s="13">
        <f>Quarterly_Billing_Run!P250</f>
        <v/>
      </c>
      <c r="F250" s="2">
        <f>IF($E250=0,0,MAX(0,TODAY()-$D250))</f>
        <v/>
      </c>
      <c r="G250" s="2">
        <f>IF($E250=0,"Current",IF($F250&lt;=30,"1-30",IF($F250&lt;=60,"31-60",IF($F250&lt;=90,"61-90","90+"))))</f>
        <v/>
      </c>
      <c r="H250" s="2">
        <f>Quarterly_Billing_Run!Q250</f>
        <v/>
      </c>
    </row>
    <row r="251">
      <c r="A251" s="2">
        <f>Quarterly_Billing_Run!D251</f>
        <v/>
      </c>
      <c r="B251" s="2">
        <f>Quarterly_Billing_Run!F251</f>
        <v/>
      </c>
      <c r="C251" s="2">
        <f>Quarterly_Billing_Run!A251</f>
        <v/>
      </c>
      <c r="D251" s="12">
        <f>Quarterly_Billing_Run!I251</f>
        <v/>
      </c>
      <c r="E251" s="13">
        <f>Quarterly_Billing_Run!P251</f>
        <v/>
      </c>
      <c r="F251" s="2">
        <f>IF($E251=0,0,MAX(0,TODAY()-$D251))</f>
        <v/>
      </c>
      <c r="G251" s="2">
        <f>IF($E251=0,"Current",IF($F251&lt;=30,"1-30",IF($F251&lt;=60,"31-60",IF($F251&lt;=90,"61-90","90+"))))</f>
        <v/>
      </c>
      <c r="H251" s="2">
        <f>Quarterly_Billing_Run!Q251</f>
        <v/>
      </c>
    </row>
    <row r="252">
      <c r="A252" s="2">
        <f>Quarterly_Billing_Run!D252</f>
        <v/>
      </c>
      <c r="B252" s="2">
        <f>Quarterly_Billing_Run!F252</f>
        <v/>
      </c>
      <c r="C252" s="2">
        <f>Quarterly_Billing_Run!A252</f>
        <v/>
      </c>
      <c r="D252" s="12">
        <f>Quarterly_Billing_Run!I252</f>
        <v/>
      </c>
      <c r="E252" s="13">
        <f>Quarterly_Billing_Run!P252</f>
        <v/>
      </c>
      <c r="F252" s="2">
        <f>IF($E252=0,0,MAX(0,TODAY()-$D252))</f>
        <v/>
      </c>
      <c r="G252" s="2">
        <f>IF($E252=0,"Current",IF($F252&lt;=30,"1-30",IF($F252&lt;=60,"31-60",IF($F252&lt;=90,"61-90","90+"))))</f>
        <v/>
      </c>
      <c r="H252" s="2">
        <f>Quarterly_Billing_Run!Q252</f>
        <v/>
      </c>
    </row>
    <row r="253">
      <c r="A253" s="2">
        <f>Quarterly_Billing_Run!D253</f>
        <v/>
      </c>
      <c r="B253" s="2">
        <f>Quarterly_Billing_Run!F253</f>
        <v/>
      </c>
      <c r="C253" s="2">
        <f>Quarterly_Billing_Run!A253</f>
        <v/>
      </c>
      <c r="D253" s="12">
        <f>Quarterly_Billing_Run!I253</f>
        <v/>
      </c>
      <c r="E253" s="13">
        <f>Quarterly_Billing_Run!P253</f>
        <v/>
      </c>
      <c r="F253" s="2">
        <f>IF($E253=0,0,MAX(0,TODAY()-$D253))</f>
        <v/>
      </c>
      <c r="G253" s="2">
        <f>IF($E253=0,"Current",IF($F253&lt;=30,"1-30",IF($F253&lt;=60,"31-60",IF($F253&lt;=90,"61-90","90+"))))</f>
        <v/>
      </c>
      <c r="H253" s="2">
        <f>Quarterly_Billing_Run!Q253</f>
        <v/>
      </c>
    </row>
    <row r="254">
      <c r="A254" s="2">
        <f>Quarterly_Billing_Run!D254</f>
        <v/>
      </c>
      <c r="B254" s="2">
        <f>Quarterly_Billing_Run!F254</f>
        <v/>
      </c>
      <c r="C254" s="2">
        <f>Quarterly_Billing_Run!A254</f>
        <v/>
      </c>
      <c r="D254" s="12">
        <f>Quarterly_Billing_Run!I254</f>
        <v/>
      </c>
      <c r="E254" s="13">
        <f>Quarterly_Billing_Run!P254</f>
        <v/>
      </c>
      <c r="F254" s="2">
        <f>IF($E254=0,0,MAX(0,TODAY()-$D254))</f>
        <v/>
      </c>
      <c r="G254" s="2">
        <f>IF($E254=0,"Current",IF($F254&lt;=30,"1-30",IF($F254&lt;=60,"31-60",IF($F254&lt;=90,"61-90","90+"))))</f>
        <v/>
      </c>
      <c r="H254" s="2">
        <f>Quarterly_Billing_Run!Q254</f>
        <v/>
      </c>
    </row>
    <row r="255">
      <c r="A255" s="2">
        <f>Quarterly_Billing_Run!D255</f>
        <v/>
      </c>
      <c r="B255" s="2">
        <f>Quarterly_Billing_Run!F255</f>
        <v/>
      </c>
      <c r="C255" s="2">
        <f>Quarterly_Billing_Run!A255</f>
        <v/>
      </c>
      <c r="D255" s="12">
        <f>Quarterly_Billing_Run!I255</f>
        <v/>
      </c>
      <c r="E255" s="13">
        <f>Quarterly_Billing_Run!P255</f>
        <v/>
      </c>
      <c r="F255" s="2">
        <f>IF($E255=0,0,MAX(0,TODAY()-$D255))</f>
        <v/>
      </c>
      <c r="G255" s="2">
        <f>IF($E255=0,"Current",IF($F255&lt;=30,"1-30",IF($F255&lt;=60,"31-60",IF($F255&lt;=90,"61-90","90+"))))</f>
        <v/>
      </c>
      <c r="H255" s="2">
        <f>Quarterly_Billing_Run!Q255</f>
        <v/>
      </c>
    </row>
    <row r="256">
      <c r="A256" s="2">
        <f>Quarterly_Billing_Run!D256</f>
        <v/>
      </c>
      <c r="B256" s="2">
        <f>Quarterly_Billing_Run!F256</f>
        <v/>
      </c>
      <c r="C256" s="2">
        <f>Quarterly_Billing_Run!A256</f>
        <v/>
      </c>
      <c r="D256" s="12">
        <f>Quarterly_Billing_Run!I256</f>
        <v/>
      </c>
      <c r="E256" s="13">
        <f>Quarterly_Billing_Run!P256</f>
        <v/>
      </c>
      <c r="F256" s="2">
        <f>IF($E256=0,0,MAX(0,TODAY()-$D256))</f>
        <v/>
      </c>
      <c r="G256" s="2">
        <f>IF($E256=0,"Current",IF($F256&lt;=30,"1-30",IF($F256&lt;=60,"31-60",IF($F256&lt;=90,"61-90","90+"))))</f>
        <v/>
      </c>
      <c r="H256" s="2">
        <f>Quarterly_Billing_Run!Q256</f>
        <v/>
      </c>
    </row>
    <row r="257">
      <c r="A257" s="2">
        <f>Quarterly_Billing_Run!D257</f>
        <v/>
      </c>
      <c r="B257" s="2">
        <f>Quarterly_Billing_Run!F257</f>
        <v/>
      </c>
      <c r="C257" s="2">
        <f>Quarterly_Billing_Run!A257</f>
        <v/>
      </c>
      <c r="D257" s="12">
        <f>Quarterly_Billing_Run!I257</f>
        <v/>
      </c>
      <c r="E257" s="13">
        <f>Quarterly_Billing_Run!P257</f>
        <v/>
      </c>
      <c r="F257" s="2">
        <f>IF($E257=0,0,MAX(0,TODAY()-$D257))</f>
        <v/>
      </c>
      <c r="G257" s="2">
        <f>IF($E257=0,"Current",IF($F257&lt;=30,"1-30",IF($F257&lt;=60,"31-60",IF($F257&lt;=90,"61-90","90+"))))</f>
        <v/>
      </c>
      <c r="H257" s="2">
        <f>Quarterly_Billing_Run!Q257</f>
        <v/>
      </c>
    </row>
    <row r="258">
      <c r="A258" s="2">
        <f>Quarterly_Billing_Run!D258</f>
        <v/>
      </c>
      <c r="B258" s="2">
        <f>Quarterly_Billing_Run!F258</f>
        <v/>
      </c>
      <c r="C258" s="2">
        <f>Quarterly_Billing_Run!A258</f>
        <v/>
      </c>
      <c r="D258" s="12">
        <f>Quarterly_Billing_Run!I258</f>
        <v/>
      </c>
      <c r="E258" s="13">
        <f>Quarterly_Billing_Run!P258</f>
        <v/>
      </c>
      <c r="F258" s="2">
        <f>IF($E258=0,0,MAX(0,TODAY()-$D258))</f>
        <v/>
      </c>
      <c r="G258" s="2">
        <f>IF($E258=0,"Current",IF($F258&lt;=30,"1-30",IF($F258&lt;=60,"31-60",IF($F258&lt;=90,"61-90","90+"))))</f>
        <v/>
      </c>
      <c r="H258" s="2">
        <f>Quarterly_Billing_Run!Q258</f>
        <v/>
      </c>
    </row>
    <row r="259">
      <c r="A259" s="2">
        <f>Quarterly_Billing_Run!D259</f>
        <v/>
      </c>
      <c r="B259" s="2">
        <f>Quarterly_Billing_Run!F259</f>
        <v/>
      </c>
      <c r="C259" s="2">
        <f>Quarterly_Billing_Run!A259</f>
        <v/>
      </c>
      <c r="D259" s="12">
        <f>Quarterly_Billing_Run!I259</f>
        <v/>
      </c>
      <c r="E259" s="13">
        <f>Quarterly_Billing_Run!P259</f>
        <v/>
      </c>
      <c r="F259" s="2">
        <f>IF($E259=0,0,MAX(0,TODAY()-$D259))</f>
        <v/>
      </c>
      <c r="G259" s="2">
        <f>IF($E259=0,"Current",IF($F259&lt;=30,"1-30",IF($F259&lt;=60,"31-60",IF($F259&lt;=90,"61-90","90+"))))</f>
        <v/>
      </c>
      <c r="H259" s="2">
        <f>Quarterly_Billing_Run!Q259</f>
        <v/>
      </c>
    </row>
    <row r="260">
      <c r="A260" s="2">
        <f>Quarterly_Billing_Run!D260</f>
        <v/>
      </c>
      <c r="B260" s="2">
        <f>Quarterly_Billing_Run!F260</f>
        <v/>
      </c>
      <c r="C260" s="2">
        <f>Quarterly_Billing_Run!A260</f>
        <v/>
      </c>
      <c r="D260" s="12">
        <f>Quarterly_Billing_Run!I260</f>
        <v/>
      </c>
      <c r="E260" s="13">
        <f>Quarterly_Billing_Run!P260</f>
        <v/>
      </c>
      <c r="F260" s="2">
        <f>IF($E260=0,0,MAX(0,TODAY()-$D260))</f>
        <v/>
      </c>
      <c r="G260" s="2">
        <f>IF($E260=0,"Current",IF($F260&lt;=30,"1-30",IF($F260&lt;=60,"31-60",IF($F260&lt;=90,"61-90","90+"))))</f>
        <v/>
      </c>
      <c r="H260" s="2">
        <f>Quarterly_Billing_Run!Q260</f>
        <v/>
      </c>
    </row>
    <row r="261">
      <c r="A261" s="2">
        <f>Quarterly_Billing_Run!D261</f>
        <v/>
      </c>
      <c r="B261" s="2">
        <f>Quarterly_Billing_Run!F261</f>
        <v/>
      </c>
      <c r="C261" s="2">
        <f>Quarterly_Billing_Run!A261</f>
        <v/>
      </c>
      <c r="D261" s="12">
        <f>Quarterly_Billing_Run!I261</f>
        <v/>
      </c>
      <c r="E261" s="13">
        <f>Quarterly_Billing_Run!P261</f>
        <v/>
      </c>
      <c r="F261" s="2">
        <f>IF($E261=0,0,MAX(0,TODAY()-$D261))</f>
        <v/>
      </c>
      <c r="G261" s="2">
        <f>IF($E261=0,"Current",IF($F261&lt;=30,"1-30",IF($F261&lt;=60,"31-60",IF($F261&lt;=90,"61-90","90+"))))</f>
        <v/>
      </c>
      <c r="H261" s="2">
        <f>Quarterly_Billing_Run!Q261</f>
        <v/>
      </c>
    </row>
    <row r="262">
      <c r="A262" s="2">
        <f>Quarterly_Billing_Run!D262</f>
        <v/>
      </c>
      <c r="B262" s="2">
        <f>Quarterly_Billing_Run!F262</f>
        <v/>
      </c>
      <c r="C262" s="2">
        <f>Quarterly_Billing_Run!A262</f>
        <v/>
      </c>
      <c r="D262" s="12">
        <f>Quarterly_Billing_Run!I262</f>
        <v/>
      </c>
      <c r="E262" s="13">
        <f>Quarterly_Billing_Run!P262</f>
        <v/>
      </c>
      <c r="F262" s="2">
        <f>IF($E262=0,0,MAX(0,TODAY()-$D262))</f>
        <v/>
      </c>
      <c r="G262" s="2">
        <f>IF($E262=0,"Current",IF($F262&lt;=30,"1-30",IF($F262&lt;=60,"31-60",IF($F262&lt;=90,"61-90","90+"))))</f>
        <v/>
      </c>
      <c r="H262" s="2">
        <f>Quarterly_Billing_Run!Q262</f>
        <v/>
      </c>
    </row>
    <row r="263">
      <c r="A263" s="2">
        <f>Quarterly_Billing_Run!D263</f>
        <v/>
      </c>
      <c r="B263" s="2">
        <f>Quarterly_Billing_Run!F263</f>
        <v/>
      </c>
      <c r="C263" s="2">
        <f>Quarterly_Billing_Run!A263</f>
        <v/>
      </c>
      <c r="D263" s="12">
        <f>Quarterly_Billing_Run!I263</f>
        <v/>
      </c>
      <c r="E263" s="13">
        <f>Quarterly_Billing_Run!P263</f>
        <v/>
      </c>
      <c r="F263" s="2">
        <f>IF($E263=0,0,MAX(0,TODAY()-$D263))</f>
        <v/>
      </c>
      <c r="G263" s="2">
        <f>IF($E263=0,"Current",IF($F263&lt;=30,"1-30",IF($F263&lt;=60,"31-60",IF($F263&lt;=90,"61-90","90+"))))</f>
        <v/>
      </c>
      <c r="H263" s="2">
        <f>Quarterly_Billing_Run!Q263</f>
        <v/>
      </c>
    </row>
    <row r="264">
      <c r="A264" s="2">
        <f>Quarterly_Billing_Run!D264</f>
        <v/>
      </c>
      <c r="B264" s="2">
        <f>Quarterly_Billing_Run!F264</f>
        <v/>
      </c>
      <c r="C264" s="2">
        <f>Quarterly_Billing_Run!A264</f>
        <v/>
      </c>
      <c r="D264" s="12">
        <f>Quarterly_Billing_Run!I264</f>
        <v/>
      </c>
      <c r="E264" s="13">
        <f>Quarterly_Billing_Run!P264</f>
        <v/>
      </c>
      <c r="F264" s="2">
        <f>IF($E264=0,0,MAX(0,TODAY()-$D264))</f>
        <v/>
      </c>
      <c r="G264" s="2">
        <f>IF($E264=0,"Current",IF($F264&lt;=30,"1-30",IF($F264&lt;=60,"31-60",IF($F264&lt;=90,"61-90","90+"))))</f>
        <v/>
      </c>
      <c r="H264" s="2">
        <f>Quarterly_Billing_Run!Q264</f>
        <v/>
      </c>
    </row>
    <row r="265">
      <c r="A265" s="2">
        <f>Quarterly_Billing_Run!D265</f>
        <v/>
      </c>
      <c r="B265" s="2">
        <f>Quarterly_Billing_Run!F265</f>
        <v/>
      </c>
      <c r="C265" s="2">
        <f>Quarterly_Billing_Run!A265</f>
        <v/>
      </c>
      <c r="D265" s="12">
        <f>Quarterly_Billing_Run!I265</f>
        <v/>
      </c>
      <c r="E265" s="13">
        <f>Quarterly_Billing_Run!P265</f>
        <v/>
      </c>
      <c r="F265" s="2">
        <f>IF($E265=0,0,MAX(0,TODAY()-$D265))</f>
        <v/>
      </c>
      <c r="G265" s="2">
        <f>IF($E265=0,"Current",IF($F265&lt;=30,"1-30",IF($F265&lt;=60,"31-60",IF($F265&lt;=90,"61-90","90+"))))</f>
        <v/>
      </c>
      <c r="H265" s="2">
        <f>Quarterly_Billing_Run!Q265</f>
        <v/>
      </c>
    </row>
    <row r="266">
      <c r="A266" s="2">
        <f>Quarterly_Billing_Run!D266</f>
        <v/>
      </c>
      <c r="B266" s="2">
        <f>Quarterly_Billing_Run!F266</f>
        <v/>
      </c>
      <c r="C266" s="2">
        <f>Quarterly_Billing_Run!A266</f>
        <v/>
      </c>
      <c r="D266" s="12">
        <f>Quarterly_Billing_Run!I266</f>
        <v/>
      </c>
      <c r="E266" s="13">
        <f>Quarterly_Billing_Run!P266</f>
        <v/>
      </c>
      <c r="F266" s="2">
        <f>IF($E266=0,0,MAX(0,TODAY()-$D266))</f>
        <v/>
      </c>
      <c r="G266" s="2">
        <f>IF($E266=0,"Current",IF($F266&lt;=30,"1-30",IF($F266&lt;=60,"31-60",IF($F266&lt;=90,"61-90","90+"))))</f>
        <v/>
      </c>
      <c r="H266" s="2">
        <f>Quarterly_Billing_Run!Q266</f>
        <v/>
      </c>
    </row>
    <row r="267">
      <c r="A267" s="2">
        <f>Quarterly_Billing_Run!D267</f>
        <v/>
      </c>
      <c r="B267" s="2">
        <f>Quarterly_Billing_Run!F267</f>
        <v/>
      </c>
      <c r="C267" s="2">
        <f>Quarterly_Billing_Run!A267</f>
        <v/>
      </c>
      <c r="D267" s="12">
        <f>Quarterly_Billing_Run!I267</f>
        <v/>
      </c>
      <c r="E267" s="13">
        <f>Quarterly_Billing_Run!P267</f>
        <v/>
      </c>
      <c r="F267" s="2">
        <f>IF($E267=0,0,MAX(0,TODAY()-$D267))</f>
        <v/>
      </c>
      <c r="G267" s="2">
        <f>IF($E267=0,"Current",IF($F267&lt;=30,"1-30",IF($F267&lt;=60,"31-60",IF($F267&lt;=90,"61-90","90+"))))</f>
        <v/>
      </c>
      <c r="H267" s="2">
        <f>Quarterly_Billing_Run!Q267</f>
        <v/>
      </c>
    </row>
    <row r="268">
      <c r="A268" s="2">
        <f>Quarterly_Billing_Run!D268</f>
        <v/>
      </c>
      <c r="B268" s="2">
        <f>Quarterly_Billing_Run!F268</f>
        <v/>
      </c>
      <c r="C268" s="2">
        <f>Quarterly_Billing_Run!A268</f>
        <v/>
      </c>
      <c r="D268" s="12">
        <f>Quarterly_Billing_Run!I268</f>
        <v/>
      </c>
      <c r="E268" s="13">
        <f>Quarterly_Billing_Run!P268</f>
        <v/>
      </c>
      <c r="F268" s="2">
        <f>IF($E268=0,0,MAX(0,TODAY()-$D268))</f>
        <v/>
      </c>
      <c r="G268" s="2">
        <f>IF($E268=0,"Current",IF($F268&lt;=30,"1-30",IF($F268&lt;=60,"31-60",IF($F268&lt;=90,"61-90","90+"))))</f>
        <v/>
      </c>
      <c r="H268" s="2">
        <f>Quarterly_Billing_Run!Q268</f>
        <v/>
      </c>
    </row>
    <row r="269">
      <c r="A269" s="2">
        <f>Quarterly_Billing_Run!D269</f>
        <v/>
      </c>
      <c r="B269" s="2">
        <f>Quarterly_Billing_Run!F269</f>
        <v/>
      </c>
      <c r="C269" s="2">
        <f>Quarterly_Billing_Run!A269</f>
        <v/>
      </c>
      <c r="D269" s="12">
        <f>Quarterly_Billing_Run!I269</f>
        <v/>
      </c>
      <c r="E269" s="13">
        <f>Quarterly_Billing_Run!P269</f>
        <v/>
      </c>
      <c r="F269" s="2">
        <f>IF($E269=0,0,MAX(0,TODAY()-$D269))</f>
        <v/>
      </c>
      <c r="G269" s="2">
        <f>IF($E269=0,"Current",IF($F269&lt;=30,"1-30",IF($F269&lt;=60,"31-60",IF($F269&lt;=90,"61-90","90+"))))</f>
        <v/>
      </c>
      <c r="H269" s="2">
        <f>Quarterly_Billing_Run!Q269</f>
        <v/>
      </c>
    </row>
    <row r="270">
      <c r="A270" s="2">
        <f>Quarterly_Billing_Run!D270</f>
        <v/>
      </c>
      <c r="B270" s="2">
        <f>Quarterly_Billing_Run!F270</f>
        <v/>
      </c>
      <c r="C270" s="2">
        <f>Quarterly_Billing_Run!A270</f>
        <v/>
      </c>
      <c r="D270" s="12">
        <f>Quarterly_Billing_Run!I270</f>
        <v/>
      </c>
      <c r="E270" s="13">
        <f>Quarterly_Billing_Run!P270</f>
        <v/>
      </c>
      <c r="F270" s="2">
        <f>IF($E270=0,0,MAX(0,TODAY()-$D270))</f>
        <v/>
      </c>
      <c r="G270" s="2">
        <f>IF($E270=0,"Current",IF($F270&lt;=30,"1-30",IF($F270&lt;=60,"31-60",IF($F270&lt;=90,"61-90","90+"))))</f>
        <v/>
      </c>
      <c r="H270" s="2">
        <f>Quarterly_Billing_Run!Q270</f>
        <v/>
      </c>
    </row>
    <row r="271">
      <c r="A271" s="2">
        <f>Quarterly_Billing_Run!D271</f>
        <v/>
      </c>
      <c r="B271" s="2">
        <f>Quarterly_Billing_Run!F271</f>
        <v/>
      </c>
      <c r="C271" s="2">
        <f>Quarterly_Billing_Run!A271</f>
        <v/>
      </c>
      <c r="D271" s="12">
        <f>Quarterly_Billing_Run!I271</f>
        <v/>
      </c>
      <c r="E271" s="13">
        <f>Quarterly_Billing_Run!P271</f>
        <v/>
      </c>
      <c r="F271" s="2">
        <f>IF($E271=0,0,MAX(0,TODAY()-$D271))</f>
        <v/>
      </c>
      <c r="G271" s="2">
        <f>IF($E271=0,"Current",IF($F271&lt;=30,"1-30",IF($F271&lt;=60,"31-60",IF($F271&lt;=90,"61-90","90+"))))</f>
        <v/>
      </c>
      <c r="H271" s="2">
        <f>Quarterly_Billing_Run!Q271</f>
        <v/>
      </c>
    </row>
    <row r="272">
      <c r="A272" s="2">
        <f>Quarterly_Billing_Run!D272</f>
        <v/>
      </c>
      <c r="B272" s="2">
        <f>Quarterly_Billing_Run!F272</f>
        <v/>
      </c>
      <c r="C272" s="2">
        <f>Quarterly_Billing_Run!A272</f>
        <v/>
      </c>
      <c r="D272" s="12">
        <f>Quarterly_Billing_Run!I272</f>
        <v/>
      </c>
      <c r="E272" s="13">
        <f>Quarterly_Billing_Run!P272</f>
        <v/>
      </c>
      <c r="F272" s="2">
        <f>IF($E272=0,0,MAX(0,TODAY()-$D272))</f>
        <v/>
      </c>
      <c r="G272" s="2">
        <f>IF($E272=0,"Current",IF($F272&lt;=30,"1-30",IF($F272&lt;=60,"31-60",IF($F272&lt;=90,"61-90","90+"))))</f>
        <v/>
      </c>
      <c r="H272" s="2">
        <f>Quarterly_Billing_Run!Q272</f>
        <v/>
      </c>
    </row>
    <row r="273">
      <c r="A273" s="2">
        <f>Quarterly_Billing_Run!D273</f>
        <v/>
      </c>
      <c r="B273" s="2">
        <f>Quarterly_Billing_Run!F273</f>
        <v/>
      </c>
      <c r="C273" s="2">
        <f>Quarterly_Billing_Run!A273</f>
        <v/>
      </c>
      <c r="D273" s="12">
        <f>Quarterly_Billing_Run!I273</f>
        <v/>
      </c>
      <c r="E273" s="13">
        <f>Quarterly_Billing_Run!P273</f>
        <v/>
      </c>
      <c r="F273" s="2">
        <f>IF($E273=0,0,MAX(0,TODAY()-$D273))</f>
        <v/>
      </c>
      <c r="G273" s="2">
        <f>IF($E273=0,"Current",IF($F273&lt;=30,"1-30",IF($F273&lt;=60,"31-60",IF($F273&lt;=90,"61-90","90+"))))</f>
        <v/>
      </c>
      <c r="H273" s="2">
        <f>Quarterly_Billing_Run!Q273</f>
        <v/>
      </c>
    </row>
    <row r="274">
      <c r="A274" s="2">
        <f>Quarterly_Billing_Run!D274</f>
        <v/>
      </c>
      <c r="B274" s="2">
        <f>Quarterly_Billing_Run!F274</f>
        <v/>
      </c>
      <c r="C274" s="2">
        <f>Quarterly_Billing_Run!A274</f>
        <v/>
      </c>
      <c r="D274" s="12">
        <f>Quarterly_Billing_Run!I274</f>
        <v/>
      </c>
      <c r="E274" s="13">
        <f>Quarterly_Billing_Run!P274</f>
        <v/>
      </c>
      <c r="F274" s="2">
        <f>IF($E274=0,0,MAX(0,TODAY()-$D274))</f>
        <v/>
      </c>
      <c r="G274" s="2">
        <f>IF($E274=0,"Current",IF($F274&lt;=30,"1-30",IF($F274&lt;=60,"31-60",IF($F274&lt;=90,"61-90","90+"))))</f>
        <v/>
      </c>
      <c r="H274" s="2">
        <f>Quarterly_Billing_Run!Q274</f>
        <v/>
      </c>
    </row>
    <row r="275">
      <c r="A275" s="2">
        <f>Quarterly_Billing_Run!D275</f>
        <v/>
      </c>
      <c r="B275" s="2">
        <f>Quarterly_Billing_Run!F275</f>
        <v/>
      </c>
      <c r="C275" s="2">
        <f>Quarterly_Billing_Run!A275</f>
        <v/>
      </c>
      <c r="D275" s="12">
        <f>Quarterly_Billing_Run!I275</f>
        <v/>
      </c>
      <c r="E275" s="13">
        <f>Quarterly_Billing_Run!P275</f>
        <v/>
      </c>
      <c r="F275" s="2">
        <f>IF($E275=0,0,MAX(0,TODAY()-$D275))</f>
        <v/>
      </c>
      <c r="G275" s="2">
        <f>IF($E275=0,"Current",IF($F275&lt;=30,"1-30",IF($F275&lt;=60,"31-60",IF($F275&lt;=90,"61-90","90+"))))</f>
        <v/>
      </c>
      <c r="H275" s="2">
        <f>Quarterly_Billing_Run!Q275</f>
        <v/>
      </c>
    </row>
    <row r="276">
      <c r="A276" s="2">
        <f>Quarterly_Billing_Run!D276</f>
        <v/>
      </c>
      <c r="B276" s="2">
        <f>Quarterly_Billing_Run!F276</f>
        <v/>
      </c>
      <c r="C276" s="2">
        <f>Quarterly_Billing_Run!A276</f>
        <v/>
      </c>
      <c r="D276" s="12">
        <f>Quarterly_Billing_Run!I276</f>
        <v/>
      </c>
      <c r="E276" s="13">
        <f>Quarterly_Billing_Run!P276</f>
        <v/>
      </c>
      <c r="F276" s="2">
        <f>IF($E276=0,0,MAX(0,TODAY()-$D276))</f>
        <v/>
      </c>
      <c r="G276" s="2">
        <f>IF($E276=0,"Current",IF($F276&lt;=30,"1-30",IF($F276&lt;=60,"31-60",IF($F276&lt;=90,"61-90","90+"))))</f>
        <v/>
      </c>
      <c r="H276" s="2">
        <f>Quarterly_Billing_Run!Q276</f>
        <v/>
      </c>
    </row>
    <row r="277">
      <c r="A277" s="2">
        <f>Quarterly_Billing_Run!D277</f>
        <v/>
      </c>
      <c r="B277" s="2">
        <f>Quarterly_Billing_Run!F277</f>
        <v/>
      </c>
      <c r="C277" s="2">
        <f>Quarterly_Billing_Run!A277</f>
        <v/>
      </c>
      <c r="D277" s="12">
        <f>Quarterly_Billing_Run!I277</f>
        <v/>
      </c>
      <c r="E277" s="13">
        <f>Quarterly_Billing_Run!P277</f>
        <v/>
      </c>
      <c r="F277" s="2">
        <f>IF($E277=0,0,MAX(0,TODAY()-$D277))</f>
        <v/>
      </c>
      <c r="G277" s="2">
        <f>IF($E277=0,"Current",IF($F277&lt;=30,"1-30",IF($F277&lt;=60,"31-60",IF($F277&lt;=90,"61-90","90+"))))</f>
        <v/>
      </c>
      <c r="H277" s="2">
        <f>Quarterly_Billing_Run!Q277</f>
        <v/>
      </c>
    </row>
    <row r="278">
      <c r="A278" s="2">
        <f>Quarterly_Billing_Run!D278</f>
        <v/>
      </c>
      <c r="B278" s="2">
        <f>Quarterly_Billing_Run!F278</f>
        <v/>
      </c>
      <c r="C278" s="2">
        <f>Quarterly_Billing_Run!A278</f>
        <v/>
      </c>
      <c r="D278" s="12">
        <f>Quarterly_Billing_Run!I278</f>
        <v/>
      </c>
      <c r="E278" s="13">
        <f>Quarterly_Billing_Run!P278</f>
        <v/>
      </c>
      <c r="F278" s="2">
        <f>IF($E278=0,0,MAX(0,TODAY()-$D278))</f>
        <v/>
      </c>
      <c r="G278" s="2">
        <f>IF($E278=0,"Current",IF($F278&lt;=30,"1-30",IF($F278&lt;=60,"31-60",IF($F278&lt;=90,"61-90","90+"))))</f>
        <v/>
      </c>
      <c r="H278" s="2">
        <f>Quarterly_Billing_Run!Q278</f>
        <v/>
      </c>
    </row>
    <row r="279">
      <c r="A279" s="2">
        <f>Quarterly_Billing_Run!D279</f>
        <v/>
      </c>
      <c r="B279" s="2">
        <f>Quarterly_Billing_Run!F279</f>
        <v/>
      </c>
      <c r="C279" s="2">
        <f>Quarterly_Billing_Run!A279</f>
        <v/>
      </c>
      <c r="D279" s="12">
        <f>Quarterly_Billing_Run!I279</f>
        <v/>
      </c>
      <c r="E279" s="13">
        <f>Quarterly_Billing_Run!P279</f>
        <v/>
      </c>
      <c r="F279" s="2">
        <f>IF($E279=0,0,MAX(0,TODAY()-$D279))</f>
        <v/>
      </c>
      <c r="G279" s="2">
        <f>IF($E279=0,"Current",IF($F279&lt;=30,"1-30",IF($F279&lt;=60,"31-60",IF($F279&lt;=90,"61-90","90+"))))</f>
        <v/>
      </c>
      <c r="H279" s="2">
        <f>Quarterly_Billing_Run!Q279</f>
        <v/>
      </c>
    </row>
    <row r="280">
      <c r="A280" s="2">
        <f>Quarterly_Billing_Run!D280</f>
        <v/>
      </c>
      <c r="B280" s="2">
        <f>Quarterly_Billing_Run!F280</f>
        <v/>
      </c>
      <c r="C280" s="2">
        <f>Quarterly_Billing_Run!A280</f>
        <v/>
      </c>
      <c r="D280" s="12">
        <f>Quarterly_Billing_Run!I280</f>
        <v/>
      </c>
      <c r="E280" s="13">
        <f>Quarterly_Billing_Run!P280</f>
        <v/>
      </c>
      <c r="F280" s="2">
        <f>IF($E280=0,0,MAX(0,TODAY()-$D280))</f>
        <v/>
      </c>
      <c r="G280" s="2">
        <f>IF($E280=0,"Current",IF($F280&lt;=30,"1-30",IF($F280&lt;=60,"31-60",IF($F280&lt;=90,"61-90","90+"))))</f>
        <v/>
      </c>
      <c r="H280" s="2">
        <f>Quarterly_Billing_Run!Q280</f>
        <v/>
      </c>
    </row>
    <row r="281">
      <c r="A281" s="2">
        <f>Quarterly_Billing_Run!D281</f>
        <v/>
      </c>
      <c r="B281" s="2">
        <f>Quarterly_Billing_Run!F281</f>
        <v/>
      </c>
      <c r="C281" s="2">
        <f>Quarterly_Billing_Run!A281</f>
        <v/>
      </c>
      <c r="D281" s="12">
        <f>Quarterly_Billing_Run!I281</f>
        <v/>
      </c>
      <c r="E281" s="13">
        <f>Quarterly_Billing_Run!P281</f>
        <v/>
      </c>
      <c r="F281" s="2">
        <f>IF($E281=0,0,MAX(0,TODAY()-$D281))</f>
        <v/>
      </c>
      <c r="G281" s="2">
        <f>IF($E281=0,"Current",IF($F281&lt;=30,"1-30",IF($F281&lt;=60,"31-60",IF($F281&lt;=90,"61-90","90+"))))</f>
        <v/>
      </c>
      <c r="H281" s="2">
        <f>Quarterly_Billing_Run!Q281</f>
        <v/>
      </c>
    </row>
    <row r="282">
      <c r="A282" s="2">
        <f>Quarterly_Billing_Run!D282</f>
        <v/>
      </c>
      <c r="B282" s="2">
        <f>Quarterly_Billing_Run!F282</f>
        <v/>
      </c>
      <c r="C282" s="2">
        <f>Quarterly_Billing_Run!A282</f>
        <v/>
      </c>
      <c r="D282" s="12">
        <f>Quarterly_Billing_Run!I282</f>
        <v/>
      </c>
      <c r="E282" s="13">
        <f>Quarterly_Billing_Run!P282</f>
        <v/>
      </c>
      <c r="F282" s="2">
        <f>IF($E282=0,0,MAX(0,TODAY()-$D282))</f>
        <v/>
      </c>
      <c r="G282" s="2">
        <f>IF($E282=0,"Current",IF($F282&lt;=30,"1-30",IF($F282&lt;=60,"31-60",IF($F282&lt;=90,"61-90","90+"))))</f>
        <v/>
      </c>
      <c r="H282" s="2">
        <f>Quarterly_Billing_Run!Q282</f>
        <v/>
      </c>
    </row>
    <row r="283">
      <c r="A283" s="2">
        <f>Quarterly_Billing_Run!D283</f>
        <v/>
      </c>
      <c r="B283" s="2">
        <f>Quarterly_Billing_Run!F283</f>
        <v/>
      </c>
      <c r="C283" s="2">
        <f>Quarterly_Billing_Run!A283</f>
        <v/>
      </c>
      <c r="D283" s="12">
        <f>Quarterly_Billing_Run!I283</f>
        <v/>
      </c>
      <c r="E283" s="13">
        <f>Quarterly_Billing_Run!P283</f>
        <v/>
      </c>
      <c r="F283" s="2">
        <f>IF($E283=0,0,MAX(0,TODAY()-$D283))</f>
        <v/>
      </c>
      <c r="G283" s="2">
        <f>IF($E283=0,"Current",IF($F283&lt;=30,"1-30",IF($F283&lt;=60,"31-60",IF($F283&lt;=90,"61-90","90+"))))</f>
        <v/>
      </c>
      <c r="H283" s="2">
        <f>Quarterly_Billing_Run!Q283</f>
        <v/>
      </c>
    </row>
    <row r="284">
      <c r="A284" s="2">
        <f>Quarterly_Billing_Run!D284</f>
        <v/>
      </c>
      <c r="B284" s="2">
        <f>Quarterly_Billing_Run!F284</f>
        <v/>
      </c>
      <c r="C284" s="2">
        <f>Quarterly_Billing_Run!A284</f>
        <v/>
      </c>
      <c r="D284" s="12">
        <f>Quarterly_Billing_Run!I284</f>
        <v/>
      </c>
      <c r="E284" s="13">
        <f>Quarterly_Billing_Run!P284</f>
        <v/>
      </c>
      <c r="F284" s="2">
        <f>IF($E284=0,0,MAX(0,TODAY()-$D284))</f>
        <v/>
      </c>
      <c r="G284" s="2">
        <f>IF($E284=0,"Current",IF($F284&lt;=30,"1-30",IF($F284&lt;=60,"31-60",IF($F284&lt;=90,"61-90","90+"))))</f>
        <v/>
      </c>
      <c r="H284" s="2">
        <f>Quarterly_Billing_Run!Q284</f>
        <v/>
      </c>
    </row>
    <row r="285">
      <c r="A285" s="2">
        <f>Quarterly_Billing_Run!D285</f>
        <v/>
      </c>
      <c r="B285" s="2">
        <f>Quarterly_Billing_Run!F285</f>
        <v/>
      </c>
      <c r="C285" s="2">
        <f>Quarterly_Billing_Run!A285</f>
        <v/>
      </c>
      <c r="D285" s="12">
        <f>Quarterly_Billing_Run!I285</f>
        <v/>
      </c>
      <c r="E285" s="13">
        <f>Quarterly_Billing_Run!P285</f>
        <v/>
      </c>
      <c r="F285" s="2">
        <f>IF($E285=0,0,MAX(0,TODAY()-$D285))</f>
        <v/>
      </c>
      <c r="G285" s="2">
        <f>IF($E285=0,"Current",IF($F285&lt;=30,"1-30",IF($F285&lt;=60,"31-60",IF($F285&lt;=90,"61-90","90+"))))</f>
        <v/>
      </c>
      <c r="H285" s="2">
        <f>Quarterly_Billing_Run!Q285</f>
        <v/>
      </c>
    </row>
    <row r="286">
      <c r="A286" s="2">
        <f>Quarterly_Billing_Run!D286</f>
        <v/>
      </c>
      <c r="B286" s="2">
        <f>Quarterly_Billing_Run!F286</f>
        <v/>
      </c>
      <c r="C286" s="2">
        <f>Quarterly_Billing_Run!A286</f>
        <v/>
      </c>
      <c r="D286" s="12">
        <f>Quarterly_Billing_Run!I286</f>
        <v/>
      </c>
      <c r="E286" s="13">
        <f>Quarterly_Billing_Run!P286</f>
        <v/>
      </c>
      <c r="F286" s="2">
        <f>IF($E286=0,0,MAX(0,TODAY()-$D286))</f>
        <v/>
      </c>
      <c r="G286" s="2">
        <f>IF($E286=0,"Current",IF($F286&lt;=30,"1-30",IF($F286&lt;=60,"31-60",IF($F286&lt;=90,"61-90","90+"))))</f>
        <v/>
      </c>
      <c r="H286" s="2">
        <f>Quarterly_Billing_Run!Q286</f>
        <v/>
      </c>
    </row>
    <row r="287">
      <c r="A287" s="2">
        <f>Quarterly_Billing_Run!D287</f>
        <v/>
      </c>
      <c r="B287" s="2">
        <f>Quarterly_Billing_Run!F287</f>
        <v/>
      </c>
      <c r="C287" s="2">
        <f>Quarterly_Billing_Run!A287</f>
        <v/>
      </c>
      <c r="D287" s="12">
        <f>Quarterly_Billing_Run!I287</f>
        <v/>
      </c>
      <c r="E287" s="13">
        <f>Quarterly_Billing_Run!P287</f>
        <v/>
      </c>
      <c r="F287" s="2">
        <f>IF($E287=0,0,MAX(0,TODAY()-$D287))</f>
        <v/>
      </c>
      <c r="G287" s="2">
        <f>IF($E287=0,"Current",IF($F287&lt;=30,"1-30",IF($F287&lt;=60,"31-60",IF($F287&lt;=90,"61-90","90+"))))</f>
        <v/>
      </c>
      <c r="H287" s="2">
        <f>Quarterly_Billing_Run!Q287</f>
        <v/>
      </c>
    </row>
    <row r="288">
      <c r="A288" s="2">
        <f>Quarterly_Billing_Run!D288</f>
        <v/>
      </c>
      <c r="B288" s="2">
        <f>Quarterly_Billing_Run!F288</f>
        <v/>
      </c>
      <c r="C288" s="2">
        <f>Quarterly_Billing_Run!A288</f>
        <v/>
      </c>
      <c r="D288" s="12">
        <f>Quarterly_Billing_Run!I288</f>
        <v/>
      </c>
      <c r="E288" s="13">
        <f>Quarterly_Billing_Run!P288</f>
        <v/>
      </c>
      <c r="F288" s="2">
        <f>IF($E288=0,0,MAX(0,TODAY()-$D288))</f>
        <v/>
      </c>
      <c r="G288" s="2">
        <f>IF($E288=0,"Current",IF($F288&lt;=30,"1-30",IF($F288&lt;=60,"31-60",IF($F288&lt;=90,"61-90","90+"))))</f>
        <v/>
      </c>
      <c r="H288" s="2">
        <f>Quarterly_Billing_Run!Q288</f>
        <v/>
      </c>
    </row>
    <row r="289">
      <c r="A289" s="2">
        <f>Quarterly_Billing_Run!D289</f>
        <v/>
      </c>
      <c r="B289" s="2">
        <f>Quarterly_Billing_Run!F289</f>
        <v/>
      </c>
      <c r="C289" s="2">
        <f>Quarterly_Billing_Run!A289</f>
        <v/>
      </c>
      <c r="D289" s="12">
        <f>Quarterly_Billing_Run!I289</f>
        <v/>
      </c>
      <c r="E289" s="13">
        <f>Quarterly_Billing_Run!P289</f>
        <v/>
      </c>
      <c r="F289" s="2">
        <f>IF($E289=0,0,MAX(0,TODAY()-$D289))</f>
        <v/>
      </c>
      <c r="G289" s="2">
        <f>IF($E289=0,"Current",IF($F289&lt;=30,"1-30",IF($F289&lt;=60,"31-60",IF($F289&lt;=90,"61-90","90+"))))</f>
        <v/>
      </c>
      <c r="H289" s="2">
        <f>Quarterly_Billing_Run!Q289</f>
        <v/>
      </c>
    </row>
    <row r="290">
      <c r="A290" s="2">
        <f>Quarterly_Billing_Run!D290</f>
        <v/>
      </c>
      <c r="B290" s="2">
        <f>Quarterly_Billing_Run!F290</f>
        <v/>
      </c>
      <c r="C290" s="2">
        <f>Quarterly_Billing_Run!A290</f>
        <v/>
      </c>
      <c r="D290" s="12">
        <f>Quarterly_Billing_Run!I290</f>
        <v/>
      </c>
      <c r="E290" s="13">
        <f>Quarterly_Billing_Run!P290</f>
        <v/>
      </c>
      <c r="F290" s="2">
        <f>IF($E290=0,0,MAX(0,TODAY()-$D290))</f>
        <v/>
      </c>
      <c r="G290" s="2">
        <f>IF($E290=0,"Current",IF($F290&lt;=30,"1-30",IF($F290&lt;=60,"31-60",IF($F290&lt;=90,"61-90","90+"))))</f>
        <v/>
      </c>
      <c r="H290" s="2">
        <f>Quarterly_Billing_Run!Q290</f>
        <v/>
      </c>
    </row>
    <row r="291">
      <c r="A291" s="2">
        <f>Quarterly_Billing_Run!D291</f>
        <v/>
      </c>
      <c r="B291" s="2">
        <f>Quarterly_Billing_Run!F291</f>
        <v/>
      </c>
      <c r="C291" s="2">
        <f>Quarterly_Billing_Run!A291</f>
        <v/>
      </c>
      <c r="D291" s="12">
        <f>Quarterly_Billing_Run!I291</f>
        <v/>
      </c>
      <c r="E291" s="13">
        <f>Quarterly_Billing_Run!P291</f>
        <v/>
      </c>
      <c r="F291" s="2">
        <f>IF($E291=0,0,MAX(0,TODAY()-$D291))</f>
        <v/>
      </c>
      <c r="G291" s="2">
        <f>IF($E291=0,"Current",IF($F291&lt;=30,"1-30",IF($F291&lt;=60,"31-60",IF($F291&lt;=90,"61-90","90+"))))</f>
        <v/>
      </c>
      <c r="H291" s="2">
        <f>Quarterly_Billing_Run!Q291</f>
        <v/>
      </c>
    </row>
    <row r="292">
      <c r="A292" s="2">
        <f>Quarterly_Billing_Run!D292</f>
        <v/>
      </c>
      <c r="B292" s="2">
        <f>Quarterly_Billing_Run!F292</f>
        <v/>
      </c>
      <c r="C292" s="2">
        <f>Quarterly_Billing_Run!A292</f>
        <v/>
      </c>
      <c r="D292" s="12">
        <f>Quarterly_Billing_Run!I292</f>
        <v/>
      </c>
      <c r="E292" s="13">
        <f>Quarterly_Billing_Run!P292</f>
        <v/>
      </c>
      <c r="F292" s="2">
        <f>IF($E292=0,0,MAX(0,TODAY()-$D292))</f>
        <v/>
      </c>
      <c r="G292" s="2">
        <f>IF($E292=0,"Current",IF($F292&lt;=30,"1-30",IF($F292&lt;=60,"31-60",IF($F292&lt;=90,"61-90","90+"))))</f>
        <v/>
      </c>
      <c r="H292" s="2">
        <f>Quarterly_Billing_Run!Q292</f>
        <v/>
      </c>
    </row>
    <row r="293">
      <c r="A293" s="2">
        <f>Quarterly_Billing_Run!D293</f>
        <v/>
      </c>
      <c r="B293" s="2">
        <f>Quarterly_Billing_Run!F293</f>
        <v/>
      </c>
      <c r="C293" s="2">
        <f>Quarterly_Billing_Run!A293</f>
        <v/>
      </c>
      <c r="D293" s="12">
        <f>Quarterly_Billing_Run!I293</f>
        <v/>
      </c>
      <c r="E293" s="13">
        <f>Quarterly_Billing_Run!P293</f>
        <v/>
      </c>
      <c r="F293" s="2">
        <f>IF($E293=0,0,MAX(0,TODAY()-$D293))</f>
        <v/>
      </c>
      <c r="G293" s="2">
        <f>IF($E293=0,"Current",IF($F293&lt;=30,"1-30",IF($F293&lt;=60,"31-60",IF($F293&lt;=90,"61-90","90+"))))</f>
        <v/>
      </c>
      <c r="H293" s="2">
        <f>Quarterly_Billing_Run!Q293</f>
        <v/>
      </c>
    </row>
    <row r="294">
      <c r="A294" s="2">
        <f>Quarterly_Billing_Run!D294</f>
        <v/>
      </c>
      <c r="B294" s="2">
        <f>Quarterly_Billing_Run!F294</f>
        <v/>
      </c>
      <c r="C294" s="2">
        <f>Quarterly_Billing_Run!A294</f>
        <v/>
      </c>
      <c r="D294" s="12">
        <f>Quarterly_Billing_Run!I294</f>
        <v/>
      </c>
      <c r="E294" s="13">
        <f>Quarterly_Billing_Run!P294</f>
        <v/>
      </c>
      <c r="F294" s="2">
        <f>IF($E294=0,0,MAX(0,TODAY()-$D294))</f>
        <v/>
      </c>
      <c r="G294" s="2">
        <f>IF($E294=0,"Current",IF($F294&lt;=30,"1-30",IF($F294&lt;=60,"31-60",IF($F294&lt;=90,"61-90","90+"))))</f>
        <v/>
      </c>
      <c r="H294" s="2">
        <f>Quarterly_Billing_Run!Q294</f>
        <v/>
      </c>
    </row>
    <row r="295">
      <c r="A295" s="2">
        <f>Quarterly_Billing_Run!D295</f>
        <v/>
      </c>
      <c r="B295" s="2">
        <f>Quarterly_Billing_Run!F295</f>
        <v/>
      </c>
      <c r="C295" s="2">
        <f>Quarterly_Billing_Run!A295</f>
        <v/>
      </c>
      <c r="D295" s="12">
        <f>Quarterly_Billing_Run!I295</f>
        <v/>
      </c>
      <c r="E295" s="13">
        <f>Quarterly_Billing_Run!P295</f>
        <v/>
      </c>
      <c r="F295" s="2">
        <f>IF($E295=0,0,MAX(0,TODAY()-$D295))</f>
        <v/>
      </c>
      <c r="G295" s="2">
        <f>IF($E295=0,"Current",IF($F295&lt;=30,"1-30",IF($F295&lt;=60,"31-60",IF($F295&lt;=90,"61-90","90+"))))</f>
        <v/>
      </c>
      <c r="H295" s="2">
        <f>Quarterly_Billing_Run!Q295</f>
        <v/>
      </c>
    </row>
    <row r="296">
      <c r="A296" s="2">
        <f>Quarterly_Billing_Run!D296</f>
        <v/>
      </c>
      <c r="B296" s="2">
        <f>Quarterly_Billing_Run!F296</f>
        <v/>
      </c>
      <c r="C296" s="2">
        <f>Quarterly_Billing_Run!A296</f>
        <v/>
      </c>
      <c r="D296" s="12">
        <f>Quarterly_Billing_Run!I296</f>
        <v/>
      </c>
      <c r="E296" s="13">
        <f>Quarterly_Billing_Run!P296</f>
        <v/>
      </c>
      <c r="F296" s="2">
        <f>IF($E296=0,0,MAX(0,TODAY()-$D296))</f>
        <v/>
      </c>
      <c r="G296" s="2">
        <f>IF($E296=0,"Current",IF($F296&lt;=30,"1-30",IF($F296&lt;=60,"31-60",IF($F296&lt;=90,"61-90","90+"))))</f>
        <v/>
      </c>
      <c r="H296" s="2">
        <f>Quarterly_Billing_Run!Q296</f>
        <v/>
      </c>
    </row>
    <row r="297">
      <c r="A297" s="2">
        <f>Quarterly_Billing_Run!D297</f>
        <v/>
      </c>
      <c r="B297" s="2">
        <f>Quarterly_Billing_Run!F297</f>
        <v/>
      </c>
      <c r="C297" s="2">
        <f>Quarterly_Billing_Run!A297</f>
        <v/>
      </c>
      <c r="D297" s="12">
        <f>Quarterly_Billing_Run!I297</f>
        <v/>
      </c>
      <c r="E297" s="13">
        <f>Quarterly_Billing_Run!P297</f>
        <v/>
      </c>
      <c r="F297" s="2">
        <f>IF($E297=0,0,MAX(0,TODAY()-$D297))</f>
        <v/>
      </c>
      <c r="G297" s="2">
        <f>IF($E297=0,"Current",IF($F297&lt;=30,"1-30",IF($F297&lt;=60,"31-60",IF($F297&lt;=90,"61-90","90+"))))</f>
        <v/>
      </c>
      <c r="H297" s="2">
        <f>Quarterly_Billing_Run!Q297</f>
        <v/>
      </c>
    </row>
    <row r="298">
      <c r="A298" s="2">
        <f>Quarterly_Billing_Run!D298</f>
        <v/>
      </c>
      <c r="B298" s="2">
        <f>Quarterly_Billing_Run!F298</f>
        <v/>
      </c>
      <c r="C298" s="2">
        <f>Quarterly_Billing_Run!A298</f>
        <v/>
      </c>
      <c r="D298" s="12">
        <f>Quarterly_Billing_Run!I298</f>
        <v/>
      </c>
      <c r="E298" s="13">
        <f>Quarterly_Billing_Run!P298</f>
        <v/>
      </c>
      <c r="F298" s="2">
        <f>IF($E298=0,0,MAX(0,TODAY()-$D298))</f>
        <v/>
      </c>
      <c r="G298" s="2">
        <f>IF($E298=0,"Current",IF($F298&lt;=30,"1-30",IF($F298&lt;=60,"31-60",IF($F298&lt;=90,"61-90","90+"))))</f>
        <v/>
      </c>
      <c r="H298" s="2">
        <f>Quarterly_Billing_Run!Q298</f>
        <v/>
      </c>
    </row>
    <row r="299">
      <c r="A299" s="2">
        <f>Quarterly_Billing_Run!D299</f>
        <v/>
      </c>
      <c r="B299" s="2">
        <f>Quarterly_Billing_Run!F299</f>
        <v/>
      </c>
      <c r="C299" s="2">
        <f>Quarterly_Billing_Run!A299</f>
        <v/>
      </c>
      <c r="D299" s="12">
        <f>Quarterly_Billing_Run!I299</f>
        <v/>
      </c>
      <c r="E299" s="13">
        <f>Quarterly_Billing_Run!P299</f>
        <v/>
      </c>
      <c r="F299" s="2">
        <f>IF($E299=0,0,MAX(0,TODAY()-$D299))</f>
        <v/>
      </c>
      <c r="G299" s="2">
        <f>IF($E299=0,"Current",IF($F299&lt;=30,"1-30",IF($F299&lt;=60,"31-60",IF($F299&lt;=90,"61-90","90+"))))</f>
        <v/>
      </c>
      <c r="H299" s="2">
        <f>Quarterly_Billing_Run!Q299</f>
        <v/>
      </c>
    </row>
    <row r="300">
      <c r="A300" s="2">
        <f>Quarterly_Billing_Run!D300</f>
        <v/>
      </c>
      <c r="B300" s="2">
        <f>Quarterly_Billing_Run!F300</f>
        <v/>
      </c>
      <c r="C300" s="2">
        <f>Quarterly_Billing_Run!A300</f>
        <v/>
      </c>
      <c r="D300" s="12">
        <f>Quarterly_Billing_Run!I300</f>
        <v/>
      </c>
      <c r="E300" s="13">
        <f>Quarterly_Billing_Run!P300</f>
        <v/>
      </c>
      <c r="F300" s="2">
        <f>IF($E300=0,0,MAX(0,TODAY()-$D300))</f>
        <v/>
      </c>
      <c r="G300" s="2">
        <f>IF($E300=0,"Current",IF($F300&lt;=30,"1-30",IF($F300&lt;=60,"31-60",IF($F300&lt;=90,"61-90","90+"))))</f>
        <v/>
      </c>
      <c r="H300" s="2">
        <f>Quarterly_Billing_Run!Q300</f>
        <v/>
      </c>
    </row>
    <row r="301">
      <c r="A301" s="2">
        <f>Quarterly_Billing_Run!D301</f>
        <v/>
      </c>
      <c r="B301" s="2">
        <f>Quarterly_Billing_Run!F301</f>
        <v/>
      </c>
      <c r="C301" s="2">
        <f>Quarterly_Billing_Run!A301</f>
        <v/>
      </c>
      <c r="D301" s="12">
        <f>Quarterly_Billing_Run!I301</f>
        <v/>
      </c>
      <c r="E301" s="13">
        <f>Quarterly_Billing_Run!P301</f>
        <v/>
      </c>
      <c r="F301" s="2">
        <f>IF($E301=0,0,MAX(0,TODAY()-$D301))</f>
        <v/>
      </c>
      <c r="G301" s="2">
        <f>IF($E301=0,"Current",IF($F301&lt;=30,"1-30",IF($F301&lt;=60,"31-60",IF($F301&lt;=90,"61-90","90+"))))</f>
        <v/>
      </c>
      <c r="H301" s="2">
        <f>Quarterly_Billing_Run!Q301</f>
        <v/>
      </c>
    </row>
    <row r="302">
      <c r="A302" s="2">
        <f>Quarterly_Billing_Run!D302</f>
        <v/>
      </c>
      <c r="B302" s="2">
        <f>Quarterly_Billing_Run!F302</f>
        <v/>
      </c>
      <c r="C302" s="2">
        <f>Quarterly_Billing_Run!A302</f>
        <v/>
      </c>
      <c r="D302" s="12">
        <f>Quarterly_Billing_Run!I302</f>
        <v/>
      </c>
      <c r="E302" s="13">
        <f>Quarterly_Billing_Run!P302</f>
        <v/>
      </c>
      <c r="F302" s="2">
        <f>IF($E302=0,0,MAX(0,TODAY()-$D302))</f>
        <v/>
      </c>
      <c r="G302" s="2">
        <f>IF($E302=0,"Current",IF($F302&lt;=30,"1-30",IF($F302&lt;=60,"31-60",IF($F302&lt;=90,"61-90","90+"))))</f>
        <v/>
      </c>
      <c r="H302" s="2">
        <f>Quarterly_Billing_Run!Q302</f>
        <v/>
      </c>
    </row>
    <row r="303">
      <c r="A303" s="2">
        <f>Quarterly_Billing_Run!D303</f>
        <v/>
      </c>
      <c r="B303" s="2">
        <f>Quarterly_Billing_Run!F303</f>
        <v/>
      </c>
      <c r="C303" s="2">
        <f>Quarterly_Billing_Run!A303</f>
        <v/>
      </c>
      <c r="D303" s="12">
        <f>Quarterly_Billing_Run!I303</f>
        <v/>
      </c>
      <c r="E303" s="13">
        <f>Quarterly_Billing_Run!P303</f>
        <v/>
      </c>
      <c r="F303" s="2">
        <f>IF($E303=0,0,MAX(0,TODAY()-$D303))</f>
        <v/>
      </c>
      <c r="G303" s="2">
        <f>IF($E303=0,"Current",IF($F303&lt;=30,"1-30",IF($F303&lt;=60,"31-60",IF($F303&lt;=90,"61-90","90+"))))</f>
        <v/>
      </c>
      <c r="H303" s="2">
        <f>Quarterly_Billing_Run!Q303</f>
        <v/>
      </c>
    </row>
    <row r="304">
      <c r="A304" s="2">
        <f>Quarterly_Billing_Run!D304</f>
        <v/>
      </c>
      <c r="B304" s="2">
        <f>Quarterly_Billing_Run!F304</f>
        <v/>
      </c>
      <c r="C304" s="2">
        <f>Quarterly_Billing_Run!A304</f>
        <v/>
      </c>
      <c r="D304" s="12">
        <f>Quarterly_Billing_Run!I304</f>
        <v/>
      </c>
      <c r="E304" s="13">
        <f>Quarterly_Billing_Run!P304</f>
        <v/>
      </c>
      <c r="F304" s="2">
        <f>IF($E304=0,0,MAX(0,TODAY()-$D304))</f>
        <v/>
      </c>
      <c r="G304" s="2">
        <f>IF($E304=0,"Current",IF($F304&lt;=30,"1-30",IF($F304&lt;=60,"31-60",IF($F304&lt;=90,"61-90","90+"))))</f>
        <v/>
      </c>
      <c r="H304" s="2">
        <f>Quarterly_Billing_Run!Q304</f>
        <v/>
      </c>
    </row>
    <row r="305">
      <c r="A305" s="2">
        <f>Quarterly_Billing_Run!D305</f>
        <v/>
      </c>
      <c r="B305" s="2">
        <f>Quarterly_Billing_Run!F305</f>
        <v/>
      </c>
      <c r="C305" s="2">
        <f>Quarterly_Billing_Run!A305</f>
        <v/>
      </c>
      <c r="D305" s="12">
        <f>Quarterly_Billing_Run!I305</f>
        <v/>
      </c>
      <c r="E305" s="13">
        <f>Quarterly_Billing_Run!P305</f>
        <v/>
      </c>
      <c r="F305" s="2">
        <f>IF($E305=0,0,MAX(0,TODAY()-$D305))</f>
        <v/>
      </c>
      <c r="G305" s="2">
        <f>IF($E305=0,"Current",IF($F305&lt;=30,"1-30",IF($F305&lt;=60,"31-60",IF($F305&lt;=90,"61-90","90+"))))</f>
        <v/>
      </c>
      <c r="H305" s="2">
        <f>Quarterly_Billing_Run!Q305</f>
        <v/>
      </c>
    </row>
    <row r="306">
      <c r="A306" s="2">
        <f>Quarterly_Billing_Run!D306</f>
        <v/>
      </c>
      <c r="B306" s="2">
        <f>Quarterly_Billing_Run!F306</f>
        <v/>
      </c>
      <c r="C306" s="2">
        <f>Quarterly_Billing_Run!A306</f>
        <v/>
      </c>
      <c r="D306" s="12">
        <f>Quarterly_Billing_Run!I306</f>
        <v/>
      </c>
      <c r="E306" s="13">
        <f>Quarterly_Billing_Run!P306</f>
        <v/>
      </c>
      <c r="F306" s="2">
        <f>IF($E306=0,0,MAX(0,TODAY()-$D306))</f>
        <v/>
      </c>
      <c r="G306" s="2">
        <f>IF($E306=0,"Current",IF($F306&lt;=30,"1-30",IF($F306&lt;=60,"31-60",IF($F306&lt;=90,"61-90","90+"))))</f>
        <v/>
      </c>
      <c r="H306" s="2">
        <f>Quarterly_Billing_Run!Q306</f>
        <v/>
      </c>
    </row>
    <row r="307">
      <c r="A307" s="2">
        <f>Quarterly_Billing_Run!D307</f>
        <v/>
      </c>
      <c r="B307" s="2">
        <f>Quarterly_Billing_Run!F307</f>
        <v/>
      </c>
      <c r="C307" s="2">
        <f>Quarterly_Billing_Run!A307</f>
        <v/>
      </c>
      <c r="D307" s="12">
        <f>Quarterly_Billing_Run!I307</f>
        <v/>
      </c>
      <c r="E307" s="13">
        <f>Quarterly_Billing_Run!P307</f>
        <v/>
      </c>
      <c r="F307" s="2">
        <f>IF($E307=0,0,MAX(0,TODAY()-$D307))</f>
        <v/>
      </c>
      <c r="G307" s="2">
        <f>IF($E307=0,"Current",IF($F307&lt;=30,"1-30",IF($F307&lt;=60,"31-60",IF($F307&lt;=90,"61-90","90+"))))</f>
        <v/>
      </c>
      <c r="H307" s="2">
        <f>Quarterly_Billing_Run!Q307</f>
        <v/>
      </c>
    </row>
    <row r="308">
      <c r="A308" s="2">
        <f>Quarterly_Billing_Run!D308</f>
        <v/>
      </c>
      <c r="B308" s="2">
        <f>Quarterly_Billing_Run!F308</f>
        <v/>
      </c>
      <c r="C308" s="2">
        <f>Quarterly_Billing_Run!A308</f>
        <v/>
      </c>
      <c r="D308" s="12">
        <f>Quarterly_Billing_Run!I308</f>
        <v/>
      </c>
      <c r="E308" s="13">
        <f>Quarterly_Billing_Run!P308</f>
        <v/>
      </c>
      <c r="F308" s="2">
        <f>IF($E308=0,0,MAX(0,TODAY()-$D308))</f>
        <v/>
      </c>
      <c r="G308" s="2">
        <f>IF($E308=0,"Current",IF($F308&lt;=30,"1-30",IF($F308&lt;=60,"31-60",IF($F308&lt;=90,"61-90","90+"))))</f>
        <v/>
      </c>
      <c r="H308" s="2">
        <f>Quarterly_Billing_Run!Q308</f>
        <v/>
      </c>
    </row>
    <row r="309">
      <c r="A309" s="2">
        <f>Quarterly_Billing_Run!D309</f>
        <v/>
      </c>
      <c r="B309" s="2">
        <f>Quarterly_Billing_Run!F309</f>
        <v/>
      </c>
      <c r="C309" s="2">
        <f>Quarterly_Billing_Run!A309</f>
        <v/>
      </c>
      <c r="D309" s="12">
        <f>Quarterly_Billing_Run!I309</f>
        <v/>
      </c>
      <c r="E309" s="13">
        <f>Quarterly_Billing_Run!P309</f>
        <v/>
      </c>
      <c r="F309" s="2">
        <f>IF($E309=0,0,MAX(0,TODAY()-$D309))</f>
        <v/>
      </c>
      <c r="G309" s="2">
        <f>IF($E309=0,"Current",IF($F309&lt;=30,"1-30",IF($F309&lt;=60,"31-60",IF($F309&lt;=90,"61-90","90+"))))</f>
        <v/>
      </c>
      <c r="H309" s="2">
        <f>Quarterly_Billing_Run!Q309</f>
        <v/>
      </c>
    </row>
    <row r="310">
      <c r="A310" s="2">
        <f>Quarterly_Billing_Run!D310</f>
        <v/>
      </c>
      <c r="B310" s="2">
        <f>Quarterly_Billing_Run!F310</f>
        <v/>
      </c>
      <c r="C310" s="2">
        <f>Quarterly_Billing_Run!A310</f>
        <v/>
      </c>
      <c r="D310" s="12">
        <f>Quarterly_Billing_Run!I310</f>
        <v/>
      </c>
      <c r="E310" s="13">
        <f>Quarterly_Billing_Run!P310</f>
        <v/>
      </c>
      <c r="F310" s="2">
        <f>IF($E310=0,0,MAX(0,TODAY()-$D310))</f>
        <v/>
      </c>
      <c r="G310" s="2">
        <f>IF($E310=0,"Current",IF($F310&lt;=30,"1-30",IF($F310&lt;=60,"31-60",IF($F310&lt;=90,"61-90","90+"))))</f>
        <v/>
      </c>
      <c r="H310" s="2">
        <f>Quarterly_Billing_Run!Q310</f>
        <v/>
      </c>
    </row>
    <row r="311">
      <c r="A311" s="2">
        <f>Quarterly_Billing_Run!D311</f>
        <v/>
      </c>
      <c r="B311" s="2">
        <f>Quarterly_Billing_Run!F311</f>
        <v/>
      </c>
      <c r="C311" s="2">
        <f>Quarterly_Billing_Run!A311</f>
        <v/>
      </c>
      <c r="D311" s="12">
        <f>Quarterly_Billing_Run!I311</f>
        <v/>
      </c>
      <c r="E311" s="13">
        <f>Quarterly_Billing_Run!P311</f>
        <v/>
      </c>
      <c r="F311" s="2">
        <f>IF($E311=0,0,MAX(0,TODAY()-$D311))</f>
        <v/>
      </c>
      <c r="G311" s="2">
        <f>IF($E311=0,"Current",IF($F311&lt;=30,"1-30",IF($F311&lt;=60,"31-60",IF($F311&lt;=90,"61-90","90+"))))</f>
        <v/>
      </c>
      <c r="H311" s="2">
        <f>Quarterly_Billing_Run!Q311</f>
        <v/>
      </c>
    </row>
    <row r="312">
      <c r="A312" s="2">
        <f>Quarterly_Billing_Run!D312</f>
        <v/>
      </c>
      <c r="B312" s="2">
        <f>Quarterly_Billing_Run!F312</f>
        <v/>
      </c>
      <c r="C312" s="2">
        <f>Quarterly_Billing_Run!A312</f>
        <v/>
      </c>
      <c r="D312" s="12">
        <f>Quarterly_Billing_Run!I312</f>
        <v/>
      </c>
      <c r="E312" s="13">
        <f>Quarterly_Billing_Run!P312</f>
        <v/>
      </c>
      <c r="F312" s="2">
        <f>IF($E312=0,0,MAX(0,TODAY()-$D312))</f>
        <v/>
      </c>
      <c r="G312" s="2">
        <f>IF($E312=0,"Current",IF($F312&lt;=30,"1-30",IF($F312&lt;=60,"31-60",IF($F312&lt;=90,"61-90","90+"))))</f>
        <v/>
      </c>
      <c r="H312" s="2">
        <f>Quarterly_Billing_Run!Q312</f>
        <v/>
      </c>
    </row>
    <row r="313">
      <c r="A313" s="2">
        <f>Quarterly_Billing_Run!D313</f>
        <v/>
      </c>
      <c r="B313" s="2">
        <f>Quarterly_Billing_Run!F313</f>
        <v/>
      </c>
      <c r="C313" s="2">
        <f>Quarterly_Billing_Run!A313</f>
        <v/>
      </c>
      <c r="D313" s="12">
        <f>Quarterly_Billing_Run!I313</f>
        <v/>
      </c>
      <c r="E313" s="13">
        <f>Quarterly_Billing_Run!P313</f>
        <v/>
      </c>
      <c r="F313" s="2">
        <f>IF($E313=0,0,MAX(0,TODAY()-$D313))</f>
        <v/>
      </c>
      <c r="G313" s="2">
        <f>IF($E313=0,"Current",IF($F313&lt;=30,"1-30",IF($F313&lt;=60,"31-60",IF($F313&lt;=90,"61-90","90+"))))</f>
        <v/>
      </c>
      <c r="H313" s="2">
        <f>Quarterly_Billing_Run!Q313</f>
        <v/>
      </c>
    </row>
    <row r="314">
      <c r="A314" s="2">
        <f>Quarterly_Billing_Run!D314</f>
        <v/>
      </c>
      <c r="B314" s="2">
        <f>Quarterly_Billing_Run!F314</f>
        <v/>
      </c>
      <c r="C314" s="2">
        <f>Quarterly_Billing_Run!A314</f>
        <v/>
      </c>
      <c r="D314" s="12">
        <f>Quarterly_Billing_Run!I314</f>
        <v/>
      </c>
      <c r="E314" s="13">
        <f>Quarterly_Billing_Run!P314</f>
        <v/>
      </c>
      <c r="F314" s="2">
        <f>IF($E314=0,0,MAX(0,TODAY()-$D314))</f>
        <v/>
      </c>
      <c r="G314" s="2">
        <f>IF($E314=0,"Current",IF($F314&lt;=30,"1-30",IF($F314&lt;=60,"31-60",IF($F314&lt;=90,"61-90","90+"))))</f>
        <v/>
      </c>
      <c r="H314" s="2">
        <f>Quarterly_Billing_Run!Q314</f>
        <v/>
      </c>
    </row>
    <row r="315">
      <c r="A315" s="2">
        <f>Quarterly_Billing_Run!D315</f>
        <v/>
      </c>
      <c r="B315" s="2">
        <f>Quarterly_Billing_Run!F315</f>
        <v/>
      </c>
      <c r="C315" s="2">
        <f>Quarterly_Billing_Run!A315</f>
        <v/>
      </c>
      <c r="D315" s="12">
        <f>Quarterly_Billing_Run!I315</f>
        <v/>
      </c>
      <c r="E315" s="13">
        <f>Quarterly_Billing_Run!P315</f>
        <v/>
      </c>
      <c r="F315" s="2">
        <f>IF($E315=0,0,MAX(0,TODAY()-$D315))</f>
        <v/>
      </c>
      <c r="G315" s="2">
        <f>IF($E315=0,"Current",IF($F315&lt;=30,"1-30",IF($F315&lt;=60,"31-60",IF($F315&lt;=90,"61-90","90+"))))</f>
        <v/>
      </c>
      <c r="H315" s="2">
        <f>Quarterly_Billing_Run!Q315</f>
        <v/>
      </c>
    </row>
    <row r="316">
      <c r="A316" s="2">
        <f>Quarterly_Billing_Run!D316</f>
        <v/>
      </c>
      <c r="B316" s="2">
        <f>Quarterly_Billing_Run!F316</f>
        <v/>
      </c>
      <c r="C316" s="2">
        <f>Quarterly_Billing_Run!A316</f>
        <v/>
      </c>
      <c r="D316" s="12">
        <f>Quarterly_Billing_Run!I316</f>
        <v/>
      </c>
      <c r="E316" s="13">
        <f>Quarterly_Billing_Run!P316</f>
        <v/>
      </c>
      <c r="F316" s="2">
        <f>IF($E316=0,0,MAX(0,TODAY()-$D316))</f>
        <v/>
      </c>
      <c r="G316" s="2">
        <f>IF($E316=0,"Current",IF($F316&lt;=30,"1-30",IF($F316&lt;=60,"31-60",IF($F316&lt;=90,"61-90","90+"))))</f>
        <v/>
      </c>
      <c r="H316" s="2">
        <f>Quarterly_Billing_Run!Q316</f>
        <v/>
      </c>
    </row>
    <row r="317">
      <c r="A317" s="2">
        <f>Quarterly_Billing_Run!D317</f>
        <v/>
      </c>
      <c r="B317" s="2">
        <f>Quarterly_Billing_Run!F317</f>
        <v/>
      </c>
      <c r="C317" s="2">
        <f>Quarterly_Billing_Run!A317</f>
        <v/>
      </c>
      <c r="D317" s="12">
        <f>Quarterly_Billing_Run!I317</f>
        <v/>
      </c>
      <c r="E317" s="13">
        <f>Quarterly_Billing_Run!P317</f>
        <v/>
      </c>
      <c r="F317" s="2">
        <f>IF($E317=0,0,MAX(0,TODAY()-$D317))</f>
        <v/>
      </c>
      <c r="G317" s="2">
        <f>IF($E317=0,"Current",IF($F317&lt;=30,"1-30",IF($F317&lt;=60,"31-60",IF($F317&lt;=90,"61-90","90+"))))</f>
        <v/>
      </c>
      <c r="H317" s="2">
        <f>Quarterly_Billing_Run!Q317</f>
        <v/>
      </c>
    </row>
    <row r="318">
      <c r="A318" s="2">
        <f>Quarterly_Billing_Run!D318</f>
        <v/>
      </c>
      <c r="B318" s="2">
        <f>Quarterly_Billing_Run!F318</f>
        <v/>
      </c>
      <c r="C318" s="2">
        <f>Quarterly_Billing_Run!A318</f>
        <v/>
      </c>
      <c r="D318" s="12">
        <f>Quarterly_Billing_Run!I318</f>
        <v/>
      </c>
      <c r="E318" s="13">
        <f>Quarterly_Billing_Run!P318</f>
        <v/>
      </c>
      <c r="F318" s="2">
        <f>IF($E318=0,0,MAX(0,TODAY()-$D318))</f>
        <v/>
      </c>
      <c r="G318" s="2">
        <f>IF($E318=0,"Current",IF($F318&lt;=30,"1-30",IF($F318&lt;=60,"31-60",IF($F318&lt;=90,"61-90","90+"))))</f>
        <v/>
      </c>
      <c r="H318" s="2">
        <f>Quarterly_Billing_Run!Q318</f>
        <v/>
      </c>
    </row>
    <row r="319">
      <c r="A319" s="2">
        <f>Quarterly_Billing_Run!D319</f>
        <v/>
      </c>
      <c r="B319" s="2">
        <f>Quarterly_Billing_Run!F319</f>
        <v/>
      </c>
      <c r="C319" s="2">
        <f>Quarterly_Billing_Run!A319</f>
        <v/>
      </c>
      <c r="D319" s="12">
        <f>Quarterly_Billing_Run!I319</f>
        <v/>
      </c>
      <c r="E319" s="13">
        <f>Quarterly_Billing_Run!P319</f>
        <v/>
      </c>
      <c r="F319" s="2">
        <f>IF($E319=0,0,MAX(0,TODAY()-$D319))</f>
        <v/>
      </c>
      <c r="G319" s="2">
        <f>IF($E319=0,"Current",IF($F319&lt;=30,"1-30",IF($F319&lt;=60,"31-60",IF($F319&lt;=90,"61-90","90+"))))</f>
        <v/>
      </c>
      <c r="H319" s="2">
        <f>Quarterly_Billing_Run!Q319</f>
        <v/>
      </c>
    </row>
    <row r="320">
      <c r="A320" s="2">
        <f>Quarterly_Billing_Run!D320</f>
        <v/>
      </c>
      <c r="B320" s="2">
        <f>Quarterly_Billing_Run!F320</f>
        <v/>
      </c>
      <c r="C320" s="2">
        <f>Quarterly_Billing_Run!A320</f>
        <v/>
      </c>
      <c r="D320" s="12">
        <f>Quarterly_Billing_Run!I320</f>
        <v/>
      </c>
      <c r="E320" s="13">
        <f>Quarterly_Billing_Run!P320</f>
        <v/>
      </c>
      <c r="F320" s="2">
        <f>IF($E320=0,0,MAX(0,TODAY()-$D320))</f>
        <v/>
      </c>
      <c r="G320" s="2">
        <f>IF($E320=0,"Current",IF($F320&lt;=30,"1-30",IF($F320&lt;=60,"31-60",IF($F320&lt;=90,"61-90","90+"))))</f>
        <v/>
      </c>
      <c r="H320" s="2">
        <f>Quarterly_Billing_Run!Q320</f>
        <v/>
      </c>
    </row>
    <row r="321">
      <c r="A321" s="2">
        <f>Quarterly_Billing_Run!D321</f>
        <v/>
      </c>
      <c r="B321" s="2">
        <f>Quarterly_Billing_Run!F321</f>
        <v/>
      </c>
      <c r="C321" s="2">
        <f>Quarterly_Billing_Run!A321</f>
        <v/>
      </c>
      <c r="D321" s="12">
        <f>Quarterly_Billing_Run!I321</f>
        <v/>
      </c>
      <c r="E321" s="13">
        <f>Quarterly_Billing_Run!P321</f>
        <v/>
      </c>
      <c r="F321" s="2">
        <f>IF($E321=0,0,MAX(0,TODAY()-$D321))</f>
        <v/>
      </c>
      <c r="G321" s="2">
        <f>IF($E321=0,"Current",IF($F321&lt;=30,"1-30",IF($F321&lt;=60,"31-60",IF($F321&lt;=90,"61-90","90+"))))</f>
        <v/>
      </c>
      <c r="H321" s="2">
        <f>Quarterly_Billing_Run!Q321</f>
        <v/>
      </c>
    </row>
    <row r="322">
      <c r="A322" s="2">
        <f>Quarterly_Billing_Run!D322</f>
        <v/>
      </c>
      <c r="B322" s="2">
        <f>Quarterly_Billing_Run!F322</f>
        <v/>
      </c>
      <c r="C322" s="2">
        <f>Quarterly_Billing_Run!A322</f>
        <v/>
      </c>
      <c r="D322" s="12">
        <f>Quarterly_Billing_Run!I322</f>
        <v/>
      </c>
      <c r="E322" s="13">
        <f>Quarterly_Billing_Run!P322</f>
        <v/>
      </c>
      <c r="F322" s="2">
        <f>IF($E322=0,0,MAX(0,TODAY()-$D322))</f>
        <v/>
      </c>
      <c r="G322" s="2">
        <f>IF($E322=0,"Current",IF($F322&lt;=30,"1-30",IF($F322&lt;=60,"31-60",IF($F322&lt;=90,"61-90","90+"))))</f>
        <v/>
      </c>
      <c r="H322" s="2">
        <f>Quarterly_Billing_Run!Q322</f>
        <v/>
      </c>
    </row>
    <row r="323">
      <c r="A323" s="2">
        <f>Quarterly_Billing_Run!D323</f>
        <v/>
      </c>
      <c r="B323" s="2">
        <f>Quarterly_Billing_Run!F323</f>
        <v/>
      </c>
      <c r="C323" s="2">
        <f>Quarterly_Billing_Run!A323</f>
        <v/>
      </c>
      <c r="D323" s="12">
        <f>Quarterly_Billing_Run!I323</f>
        <v/>
      </c>
      <c r="E323" s="13">
        <f>Quarterly_Billing_Run!P323</f>
        <v/>
      </c>
      <c r="F323" s="2">
        <f>IF($E323=0,0,MAX(0,TODAY()-$D323))</f>
        <v/>
      </c>
      <c r="G323" s="2">
        <f>IF($E323=0,"Current",IF($F323&lt;=30,"1-30",IF($F323&lt;=60,"31-60",IF($F323&lt;=90,"61-90","90+"))))</f>
        <v/>
      </c>
      <c r="H323" s="2">
        <f>Quarterly_Billing_Run!Q323</f>
        <v/>
      </c>
    </row>
    <row r="324">
      <c r="A324" s="2">
        <f>Quarterly_Billing_Run!D324</f>
        <v/>
      </c>
      <c r="B324" s="2">
        <f>Quarterly_Billing_Run!F324</f>
        <v/>
      </c>
      <c r="C324" s="2">
        <f>Quarterly_Billing_Run!A324</f>
        <v/>
      </c>
      <c r="D324" s="12">
        <f>Quarterly_Billing_Run!I324</f>
        <v/>
      </c>
      <c r="E324" s="13">
        <f>Quarterly_Billing_Run!P324</f>
        <v/>
      </c>
      <c r="F324" s="2">
        <f>IF($E324=0,0,MAX(0,TODAY()-$D324))</f>
        <v/>
      </c>
      <c r="G324" s="2">
        <f>IF($E324=0,"Current",IF($F324&lt;=30,"1-30",IF($F324&lt;=60,"31-60",IF($F324&lt;=90,"61-90","90+"))))</f>
        <v/>
      </c>
      <c r="H324" s="2">
        <f>Quarterly_Billing_Run!Q324</f>
        <v/>
      </c>
    </row>
    <row r="325">
      <c r="A325" s="2">
        <f>Quarterly_Billing_Run!D325</f>
        <v/>
      </c>
      <c r="B325" s="2">
        <f>Quarterly_Billing_Run!F325</f>
        <v/>
      </c>
      <c r="C325" s="2">
        <f>Quarterly_Billing_Run!A325</f>
        <v/>
      </c>
      <c r="D325" s="12">
        <f>Quarterly_Billing_Run!I325</f>
        <v/>
      </c>
      <c r="E325" s="13">
        <f>Quarterly_Billing_Run!P325</f>
        <v/>
      </c>
      <c r="F325" s="2">
        <f>IF($E325=0,0,MAX(0,TODAY()-$D325))</f>
        <v/>
      </c>
      <c r="G325" s="2">
        <f>IF($E325=0,"Current",IF($F325&lt;=30,"1-30",IF($F325&lt;=60,"31-60",IF($F325&lt;=90,"61-90","90+"))))</f>
        <v/>
      </c>
      <c r="H325" s="2">
        <f>Quarterly_Billing_Run!Q325</f>
        <v/>
      </c>
    </row>
    <row r="326">
      <c r="A326" s="2">
        <f>Quarterly_Billing_Run!D326</f>
        <v/>
      </c>
      <c r="B326" s="2">
        <f>Quarterly_Billing_Run!F326</f>
        <v/>
      </c>
      <c r="C326" s="2">
        <f>Quarterly_Billing_Run!A326</f>
        <v/>
      </c>
      <c r="D326" s="12">
        <f>Quarterly_Billing_Run!I326</f>
        <v/>
      </c>
      <c r="E326" s="13">
        <f>Quarterly_Billing_Run!P326</f>
        <v/>
      </c>
      <c r="F326" s="2">
        <f>IF($E326=0,0,MAX(0,TODAY()-$D326))</f>
        <v/>
      </c>
      <c r="G326" s="2">
        <f>IF($E326=0,"Current",IF($F326&lt;=30,"1-30",IF($F326&lt;=60,"31-60",IF($F326&lt;=90,"61-90","90+"))))</f>
        <v/>
      </c>
      <c r="H326" s="2">
        <f>Quarterly_Billing_Run!Q326</f>
        <v/>
      </c>
    </row>
    <row r="327">
      <c r="A327" s="2">
        <f>Quarterly_Billing_Run!D327</f>
        <v/>
      </c>
      <c r="B327" s="2">
        <f>Quarterly_Billing_Run!F327</f>
        <v/>
      </c>
      <c r="C327" s="2">
        <f>Quarterly_Billing_Run!A327</f>
        <v/>
      </c>
      <c r="D327" s="12">
        <f>Quarterly_Billing_Run!I327</f>
        <v/>
      </c>
      <c r="E327" s="13">
        <f>Quarterly_Billing_Run!P327</f>
        <v/>
      </c>
      <c r="F327" s="2">
        <f>IF($E327=0,0,MAX(0,TODAY()-$D327))</f>
        <v/>
      </c>
      <c r="G327" s="2">
        <f>IF($E327=0,"Current",IF($F327&lt;=30,"1-30",IF($F327&lt;=60,"31-60",IF($F327&lt;=90,"61-90","90+"))))</f>
        <v/>
      </c>
      <c r="H327" s="2">
        <f>Quarterly_Billing_Run!Q327</f>
        <v/>
      </c>
    </row>
    <row r="328">
      <c r="A328" s="2">
        <f>Quarterly_Billing_Run!D328</f>
        <v/>
      </c>
      <c r="B328" s="2">
        <f>Quarterly_Billing_Run!F328</f>
        <v/>
      </c>
      <c r="C328" s="2">
        <f>Quarterly_Billing_Run!A328</f>
        <v/>
      </c>
      <c r="D328" s="12">
        <f>Quarterly_Billing_Run!I328</f>
        <v/>
      </c>
      <c r="E328" s="13">
        <f>Quarterly_Billing_Run!P328</f>
        <v/>
      </c>
      <c r="F328" s="2">
        <f>IF($E328=0,0,MAX(0,TODAY()-$D328))</f>
        <v/>
      </c>
      <c r="G328" s="2">
        <f>IF($E328=0,"Current",IF($F328&lt;=30,"1-30",IF($F328&lt;=60,"31-60",IF($F328&lt;=90,"61-90","90+"))))</f>
        <v/>
      </c>
      <c r="H328" s="2">
        <f>Quarterly_Billing_Run!Q328</f>
        <v/>
      </c>
    </row>
    <row r="329">
      <c r="A329" s="2">
        <f>Quarterly_Billing_Run!D329</f>
        <v/>
      </c>
      <c r="B329" s="2">
        <f>Quarterly_Billing_Run!F329</f>
        <v/>
      </c>
      <c r="C329" s="2">
        <f>Quarterly_Billing_Run!A329</f>
        <v/>
      </c>
      <c r="D329" s="12">
        <f>Quarterly_Billing_Run!I329</f>
        <v/>
      </c>
      <c r="E329" s="13">
        <f>Quarterly_Billing_Run!P329</f>
        <v/>
      </c>
      <c r="F329" s="2">
        <f>IF($E329=0,0,MAX(0,TODAY()-$D329))</f>
        <v/>
      </c>
      <c r="G329" s="2">
        <f>IF($E329=0,"Current",IF($F329&lt;=30,"1-30",IF($F329&lt;=60,"31-60",IF($F329&lt;=90,"61-90","90+"))))</f>
        <v/>
      </c>
      <c r="H329" s="2">
        <f>Quarterly_Billing_Run!Q329</f>
        <v/>
      </c>
    </row>
    <row r="330">
      <c r="A330" s="2">
        <f>Quarterly_Billing_Run!D330</f>
        <v/>
      </c>
      <c r="B330" s="2">
        <f>Quarterly_Billing_Run!F330</f>
        <v/>
      </c>
      <c r="C330" s="2">
        <f>Quarterly_Billing_Run!A330</f>
        <v/>
      </c>
      <c r="D330" s="12">
        <f>Quarterly_Billing_Run!I330</f>
        <v/>
      </c>
      <c r="E330" s="13">
        <f>Quarterly_Billing_Run!P330</f>
        <v/>
      </c>
      <c r="F330" s="2">
        <f>IF($E330=0,0,MAX(0,TODAY()-$D330))</f>
        <v/>
      </c>
      <c r="G330" s="2">
        <f>IF($E330=0,"Current",IF($F330&lt;=30,"1-30",IF($F330&lt;=60,"31-60",IF($F330&lt;=90,"61-90","90+"))))</f>
        <v/>
      </c>
      <c r="H330" s="2">
        <f>Quarterly_Billing_Run!Q330</f>
        <v/>
      </c>
    </row>
    <row r="331">
      <c r="A331" s="2">
        <f>Quarterly_Billing_Run!D331</f>
        <v/>
      </c>
      <c r="B331" s="2">
        <f>Quarterly_Billing_Run!F331</f>
        <v/>
      </c>
      <c r="C331" s="2">
        <f>Quarterly_Billing_Run!A331</f>
        <v/>
      </c>
      <c r="D331" s="12">
        <f>Quarterly_Billing_Run!I331</f>
        <v/>
      </c>
      <c r="E331" s="13">
        <f>Quarterly_Billing_Run!P331</f>
        <v/>
      </c>
      <c r="F331" s="2">
        <f>IF($E331=0,0,MAX(0,TODAY()-$D331))</f>
        <v/>
      </c>
      <c r="G331" s="2">
        <f>IF($E331=0,"Current",IF($F331&lt;=30,"1-30",IF($F331&lt;=60,"31-60",IF($F331&lt;=90,"61-90","90+"))))</f>
        <v/>
      </c>
      <c r="H331" s="2">
        <f>Quarterly_Billing_Run!Q331</f>
        <v/>
      </c>
    </row>
    <row r="332">
      <c r="A332" s="2">
        <f>Quarterly_Billing_Run!D332</f>
        <v/>
      </c>
      <c r="B332" s="2">
        <f>Quarterly_Billing_Run!F332</f>
        <v/>
      </c>
      <c r="C332" s="2">
        <f>Quarterly_Billing_Run!A332</f>
        <v/>
      </c>
      <c r="D332" s="12">
        <f>Quarterly_Billing_Run!I332</f>
        <v/>
      </c>
      <c r="E332" s="13">
        <f>Quarterly_Billing_Run!P332</f>
        <v/>
      </c>
      <c r="F332" s="2">
        <f>IF($E332=0,0,MAX(0,TODAY()-$D332))</f>
        <v/>
      </c>
      <c r="G332" s="2">
        <f>IF($E332=0,"Current",IF($F332&lt;=30,"1-30",IF($F332&lt;=60,"31-60",IF($F332&lt;=90,"61-90","90+"))))</f>
        <v/>
      </c>
      <c r="H332" s="2">
        <f>Quarterly_Billing_Run!Q332</f>
        <v/>
      </c>
    </row>
    <row r="333">
      <c r="A333" s="2">
        <f>Quarterly_Billing_Run!D333</f>
        <v/>
      </c>
      <c r="B333" s="2">
        <f>Quarterly_Billing_Run!F333</f>
        <v/>
      </c>
      <c r="C333" s="2">
        <f>Quarterly_Billing_Run!A333</f>
        <v/>
      </c>
      <c r="D333" s="12">
        <f>Quarterly_Billing_Run!I333</f>
        <v/>
      </c>
      <c r="E333" s="13">
        <f>Quarterly_Billing_Run!P333</f>
        <v/>
      </c>
      <c r="F333" s="2">
        <f>IF($E333=0,0,MAX(0,TODAY()-$D333))</f>
        <v/>
      </c>
      <c r="G333" s="2">
        <f>IF($E333=0,"Current",IF($F333&lt;=30,"1-30",IF($F333&lt;=60,"31-60",IF($F333&lt;=90,"61-90","90+"))))</f>
        <v/>
      </c>
      <c r="H333" s="2">
        <f>Quarterly_Billing_Run!Q333</f>
        <v/>
      </c>
    </row>
    <row r="334">
      <c r="A334" s="2">
        <f>Quarterly_Billing_Run!D334</f>
        <v/>
      </c>
      <c r="B334" s="2">
        <f>Quarterly_Billing_Run!F334</f>
        <v/>
      </c>
      <c r="C334" s="2">
        <f>Quarterly_Billing_Run!A334</f>
        <v/>
      </c>
      <c r="D334" s="12">
        <f>Quarterly_Billing_Run!I334</f>
        <v/>
      </c>
      <c r="E334" s="13">
        <f>Quarterly_Billing_Run!P334</f>
        <v/>
      </c>
      <c r="F334" s="2">
        <f>IF($E334=0,0,MAX(0,TODAY()-$D334))</f>
        <v/>
      </c>
      <c r="G334" s="2">
        <f>IF($E334=0,"Current",IF($F334&lt;=30,"1-30",IF($F334&lt;=60,"31-60",IF($F334&lt;=90,"61-90","90+"))))</f>
        <v/>
      </c>
      <c r="H334" s="2">
        <f>Quarterly_Billing_Run!Q334</f>
        <v/>
      </c>
    </row>
    <row r="335">
      <c r="A335" s="2">
        <f>Quarterly_Billing_Run!D335</f>
        <v/>
      </c>
      <c r="B335" s="2">
        <f>Quarterly_Billing_Run!F335</f>
        <v/>
      </c>
      <c r="C335" s="2">
        <f>Quarterly_Billing_Run!A335</f>
        <v/>
      </c>
      <c r="D335" s="12">
        <f>Quarterly_Billing_Run!I335</f>
        <v/>
      </c>
      <c r="E335" s="13">
        <f>Quarterly_Billing_Run!P335</f>
        <v/>
      </c>
      <c r="F335" s="2">
        <f>IF($E335=0,0,MAX(0,TODAY()-$D335))</f>
        <v/>
      </c>
      <c r="G335" s="2">
        <f>IF($E335=0,"Current",IF($F335&lt;=30,"1-30",IF($F335&lt;=60,"31-60",IF($F335&lt;=90,"61-90","90+"))))</f>
        <v/>
      </c>
      <c r="H335" s="2">
        <f>Quarterly_Billing_Run!Q335</f>
        <v/>
      </c>
    </row>
    <row r="336">
      <c r="A336" s="2">
        <f>Quarterly_Billing_Run!D336</f>
        <v/>
      </c>
      <c r="B336" s="2">
        <f>Quarterly_Billing_Run!F336</f>
        <v/>
      </c>
      <c r="C336" s="2">
        <f>Quarterly_Billing_Run!A336</f>
        <v/>
      </c>
      <c r="D336" s="12">
        <f>Quarterly_Billing_Run!I336</f>
        <v/>
      </c>
      <c r="E336" s="13">
        <f>Quarterly_Billing_Run!P336</f>
        <v/>
      </c>
      <c r="F336" s="2">
        <f>IF($E336=0,0,MAX(0,TODAY()-$D336))</f>
        <v/>
      </c>
      <c r="G336" s="2">
        <f>IF($E336=0,"Current",IF($F336&lt;=30,"1-30",IF($F336&lt;=60,"31-60",IF($F336&lt;=90,"61-90","90+"))))</f>
        <v/>
      </c>
      <c r="H336" s="2">
        <f>Quarterly_Billing_Run!Q336</f>
        <v/>
      </c>
    </row>
    <row r="337">
      <c r="A337" s="2">
        <f>Quarterly_Billing_Run!D337</f>
        <v/>
      </c>
      <c r="B337" s="2">
        <f>Quarterly_Billing_Run!F337</f>
        <v/>
      </c>
      <c r="C337" s="2">
        <f>Quarterly_Billing_Run!A337</f>
        <v/>
      </c>
      <c r="D337" s="12">
        <f>Quarterly_Billing_Run!I337</f>
        <v/>
      </c>
      <c r="E337" s="13">
        <f>Quarterly_Billing_Run!P337</f>
        <v/>
      </c>
      <c r="F337" s="2">
        <f>IF($E337=0,0,MAX(0,TODAY()-$D337))</f>
        <v/>
      </c>
      <c r="G337" s="2">
        <f>IF($E337=0,"Current",IF($F337&lt;=30,"1-30",IF($F337&lt;=60,"31-60",IF($F337&lt;=90,"61-90","90+"))))</f>
        <v/>
      </c>
      <c r="H337" s="2">
        <f>Quarterly_Billing_Run!Q337</f>
        <v/>
      </c>
    </row>
    <row r="338">
      <c r="A338" s="2">
        <f>Quarterly_Billing_Run!D338</f>
        <v/>
      </c>
      <c r="B338" s="2">
        <f>Quarterly_Billing_Run!F338</f>
        <v/>
      </c>
      <c r="C338" s="2">
        <f>Quarterly_Billing_Run!A338</f>
        <v/>
      </c>
      <c r="D338" s="12">
        <f>Quarterly_Billing_Run!I338</f>
        <v/>
      </c>
      <c r="E338" s="13">
        <f>Quarterly_Billing_Run!P338</f>
        <v/>
      </c>
      <c r="F338" s="2">
        <f>IF($E338=0,0,MAX(0,TODAY()-$D338))</f>
        <v/>
      </c>
      <c r="G338" s="2">
        <f>IF($E338=0,"Current",IF($F338&lt;=30,"1-30",IF($F338&lt;=60,"31-60",IF($F338&lt;=90,"61-90","90+"))))</f>
        <v/>
      </c>
      <c r="H338" s="2">
        <f>Quarterly_Billing_Run!Q338</f>
        <v/>
      </c>
    </row>
    <row r="339">
      <c r="A339" s="2">
        <f>Quarterly_Billing_Run!D339</f>
        <v/>
      </c>
      <c r="B339" s="2">
        <f>Quarterly_Billing_Run!F339</f>
        <v/>
      </c>
      <c r="C339" s="2">
        <f>Quarterly_Billing_Run!A339</f>
        <v/>
      </c>
      <c r="D339" s="12">
        <f>Quarterly_Billing_Run!I339</f>
        <v/>
      </c>
      <c r="E339" s="13">
        <f>Quarterly_Billing_Run!P339</f>
        <v/>
      </c>
      <c r="F339" s="2">
        <f>IF($E339=0,0,MAX(0,TODAY()-$D339))</f>
        <v/>
      </c>
      <c r="G339" s="2">
        <f>IF($E339=0,"Current",IF($F339&lt;=30,"1-30",IF($F339&lt;=60,"31-60",IF($F339&lt;=90,"61-90","90+"))))</f>
        <v/>
      </c>
      <c r="H339" s="2">
        <f>Quarterly_Billing_Run!Q339</f>
        <v/>
      </c>
    </row>
    <row r="340">
      <c r="A340" s="2">
        <f>Quarterly_Billing_Run!D340</f>
        <v/>
      </c>
      <c r="B340" s="2">
        <f>Quarterly_Billing_Run!F340</f>
        <v/>
      </c>
      <c r="C340" s="2">
        <f>Quarterly_Billing_Run!A340</f>
        <v/>
      </c>
      <c r="D340" s="12">
        <f>Quarterly_Billing_Run!I340</f>
        <v/>
      </c>
      <c r="E340" s="13">
        <f>Quarterly_Billing_Run!P340</f>
        <v/>
      </c>
      <c r="F340" s="2">
        <f>IF($E340=0,0,MAX(0,TODAY()-$D340))</f>
        <v/>
      </c>
      <c r="G340" s="2">
        <f>IF($E340=0,"Current",IF($F340&lt;=30,"1-30",IF($F340&lt;=60,"31-60",IF($F340&lt;=90,"61-90","90+"))))</f>
        <v/>
      </c>
      <c r="H340" s="2">
        <f>Quarterly_Billing_Run!Q340</f>
        <v/>
      </c>
    </row>
    <row r="341">
      <c r="A341" s="2">
        <f>Quarterly_Billing_Run!D341</f>
        <v/>
      </c>
      <c r="B341" s="2">
        <f>Quarterly_Billing_Run!F341</f>
        <v/>
      </c>
      <c r="C341" s="2">
        <f>Quarterly_Billing_Run!A341</f>
        <v/>
      </c>
      <c r="D341" s="12">
        <f>Quarterly_Billing_Run!I341</f>
        <v/>
      </c>
      <c r="E341" s="13">
        <f>Quarterly_Billing_Run!P341</f>
        <v/>
      </c>
      <c r="F341" s="2">
        <f>IF($E341=0,0,MAX(0,TODAY()-$D341))</f>
        <v/>
      </c>
      <c r="G341" s="2">
        <f>IF($E341=0,"Current",IF($F341&lt;=30,"1-30",IF($F341&lt;=60,"31-60",IF($F341&lt;=90,"61-90","90+"))))</f>
        <v/>
      </c>
      <c r="H341" s="2">
        <f>Quarterly_Billing_Run!Q341</f>
        <v/>
      </c>
    </row>
    <row r="342">
      <c r="A342" s="2">
        <f>Quarterly_Billing_Run!D342</f>
        <v/>
      </c>
      <c r="B342" s="2">
        <f>Quarterly_Billing_Run!F342</f>
        <v/>
      </c>
      <c r="C342" s="2">
        <f>Quarterly_Billing_Run!A342</f>
        <v/>
      </c>
      <c r="D342" s="12">
        <f>Quarterly_Billing_Run!I342</f>
        <v/>
      </c>
      <c r="E342" s="13">
        <f>Quarterly_Billing_Run!P342</f>
        <v/>
      </c>
      <c r="F342" s="2">
        <f>IF($E342=0,0,MAX(0,TODAY()-$D342))</f>
        <v/>
      </c>
      <c r="G342" s="2">
        <f>IF($E342=0,"Current",IF($F342&lt;=30,"1-30",IF($F342&lt;=60,"31-60",IF($F342&lt;=90,"61-90","90+"))))</f>
        <v/>
      </c>
      <c r="H342" s="2">
        <f>Quarterly_Billing_Run!Q342</f>
        <v/>
      </c>
    </row>
    <row r="343">
      <c r="A343" s="2">
        <f>Quarterly_Billing_Run!D343</f>
        <v/>
      </c>
      <c r="B343" s="2">
        <f>Quarterly_Billing_Run!F343</f>
        <v/>
      </c>
      <c r="C343" s="2">
        <f>Quarterly_Billing_Run!A343</f>
        <v/>
      </c>
      <c r="D343" s="12">
        <f>Quarterly_Billing_Run!I343</f>
        <v/>
      </c>
      <c r="E343" s="13">
        <f>Quarterly_Billing_Run!P343</f>
        <v/>
      </c>
      <c r="F343" s="2">
        <f>IF($E343=0,0,MAX(0,TODAY()-$D343))</f>
        <v/>
      </c>
      <c r="G343" s="2">
        <f>IF($E343=0,"Current",IF($F343&lt;=30,"1-30",IF($F343&lt;=60,"31-60",IF($F343&lt;=90,"61-90","90+"))))</f>
        <v/>
      </c>
      <c r="H343" s="2">
        <f>Quarterly_Billing_Run!Q343</f>
        <v/>
      </c>
    </row>
    <row r="344">
      <c r="A344" s="2">
        <f>Quarterly_Billing_Run!D344</f>
        <v/>
      </c>
      <c r="B344" s="2">
        <f>Quarterly_Billing_Run!F344</f>
        <v/>
      </c>
      <c r="C344" s="2">
        <f>Quarterly_Billing_Run!A344</f>
        <v/>
      </c>
      <c r="D344" s="12">
        <f>Quarterly_Billing_Run!I344</f>
        <v/>
      </c>
      <c r="E344" s="13">
        <f>Quarterly_Billing_Run!P344</f>
        <v/>
      </c>
      <c r="F344" s="2">
        <f>IF($E344=0,0,MAX(0,TODAY()-$D344))</f>
        <v/>
      </c>
      <c r="G344" s="2">
        <f>IF($E344=0,"Current",IF($F344&lt;=30,"1-30",IF($F344&lt;=60,"31-60",IF($F344&lt;=90,"61-90","90+"))))</f>
        <v/>
      </c>
      <c r="H344" s="2">
        <f>Quarterly_Billing_Run!Q344</f>
        <v/>
      </c>
    </row>
    <row r="345">
      <c r="A345" s="2">
        <f>Quarterly_Billing_Run!D345</f>
        <v/>
      </c>
      <c r="B345" s="2">
        <f>Quarterly_Billing_Run!F345</f>
        <v/>
      </c>
      <c r="C345" s="2">
        <f>Quarterly_Billing_Run!A345</f>
        <v/>
      </c>
      <c r="D345" s="12">
        <f>Quarterly_Billing_Run!I345</f>
        <v/>
      </c>
      <c r="E345" s="13">
        <f>Quarterly_Billing_Run!P345</f>
        <v/>
      </c>
      <c r="F345" s="2">
        <f>IF($E345=0,0,MAX(0,TODAY()-$D345))</f>
        <v/>
      </c>
      <c r="G345" s="2">
        <f>IF($E345=0,"Current",IF($F345&lt;=30,"1-30",IF($F345&lt;=60,"31-60",IF($F345&lt;=90,"61-90","90+"))))</f>
        <v/>
      </c>
      <c r="H345" s="2">
        <f>Quarterly_Billing_Run!Q345</f>
        <v/>
      </c>
    </row>
    <row r="346">
      <c r="A346" s="2">
        <f>Quarterly_Billing_Run!D346</f>
        <v/>
      </c>
      <c r="B346" s="2">
        <f>Quarterly_Billing_Run!F346</f>
        <v/>
      </c>
      <c r="C346" s="2">
        <f>Quarterly_Billing_Run!A346</f>
        <v/>
      </c>
      <c r="D346" s="12">
        <f>Quarterly_Billing_Run!I346</f>
        <v/>
      </c>
      <c r="E346" s="13">
        <f>Quarterly_Billing_Run!P346</f>
        <v/>
      </c>
      <c r="F346" s="2">
        <f>IF($E346=0,0,MAX(0,TODAY()-$D346))</f>
        <v/>
      </c>
      <c r="G346" s="2">
        <f>IF($E346=0,"Current",IF($F346&lt;=30,"1-30",IF($F346&lt;=60,"31-60",IF($F346&lt;=90,"61-90","90+"))))</f>
        <v/>
      </c>
      <c r="H346" s="2">
        <f>Quarterly_Billing_Run!Q346</f>
        <v/>
      </c>
    </row>
    <row r="347">
      <c r="A347" s="2">
        <f>Quarterly_Billing_Run!D347</f>
        <v/>
      </c>
      <c r="B347" s="2">
        <f>Quarterly_Billing_Run!F347</f>
        <v/>
      </c>
      <c r="C347" s="2">
        <f>Quarterly_Billing_Run!A347</f>
        <v/>
      </c>
      <c r="D347" s="12">
        <f>Quarterly_Billing_Run!I347</f>
        <v/>
      </c>
      <c r="E347" s="13">
        <f>Quarterly_Billing_Run!P347</f>
        <v/>
      </c>
      <c r="F347" s="2">
        <f>IF($E347=0,0,MAX(0,TODAY()-$D347))</f>
        <v/>
      </c>
      <c r="G347" s="2">
        <f>IF($E347=0,"Current",IF($F347&lt;=30,"1-30",IF($F347&lt;=60,"31-60",IF($F347&lt;=90,"61-90","90+"))))</f>
        <v/>
      </c>
      <c r="H347" s="2">
        <f>Quarterly_Billing_Run!Q347</f>
        <v/>
      </c>
    </row>
    <row r="348">
      <c r="A348" s="2">
        <f>Quarterly_Billing_Run!D348</f>
        <v/>
      </c>
      <c r="B348" s="2">
        <f>Quarterly_Billing_Run!F348</f>
        <v/>
      </c>
      <c r="C348" s="2">
        <f>Quarterly_Billing_Run!A348</f>
        <v/>
      </c>
      <c r="D348" s="12">
        <f>Quarterly_Billing_Run!I348</f>
        <v/>
      </c>
      <c r="E348" s="13">
        <f>Quarterly_Billing_Run!P348</f>
        <v/>
      </c>
      <c r="F348" s="2">
        <f>IF($E348=0,0,MAX(0,TODAY()-$D348))</f>
        <v/>
      </c>
      <c r="G348" s="2">
        <f>IF($E348=0,"Current",IF($F348&lt;=30,"1-30",IF($F348&lt;=60,"31-60",IF($F348&lt;=90,"61-90","90+"))))</f>
        <v/>
      </c>
      <c r="H348" s="2">
        <f>Quarterly_Billing_Run!Q348</f>
        <v/>
      </c>
    </row>
    <row r="349">
      <c r="A349" s="2">
        <f>Quarterly_Billing_Run!D349</f>
        <v/>
      </c>
      <c r="B349" s="2">
        <f>Quarterly_Billing_Run!F349</f>
        <v/>
      </c>
      <c r="C349" s="2">
        <f>Quarterly_Billing_Run!A349</f>
        <v/>
      </c>
      <c r="D349" s="12">
        <f>Quarterly_Billing_Run!I349</f>
        <v/>
      </c>
      <c r="E349" s="13">
        <f>Quarterly_Billing_Run!P349</f>
        <v/>
      </c>
      <c r="F349" s="2">
        <f>IF($E349=0,0,MAX(0,TODAY()-$D349))</f>
        <v/>
      </c>
      <c r="G349" s="2">
        <f>IF($E349=0,"Current",IF($F349&lt;=30,"1-30",IF($F349&lt;=60,"31-60",IF($F349&lt;=90,"61-90","90+"))))</f>
        <v/>
      </c>
      <c r="H349" s="2">
        <f>Quarterly_Billing_Run!Q349</f>
        <v/>
      </c>
    </row>
    <row r="350">
      <c r="A350" s="2">
        <f>Quarterly_Billing_Run!D350</f>
        <v/>
      </c>
      <c r="B350" s="2">
        <f>Quarterly_Billing_Run!F350</f>
        <v/>
      </c>
      <c r="C350" s="2">
        <f>Quarterly_Billing_Run!A350</f>
        <v/>
      </c>
      <c r="D350" s="12">
        <f>Quarterly_Billing_Run!I350</f>
        <v/>
      </c>
      <c r="E350" s="13">
        <f>Quarterly_Billing_Run!P350</f>
        <v/>
      </c>
      <c r="F350" s="2">
        <f>IF($E350=0,0,MAX(0,TODAY()-$D350))</f>
        <v/>
      </c>
      <c r="G350" s="2">
        <f>IF($E350=0,"Current",IF($F350&lt;=30,"1-30",IF($F350&lt;=60,"31-60",IF($F350&lt;=90,"61-90","90+"))))</f>
        <v/>
      </c>
      <c r="H350" s="2">
        <f>Quarterly_Billing_Run!Q350</f>
        <v/>
      </c>
    </row>
    <row r="351">
      <c r="A351" s="2">
        <f>Quarterly_Billing_Run!D351</f>
        <v/>
      </c>
      <c r="B351" s="2">
        <f>Quarterly_Billing_Run!F351</f>
        <v/>
      </c>
      <c r="C351" s="2">
        <f>Quarterly_Billing_Run!A351</f>
        <v/>
      </c>
      <c r="D351" s="12">
        <f>Quarterly_Billing_Run!I351</f>
        <v/>
      </c>
      <c r="E351" s="13">
        <f>Quarterly_Billing_Run!P351</f>
        <v/>
      </c>
      <c r="F351" s="2">
        <f>IF($E351=0,0,MAX(0,TODAY()-$D351))</f>
        <v/>
      </c>
      <c r="G351" s="2">
        <f>IF($E351=0,"Current",IF($F351&lt;=30,"1-30",IF($F351&lt;=60,"31-60",IF($F351&lt;=90,"61-90","90+"))))</f>
        <v/>
      </c>
      <c r="H351" s="2">
        <f>Quarterly_Billing_Run!Q351</f>
        <v/>
      </c>
    </row>
    <row r="352">
      <c r="A352" s="2">
        <f>Quarterly_Billing_Run!D352</f>
        <v/>
      </c>
      <c r="B352" s="2">
        <f>Quarterly_Billing_Run!F352</f>
        <v/>
      </c>
      <c r="C352" s="2">
        <f>Quarterly_Billing_Run!A352</f>
        <v/>
      </c>
      <c r="D352" s="12">
        <f>Quarterly_Billing_Run!I352</f>
        <v/>
      </c>
      <c r="E352" s="13">
        <f>Quarterly_Billing_Run!P352</f>
        <v/>
      </c>
      <c r="F352" s="2">
        <f>IF($E352=0,0,MAX(0,TODAY()-$D352))</f>
        <v/>
      </c>
      <c r="G352" s="2">
        <f>IF($E352=0,"Current",IF($F352&lt;=30,"1-30",IF($F352&lt;=60,"31-60",IF($F352&lt;=90,"61-90","90+"))))</f>
        <v/>
      </c>
      <c r="H352" s="2">
        <f>Quarterly_Billing_Run!Q352</f>
        <v/>
      </c>
    </row>
    <row r="353">
      <c r="A353" s="2">
        <f>Quarterly_Billing_Run!D353</f>
        <v/>
      </c>
      <c r="B353" s="2">
        <f>Quarterly_Billing_Run!F353</f>
        <v/>
      </c>
      <c r="C353" s="2">
        <f>Quarterly_Billing_Run!A353</f>
        <v/>
      </c>
      <c r="D353" s="12">
        <f>Quarterly_Billing_Run!I353</f>
        <v/>
      </c>
      <c r="E353" s="13">
        <f>Quarterly_Billing_Run!P353</f>
        <v/>
      </c>
      <c r="F353" s="2">
        <f>IF($E353=0,0,MAX(0,TODAY()-$D353))</f>
        <v/>
      </c>
      <c r="G353" s="2">
        <f>IF($E353=0,"Current",IF($F353&lt;=30,"1-30",IF($F353&lt;=60,"31-60",IF($F353&lt;=90,"61-90","90+"))))</f>
        <v/>
      </c>
      <c r="H353" s="2">
        <f>Quarterly_Billing_Run!Q353</f>
        <v/>
      </c>
    </row>
    <row r="354">
      <c r="A354" s="2">
        <f>Quarterly_Billing_Run!D354</f>
        <v/>
      </c>
      <c r="B354" s="2">
        <f>Quarterly_Billing_Run!F354</f>
        <v/>
      </c>
      <c r="C354" s="2">
        <f>Quarterly_Billing_Run!A354</f>
        <v/>
      </c>
      <c r="D354" s="12">
        <f>Quarterly_Billing_Run!I354</f>
        <v/>
      </c>
      <c r="E354" s="13">
        <f>Quarterly_Billing_Run!P354</f>
        <v/>
      </c>
      <c r="F354" s="2">
        <f>IF($E354=0,0,MAX(0,TODAY()-$D354))</f>
        <v/>
      </c>
      <c r="G354" s="2">
        <f>IF($E354=0,"Current",IF($F354&lt;=30,"1-30",IF($F354&lt;=60,"31-60",IF($F354&lt;=90,"61-90","90+"))))</f>
        <v/>
      </c>
      <c r="H354" s="2">
        <f>Quarterly_Billing_Run!Q354</f>
        <v/>
      </c>
    </row>
    <row r="355">
      <c r="A355" s="2">
        <f>Quarterly_Billing_Run!D355</f>
        <v/>
      </c>
      <c r="B355" s="2">
        <f>Quarterly_Billing_Run!F355</f>
        <v/>
      </c>
      <c r="C355" s="2">
        <f>Quarterly_Billing_Run!A355</f>
        <v/>
      </c>
      <c r="D355" s="12">
        <f>Quarterly_Billing_Run!I355</f>
        <v/>
      </c>
      <c r="E355" s="13">
        <f>Quarterly_Billing_Run!P355</f>
        <v/>
      </c>
      <c r="F355" s="2">
        <f>IF($E355=0,0,MAX(0,TODAY()-$D355))</f>
        <v/>
      </c>
      <c r="G355" s="2">
        <f>IF($E355=0,"Current",IF($F355&lt;=30,"1-30",IF($F355&lt;=60,"31-60",IF($F355&lt;=90,"61-90","90+"))))</f>
        <v/>
      </c>
      <c r="H355" s="2">
        <f>Quarterly_Billing_Run!Q355</f>
        <v/>
      </c>
    </row>
    <row r="356">
      <c r="A356" s="2">
        <f>Quarterly_Billing_Run!D356</f>
        <v/>
      </c>
      <c r="B356" s="2">
        <f>Quarterly_Billing_Run!F356</f>
        <v/>
      </c>
      <c r="C356" s="2">
        <f>Quarterly_Billing_Run!A356</f>
        <v/>
      </c>
      <c r="D356" s="12">
        <f>Quarterly_Billing_Run!I356</f>
        <v/>
      </c>
      <c r="E356" s="13">
        <f>Quarterly_Billing_Run!P356</f>
        <v/>
      </c>
      <c r="F356" s="2">
        <f>IF($E356=0,0,MAX(0,TODAY()-$D356))</f>
        <v/>
      </c>
      <c r="G356" s="2">
        <f>IF($E356=0,"Current",IF($F356&lt;=30,"1-30",IF($F356&lt;=60,"31-60",IF($F356&lt;=90,"61-90","90+"))))</f>
        <v/>
      </c>
      <c r="H356" s="2">
        <f>Quarterly_Billing_Run!Q356</f>
        <v/>
      </c>
    </row>
    <row r="357">
      <c r="A357" s="2">
        <f>Quarterly_Billing_Run!D357</f>
        <v/>
      </c>
      <c r="B357" s="2">
        <f>Quarterly_Billing_Run!F357</f>
        <v/>
      </c>
      <c r="C357" s="2">
        <f>Quarterly_Billing_Run!A357</f>
        <v/>
      </c>
      <c r="D357" s="12">
        <f>Quarterly_Billing_Run!I357</f>
        <v/>
      </c>
      <c r="E357" s="13">
        <f>Quarterly_Billing_Run!P357</f>
        <v/>
      </c>
      <c r="F357" s="2">
        <f>IF($E357=0,0,MAX(0,TODAY()-$D357))</f>
        <v/>
      </c>
      <c r="G357" s="2">
        <f>IF($E357=0,"Current",IF($F357&lt;=30,"1-30",IF($F357&lt;=60,"31-60",IF($F357&lt;=90,"61-90","90+"))))</f>
        <v/>
      </c>
      <c r="H357" s="2">
        <f>Quarterly_Billing_Run!Q357</f>
        <v/>
      </c>
    </row>
    <row r="358">
      <c r="A358" s="2">
        <f>Quarterly_Billing_Run!D358</f>
        <v/>
      </c>
      <c r="B358" s="2">
        <f>Quarterly_Billing_Run!F358</f>
        <v/>
      </c>
      <c r="C358" s="2">
        <f>Quarterly_Billing_Run!A358</f>
        <v/>
      </c>
      <c r="D358" s="12">
        <f>Quarterly_Billing_Run!I358</f>
        <v/>
      </c>
      <c r="E358" s="13">
        <f>Quarterly_Billing_Run!P358</f>
        <v/>
      </c>
      <c r="F358" s="2">
        <f>IF($E358=0,0,MAX(0,TODAY()-$D358))</f>
        <v/>
      </c>
      <c r="G358" s="2">
        <f>IF($E358=0,"Current",IF($F358&lt;=30,"1-30",IF($F358&lt;=60,"31-60",IF($F358&lt;=90,"61-90","90+"))))</f>
        <v/>
      </c>
      <c r="H358" s="2">
        <f>Quarterly_Billing_Run!Q358</f>
        <v/>
      </c>
    </row>
    <row r="359">
      <c r="A359" s="2">
        <f>Quarterly_Billing_Run!D359</f>
        <v/>
      </c>
      <c r="B359" s="2">
        <f>Quarterly_Billing_Run!F359</f>
        <v/>
      </c>
      <c r="C359" s="2">
        <f>Quarterly_Billing_Run!A359</f>
        <v/>
      </c>
      <c r="D359" s="12">
        <f>Quarterly_Billing_Run!I359</f>
        <v/>
      </c>
      <c r="E359" s="13">
        <f>Quarterly_Billing_Run!P359</f>
        <v/>
      </c>
      <c r="F359" s="2">
        <f>IF($E359=0,0,MAX(0,TODAY()-$D359))</f>
        <v/>
      </c>
      <c r="G359" s="2">
        <f>IF($E359=0,"Current",IF($F359&lt;=30,"1-30",IF($F359&lt;=60,"31-60",IF($F359&lt;=90,"61-90","90+"))))</f>
        <v/>
      </c>
      <c r="H359" s="2">
        <f>Quarterly_Billing_Run!Q359</f>
        <v/>
      </c>
    </row>
    <row r="360">
      <c r="A360" s="2">
        <f>Quarterly_Billing_Run!D360</f>
        <v/>
      </c>
      <c r="B360" s="2">
        <f>Quarterly_Billing_Run!F360</f>
        <v/>
      </c>
      <c r="C360" s="2">
        <f>Quarterly_Billing_Run!A360</f>
        <v/>
      </c>
      <c r="D360" s="12">
        <f>Quarterly_Billing_Run!I360</f>
        <v/>
      </c>
      <c r="E360" s="13">
        <f>Quarterly_Billing_Run!P360</f>
        <v/>
      </c>
      <c r="F360" s="2">
        <f>IF($E360=0,0,MAX(0,TODAY()-$D360))</f>
        <v/>
      </c>
      <c r="G360" s="2">
        <f>IF($E360=0,"Current",IF($F360&lt;=30,"1-30",IF($F360&lt;=60,"31-60",IF($F360&lt;=90,"61-90","90+"))))</f>
        <v/>
      </c>
      <c r="H360" s="2">
        <f>Quarterly_Billing_Run!Q360</f>
        <v/>
      </c>
    </row>
    <row r="361">
      <c r="A361" s="2">
        <f>Quarterly_Billing_Run!D361</f>
        <v/>
      </c>
      <c r="B361" s="2">
        <f>Quarterly_Billing_Run!F361</f>
        <v/>
      </c>
      <c r="C361" s="2">
        <f>Quarterly_Billing_Run!A361</f>
        <v/>
      </c>
      <c r="D361" s="12">
        <f>Quarterly_Billing_Run!I361</f>
        <v/>
      </c>
      <c r="E361" s="13">
        <f>Quarterly_Billing_Run!P361</f>
        <v/>
      </c>
      <c r="F361" s="2">
        <f>IF($E361=0,0,MAX(0,TODAY()-$D361))</f>
        <v/>
      </c>
      <c r="G361" s="2">
        <f>IF($E361=0,"Current",IF($F361&lt;=30,"1-30",IF($F361&lt;=60,"31-60",IF($F361&lt;=90,"61-90","90+"))))</f>
        <v/>
      </c>
      <c r="H361" s="2">
        <f>Quarterly_Billing_Run!Q361</f>
        <v/>
      </c>
    </row>
    <row r="362">
      <c r="A362" s="2">
        <f>Quarterly_Billing_Run!D362</f>
        <v/>
      </c>
      <c r="B362" s="2">
        <f>Quarterly_Billing_Run!F362</f>
        <v/>
      </c>
      <c r="C362" s="2">
        <f>Quarterly_Billing_Run!A362</f>
        <v/>
      </c>
      <c r="D362" s="12">
        <f>Quarterly_Billing_Run!I362</f>
        <v/>
      </c>
      <c r="E362" s="13">
        <f>Quarterly_Billing_Run!P362</f>
        <v/>
      </c>
      <c r="F362" s="2">
        <f>IF($E362=0,0,MAX(0,TODAY()-$D362))</f>
        <v/>
      </c>
      <c r="G362" s="2">
        <f>IF($E362=0,"Current",IF($F362&lt;=30,"1-30",IF($F362&lt;=60,"31-60",IF($F362&lt;=90,"61-90","90+"))))</f>
        <v/>
      </c>
      <c r="H362" s="2">
        <f>Quarterly_Billing_Run!Q362</f>
        <v/>
      </c>
    </row>
    <row r="363">
      <c r="A363" s="2">
        <f>Quarterly_Billing_Run!D363</f>
        <v/>
      </c>
      <c r="B363" s="2">
        <f>Quarterly_Billing_Run!F363</f>
        <v/>
      </c>
      <c r="C363" s="2">
        <f>Quarterly_Billing_Run!A363</f>
        <v/>
      </c>
      <c r="D363" s="12">
        <f>Quarterly_Billing_Run!I363</f>
        <v/>
      </c>
      <c r="E363" s="13">
        <f>Quarterly_Billing_Run!P363</f>
        <v/>
      </c>
      <c r="F363" s="2">
        <f>IF($E363=0,0,MAX(0,TODAY()-$D363))</f>
        <v/>
      </c>
      <c r="G363" s="2">
        <f>IF($E363=0,"Current",IF($F363&lt;=30,"1-30",IF($F363&lt;=60,"31-60",IF($F363&lt;=90,"61-90","90+"))))</f>
        <v/>
      </c>
      <c r="H363" s="2">
        <f>Quarterly_Billing_Run!Q363</f>
        <v/>
      </c>
    </row>
    <row r="364">
      <c r="A364" s="2">
        <f>Quarterly_Billing_Run!D364</f>
        <v/>
      </c>
      <c r="B364" s="2">
        <f>Quarterly_Billing_Run!F364</f>
        <v/>
      </c>
      <c r="C364" s="2">
        <f>Quarterly_Billing_Run!A364</f>
        <v/>
      </c>
      <c r="D364" s="12">
        <f>Quarterly_Billing_Run!I364</f>
        <v/>
      </c>
      <c r="E364" s="13">
        <f>Quarterly_Billing_Run!P364</f>
        <v/>
      </c>
      <c r="F364" s="2">
        <f>IF($E364=0,0,MAX(0,TODAY()-$D364))</f>
        <v/>
      </c>
      <c r="G364" s="2">
        <f>IF($E364=0,"Current",IF($F364&lt;=30,"1-30",IF($F364&lt;=60,"31-60",IF($F364&lt;=90,"61-90","90+"))))</f>
        <v/>
      </c>
      <c r="H364" s="2">
        <f>Quarterly_Billing_Run!Q364</f>
        <v/>
      </c>
    </row>
    <row r="365">
      <c r="A365" s="2">
        <f>Quarterly_Billing_Run!D365</f>
        <v/>
      </c>
      <c r="B365" s="2">
        <f>Quarterly_Billing_Run!F365</f>
        <v/>
      </c>
      <c r="C365" s="2">
        <f>Quarterly_Billing_Run!A365</f>
        <v/>
      </c>
      <c r="D365" s="12">
        <f>Quarterly_Billing_Run!I365</f>
        <v/>
      </c>
      <c r="E365" s="13">
        <f>Quarterly_Billing_Run!P365</f>
        <v/>
      </c>
      <c r="F365" s="2">
        <f>IF($E365=0,0,MAX(0,TODAY()-$D365))</f>
        <v/>
      </c>
      <c r="G365" s="2">
        <f>IF($E365=0,"Current",IF($F365&lt;=30,"1-30",IF($F365&lt;=60,"31-60",IF($F365&lt;=90,"61-90","90+"))))</f>
        <v/>
      </c>
      <c r="H365" s="2">
        <f>Quarterly_Billing_Run!Q365</f>
        <v/>
      </c>
    </row>
    <row r="366">
      <c r="A366" s="2">
        <f>Quarterly_Billing_Run!D366</f>
        <v/>
      </c>
      <c r="B366" s="2">
        <f>Quarterly_Billing_Run!F366</f>
        <v/>
      </c>
      <c r="C366" s="2">
        <f>Quarterly_Billing_Run!A366</f>
        <v/>
      </c>
      <c r="D366" s="12">
        <f>Quarterly_Billing_Run!I366</f>
        <v/>
      </c>
      <c r="E366" s="13">
        <f>Quarterly_Billing_Run!P366</f>
        <v/>
      </c>
      <c r="F366" s="2">
        <f>IF($E366=0,0,MAX(0,TODAY()-$D366))</f>
        <v/>
      </c>
      <c r="G366" s="2">
        <f>IF($E366=0,"Current",IF($F366&lt;=30,"1-30",IF($F366&lt;=60,"31-60",IF($F366&lt;=90,"61-90","90+"))))</f>
        <v/>
      </c>
      <c r="H366" s="2">
        <f>Quarterly_Billing_Run!Q366</f>
        <v/>
      </c>
    </row>
    <row r="367">
      <c r="A367" s="2">
        <f>Quarterly_Billing_Run!D367</f>
        <v/>
      </c>
      <c r="B367" s="2">
        <f>Quarterly_Billing_Run!F367</f>
        <v/>
      </c>
      <c r="C367" s="2">
        <f>Quarterly_Billing_Run!A367</f>
        <v/>
      </c>
      <c r="D367" s="12">
        <f>Quarterly_Billing_Run!I367</f>
        <v/>
      </c>
      <c r="E367" s="13">
        <f>Quarterly_Billing_Run!P367</f>
        <v/>
      </c>
      <c r="F367" s="2">
        <f>IF($E367=0,0,MAX(0,TODAY()-$D367))</f>
        <v/>
      </c>
      <c r="G367" s="2">
        <f>IF($E367=0,"Current",IF($F367&lt;=30,"1-30",IF($F367&lt;=60,"31-60",IF($F367&lt;=90,"61-90","90+"))))</f>
        <v/>
      </c>
      <c r="H367" s="2">
        <f>Quarterly_Billing_Run!Q367</f>
        <v/>
      </c>
    </row>
    <row r="368">
      <c r="A368" s="2">
        <f>Quarterly_Billing_Run!D368</f>
        <v/>
      </c>
      <c r="B368" s="2">
        <f>Quarterly_Billing_Run!F368</f>
        <v/>
      </c>
      <c r="C368" s="2">
        <f>Quarterly_Billing_Run!A368</f>
        <v/>
      </c>
      <c r="D368" s="12">
        <f>Quarterly_Billing_Run!I368</f>
        <v/>
      </c>
      <c r="E368" s="13">
        <f>Quarterly_Billing_Run!P368</f>
        <v/>
      </c>
      <c r="F368" s="2">
        <f>IF($E368=0,0,MAX(0,TODAY()-$D368))</f>
        <v/>
      </c>
      <c r="G368" s="2">
        <f>IF($E368=0,"Current",IF($F368&lt;=30,"1-30",IF($F368&lt;=60,"31-60",IF($F368&lt;=90,"61-90","90+"))))</f>
        <v/>
      </c>
      <c r="H368" s="2">
        <f>Quarterly_Billing_Run!Q368</f>
        <v/>
      </c>
    </row>
    <row r="369">
      <c r="A369" s="2">
        <f>Quarterly_Billing_Run!D369</f>
        <v/>
      </c>
      <c r="B369" s="2">
        <f>Quarterly_Billing_Run!F369</f>
        <v/>
      </c>
      <c r="C369" s="2">
        <f>Quarterly_Billing_Run!A369</f>
        <v/>
      </c>
      <c r="D369" s="12">
        <f>Quarterly_Billing_Run!I369</f>
        <v/>
      </c>
      <c r="E369" s="13">
        <f>Quarterly_Billing_Run!P369</f>
        <v/>
      </c>
      <c r="F369" s="2">
        <f>IF($E369=0,0,MAX(0,TODAY()-$D369))</f>
        <v/>
      </c>
      <c r="G369" s="2">
        <f>IF($E369=0,"Current",IF($F369&lt;=30,"1-30",IF($F369&lt;=60,"31-60",IF($F369&lt;=90,"61-90","90+"))))</f>
        <v/>
      </c>
      <c r="H369" s="2">
        <f>Quarterly_Billing_Run!Q369</f>
        <v/>
      </c>
    </row>
    <row r="370">
      <c r="A370" s="2">
        <f>Quarterly_Billing_Run!D370</f>
        <v/>
      </c>
      <c r="B370" s="2">
        <f>Quarterly_Billing_Run!F370</f>
        <v/>
      </c>
      <c r="C370" s="2">
        <f>Quarterly_Billing_Run!A370</f>
        <v/>
      </c>
      <c r="D370" s="12">
        <f>Quarterly_Billing_Run!I370</f>
        <v/>
      </c>
      <c r="E370" s="13">
        <f>Quarterly_Billing_Run!P370</f>
        <v/>
      </c>
      <c r="F370" s="2">
        <f>IF($E370=0,0,MAX(0,TODAY()-$D370))</f>
        <v/>
      </c>
      <c r="G370" s="2">
        <f>IF($E370=0,"Current",IF($F370&lt;=30,"1-30",IF($F370&lt;=60,"31-60",IF($F370&lt;=90,"61-90","90+"))))</f>
        <v/>
      </c>
      <c r="H370" s="2">
        <f>Quarterly_Billing_Run!Q370</f>
        <v/>
      </c>
    </row>
    <row r="371">
      <c r="A371" s="2">
        <f>Quarterly_Billing_Run!D371</f>
        <v/>
      </c>
      <c r="B371" s="2">
        <f>Quarterly_Billing_Run!F371</f>
        <v/>
      </c>
      <c r="C371" s="2">
        <f>Quarterly_Billing_Run!A371</f>
        <v/>
      </c>
      <c r="D371" s="12">
        <f>Quarterly_Billing_Run!I371</f>
        <v/>
      </c>
      <c r="E371" s="13">
        <f>Quarterly_Billing_Run!P371</f>
        <v/>
      </c>
      <c r="F371" s="2">
        <f>IF($E371=0,0,MAX(0,TODAY()-$D371))</f>
        <v/>
      </c>
      <c r="G371" s="2">
        <f>IF($E371=0,"Current",IF($F371&lt;=30,"1-30",IF($F371&lt;=60,"31-60",IF($F371&lt;=90,"61-90","90+"))))</f>
        <v/>
      </c>
      <c r="H371" s="2">
        <f>Quarterly_Billing_Run!Q371</f>
        <v/>
      </c>
    </row>
    <row r="372">
      <c r="A372" s="2">
        <f>Quarterly_Billing_Run!D372</f>
        <v/>
      </c>
      <c r="B372" s="2">
        <f>Quarterly_Billing_Run!F372</f>
        <v/>
      </c>
      <c r="C372" s="2">
        <f>Quarterly_Billing_Run!A372</f>
        <v/>
      </c>
      <c r="D372" s="12">
        <f>Quarterly_Billing_Run!I372</f>
        <v/>
      </c>
      <c r="E372" s="13">
        <f>Quarterly_Billing_Run!P372</f>
        <v/>
      </c>
      <c r="F372" s="2">
        <f>IF($E372=0,0,MAX(0,TODAY()-$D372))</f>
        <v/>
      </c>
      <c r="G372" s="2">
        <f>IF($E372=0,"Current",IF($F372&lt;=30,"1-30",IF($F372&lt;=60,"31-60",IF($F372&lt;=90,"61-90","90+"))))</f>
        <v/>
      </c>
      <c r="H372" s="2">
        <f>Quarterly_Billing_Run!Q372</f>
        <v/>
      </c>
    </row>
    <row r="373">
      <c r="A373" s="2">
        <f>Quarterly_Billing_Run!D373</f>
        <v/>
      </c>
      <c r="B373" s="2">
        <f>Quarterly_Billing_Run!F373</f>
        <v/>
      </c>
      <c r="C373" s="2">
        <f>Quarterly_Billing_Run!A373</f>
        <v/>
      </c>
      <c r="D373" s="12">
        <f>Quarterly_Billing_Run!I373</f>
        <v/>
      </c>
      <c r="E373" s="13">
        <f>Quarterly_Billing_Run!P373</f>
        <v/>
      </c>
      <c r="F373" s="2">
        <f>IF($E373=0,0,MAX(0,TODAY()-$D373))</f>
        <v/>
      </c>
      <c r="G373" s="2">
        <f>IF($E373=0,"Current",IF($F373&lt;=30,"1-30",IF($F373&lt;=60,"31-60",IF($F373&lt;=90,"61-90","90+"))))</f>
        <v/>
      </c>
      <c r="H373" s="2">
        <f>Quarterly_Billing_Run!Q373</f>
        <v/>
      </c>
    </row>
    <row r="374">
      <c r="A374" s="2">
        <f>Quarterly_Billing_Run!D374</f>
        <v/>
      </c>
      <c r="B374" s="2">
        <f>Quarterly_Billing_Run!F374</f>
        <v/>
      </c>
      <c r="C374" s="2">
        <f>Quarterly_Billing_Run!A374</f>
        <v/>
      </c>
      <c r="D374" s="12">
        <f>Quarterly_Billing_Run!I374</f>
        <v/>
      </c>
      <c r="E374" s="13">
        <f>Quarterly_Billing_Run!P374</f>
        <v/>
      </c>
      <c r="F374" s="2">
        <f>IF($E374=0,0,MAX(0,TODAY()-$D374))</f>
        <v/>
      </c>
      <c r="G374" s="2">
        <f>IF($E374=0,"Current",IF($F374&lt;=30,"1-30",IF($F374&lt;=60,"31-60",IF($F374&lt;=90,"61-90","90+"))))</f>
        <v/>
      </c>
      <c r="H374" s="2">
        <f>Quarterly_Billing_Run!Q374</f>
        <v/>
      </c>
    </row>
    <row r="375">
      <c r="A375" s="2">
        <f>Quarterly_Billing_Run!D375</f>
        <v/>
      </c>
      <c r="B375" s="2">
        <f>Quarterly_Billing_Run!F375</f>
        <v/>
      </c>
      <c r="C375" s="2">
        <f>Quarterly_Billing_Run!A375</f>
        <v/>
      </c>
      <c r="D375" s="12">
        <f>Quarterly_Billing_Run!I375</f>
        <v/>
      </c>
      <c r="E375" s="13">
        <f>Quarterly_Billing_Run!P375</f>
        <v/>
      </c>
      <c r="F375" s="2">
        <f>IF($E375=0,0,MAX(0,TODAY()-$D375))</f>
        <v/>
      </c>
      <c r="G375" s="2">
        <f>IF($E375=0,"Current",IF($F375&lt;=30,"1-30",IF($F375&lt;=60,"31-60",IF($F375&lt;=90,"61-90","90+"))))</f>
        <v/>
      </c>
      <c r="H375" s="2">
        <f>Quarterly_Billing_Run!Q375</f>
        <v/>
      </c>
    </row>
    <row r="376">
      <c r="A376" s="2">
        <f>Quarterly_Billing_Run!D376</f>
        <v/>
      </c>
      <c r="B376" s="2">
        <f>Quarterly_Billing_Run!F376</f>
        <v/>
      </c>
      <c r="C376" s="2">
        <f>Quarterly_Billing_Run!A376</f>
        <v/>
      </c>
      <c r="D376" s="12">
        <f>Quarterly_Billing_Run!I376</f>
        <v/>
      </c>
      <c r="E376" s="13">
        <f>Quarterly_Billing_Run!P376</f>
        <v/>
      </c>
      <c r="F376" s="2">
        <f>IF($E376=0,0,MAX(0,TODAY()-$D376))</f>
        <v/>
      </c>
      <c r="G376" s="2">
        <f>IF($E376=0,"Current",IF($F376&lt;=30,"1-30",IF($F376&lt;=60,"31-60",IF($F376&lt;=90,"61-90","90+"))))</f>
        <v/>
      </c>
      <c r="H376" s="2">
        <f>Quarterly_Billing_Run!Q376</f>
        <v/>
      </c>
    </row>
    <row r="377">
      <c r="A377" s="2">
        <f>Quarterly_Billing_Run!D377</f>
        <v/>
      </c>
      <c r="B377" s="2">
        <f>Quarterly_Billing_Run!F377</f>
        <v/>
      </c>
      <c r="C377" s="2">
        <f>Quarterly_Billing_Run!A377</f>
        <v/>
      </c>
      <c r="D377" s="12">
        <f>Quarterly_Billing_Run!I377</f>
        <v/>
      </c>
      <c r="E377" s="13">
        <f>Quarterly_Billing_Run!P377</f>
        <v/>
      </c>
      <c r="F377" s="2">
        <f>IF($E377=0,0,MAX(0,TODAY()-$D377))</f>
        <v/>
      </c>
      <c r="G377" s="2">
        <f>IF($E377=0,"Current",IF($F377&lt;=30,"1-30",IF($F377&lt;=60,"31-60",IF($F377&lt;=90,"61-90","90+"))))</f>
        <v/>
      </c>
      <c r="H377" s="2">
        <f>Quarterly_Billing_Run!Q377</f>
        <v/>
      </c>
    </row>
    <row r="378">
      <c r="A378" s="2">
        <f>Quarterly_Billing_Run!D378</f>
        <v/>
      </c>
      <c r="B378" s="2">
        <f>Quarterly_Billing_Run!F378</f>
        <v/>
      </c>
      <c r="C378" s="2">
        <f>Quarterly_Billing_Run!A378</f>
        <v/>
      </c>
      <c r="D378" s="12">
        <f>Quarterly_Billing_Run!I378</f>
        <v/>
      </c>
      <c r="E378" s="13">
        <f>Quarterly_Billing_Run!P378</f>
        <v/>
      </c>
      <c r="F378" s="2">
        <f>IF($E378=0,0,MAX(0,TODAY()-$D378))</f>
        <v/>
      </c>
      <c r="G378" s="2">
        <f>IF($E378=0,"Current",IF($F378&lt;=30,"1-30",IF($F378&lt;=60,"31-60",IF($F378&lt;=90,"61-90","90+"))))</f>
        <v/>
      </c>
      <c r="H378" s="2">
        <f>Quarterly_Billing_Run!Q378</f>
        <v/>
      </c>
    </row>
    <row r="379">
      <c r="A379" s="2">
        <f>Quarterly_Billing_Run!D379</f>
        <v/>
      </c>
      <c r="B379" s="2">
        <f>Quarterly_Billing_Run!F379</f>
        <v/>
      </c>
      <c r="C379" s="2">
        <f>Quarterly_Billing_Run!A379</f>
        <v/>
      </c>
      <c r="D379" s="12">
        <f>Quarterly_Billing_Run!I379</f>
        <v/>
      </c>
      <c r="E379" s="13">
        <f>Quarterly_Billing_Run!P379</f>
        <v/>
      </c>
      <c r="F379" s="2">
        <f>IF($E379=0,0,MAX(0,TODAY()-$D379))</f>
        <v/>
      </c>
      <c r="G379" s="2">
        <f>IF($E379=0,"Current",IF($F379&lt;=30,"1-30",IF($F379&lt;=60,"31-60",IF($F379&lt;=90,"61-90","90+"))))</f>
        <v/>
      </c>
      <c r="H379" s="2">
        <f>Quarterly_Billing_Run!Q379</f>
        <v/>
      </c>
    </row>
    <row r="380">
      <c r="A380" s="2">
        <f>Quarterly_Billing_Run!D380</f>
        <v/>
      </c>
      <c r="B380" s="2">
        <f>Quarterly_Billing_Run!F380</f>
        <v/>
      </c>
      <c r="C380" s="2">
        <f>Quarterly_Billing_Run!A380</f>
        <v/>
      </c>
      <c r="D380" s="12">
        <f>Quarterly_Billing_Run!I380</f>
        <v/>
      </c>
      <c r="E380" s="13">
        <f>Quarterly_Billing_Run!P380</f>
        <v/>
      </c>
      <c r="F380" s="2">
        <f>IF($E380=0,0,MAX(0,TODAY()-$D380))</f>
        <v/>
      </c>
      <c r="G380" s="2">
        <f>IF($E380=0,"Current",IF($F380&lt;=30,"1-30",IF($F380&lt;=60,"31-60",IF($F380&lt;=90,"61-90","90+"))))</f>
        <v/>
      </c>
      <c r="H380" s="2">
        <f>Quarterly_Billing_Run!Q380</f>
        <v/>
      </c>
    </row>
    <row r="381">
      <c r="A381" s="2">
        <f>Quarterly_Billing_Run!D381</f>
        <v/>
      </c>
      <c r="B381" s="2">
        <f>Quarterly_Billing_Run!F381</f>
        <v/>
      </c>
      <c r="C381" s="2">
        <f>Quarterly_Billing_Run!A381</f>
        <v/>
      </c>
      <c r="D381" s="12">
        <f>Quarterly_Billing_Run!I381</f>
        <v/>
      </c>
      <c r="E381" s="13">
        <f>Quarterly_Billing_Run!P381</f>
        <v/>
      </c>
      <c r="F381" s="2">
        <f>IF($E381=0,0,MAX(0,TODAY()-$D381))</f>
        <v/>
      </c>
      <c r="G381" s="2">
        <f>IF($E381=0,"Current",IF($F381&lt;=30,"1-30",IF($F381&lt;=60,"31-60",IF($F381&lt;=90,"61-90","90+"))))</f>
        <v/>
      </c>
      <c r="H381" s="2">
        <f>Quarterly_Billing_Run!Q381</f>
        <v/>
      </c>
    </row>
    <row r="382">
      <c r="A382" s="2">
        <f>Quarterly_Billing_Run!D382</f>
        <v/>
      </c>
      <c r="B382" s="2">
        <f>Quarterly_Billing_Run!F382</f>
        <v/>
      </c>
      <c r="C382" s="2">
        <f>Quarterly_Billing_Run!A382</f>
        <v/>
      </c>
      <c r="D382" s="12">
        <f>Quarterly_Billing_Run!I382</f>
        <v/>
      </c>
      <c r="E382" s="13">
        <f>Quarterly_Billing_Run!P382</f>
        <v/>
      </c>
      <c r="F382" s="2">
        <f>IF($E382=0,0,MAX(0,TODAY()-$D382))</f>
        <v/>
      </c>
      <c r="G382" s="2">
        <f>IF($E382=0,"Current",IF($F382&lt;=30,"1-30",IF($F382&lt;=60,"31-60",IF($F382&lt;=90,"61-90","90+"))))</f>
        <v/>
      </c>
      <c r="H382" s="2">
        <f>Quarterly_Billing_Run!Q382</f>
        <v/>
      </c>
    </row>
    <row r="383">
      <c r="A383" s="2">
        <f>Quarterly_Billing_Run!D383</f>
        <v/>
      </c>
      <c r="B383" s="2">
        <f>Quarterly_Billing_Run!F383</f>
        <v/>
      </c>
      <c r="C383" s="2">
        <f>Quarterly_Billing_Run!A383</f>
        <v/>
      </c>
      <c r="D383" s="12">
        <f>Quarterly_Billing_Run!I383</f>
        <v/>
      </c>
      <c r="E383" s="13">
        <f>Quarterly_Billing_Run!P383</f>
        <v/>
      </c>
      <c r="F383" s="2">
        <f>IF($E383=0,0,MAX(0,TODAY()-$D383))</f>
        <v/>
      </c>
      <c r="G383" s="2">
        <f>IF($E383=0,"Current",IF($F383&lt;=30,"1-30",IF($F383&lt;=60,"31-60",IF($F383&lt;=90,"61-90","90+"))))</f>
        <v/>
      </c>
      <c r="H383" s="2">
        <f>Quarterly_Billing_Run!Q383</f>
        <v/>
      </c>
    </row>
    <row r="384">
      <c r="A384" s="2">
        <f>Quarterly_Billing_Run!D384</f>
        <v/>
      </c>
      <c r="B384" s="2">
        <f>Quarterly_Billing_Run!F384</f>
        <v/>
      </c>
      <c r="C384" s="2">
        <f>Quarterly_Billing_Run!A384</f>
        <v/>
      </c>
      <c r="D384" s="12">
        <f>Quarterly_Billing_Run!I384</f>
        <v/>
      </c>
      <c r="E384" s="13">
        <f>Quarterly_Billing_Run!P384</f>
        <v/>
      </c>
      <c r="F384" s="2">
        <f>IF($E384=0,0,MAX(0,TODAY()-$D384))</f>
        <v/>
      </c>
      <c r="G384" s="2">
        <f>IF($E384=0,"Current",IF($F384&lt;=30,"1-30",IF($F384&lt;=60,"31-60",IF($F384&lt;=90,"61-90","90+"))))</f>
        <v/>
      </c>
      <c r="H384" s="2">
        <f>Quarterly_Billing_Run!Q384</f>
        <v/>
      </c>
    </row>
    <row r="385">
      <c r="A385" s="2">
        <f>Quarterly_Billing_Run!D385</f>
        <v/>
      </c>
      <c r="B385" s="2">
        <f>Quarterly_Billing_Run!F385</f>
        <v/>
      </c>
      <c r="C385" s="2">
        <f>Quarterly_Billing_Run!A385</f>
        <v/>
      </c>
      <c r="D385" s="12">
        <f>Quarterly_Billing_Run!I385</f>
        <v/>
      </c>
      <c r="E385" s="13">
        <f>Quarterly_Billing_Run!P385</f>
        <v/>
      </c>
      <c r="F385" s="2">
        <f>IF($E385=0,0,MAX(0,TODAY()-$D385))</f>
        <v/>
      </c>
      <c r="G385" s="2">
        <f>IF($E385=0,"Current",IF($F385&lt;=30,"1-30",IF($F385&lt;=60,"31-60",IF($F385&lt;=90,"61-90","90+"))))</f>
        <v/>
      </c>
      <c r="H385" s="2">
        <f>Quarterly_Billing_Run!Q385</f>
        <v/>
      </c>
    </row>
    <row r="386">
      <c r="A386" s="2">
        <f>Quarterly_Billing_Run!D386</f>
        <v/>
      </c>
      <c r="B386" s="2">
        <f>Quarterly_Billing_Run!F386</f>
        <v/>
      </c>
      <c r="C386" s="2">
        <f>Quarterly_Billing_Run!A386</f>
        <v/>
      </c>
      <c r="D386" s="12">
        <f>Quarterly_Billing_Run!I386</f>
        <v/>
      </c>
      <c r="E386" s="13">
        <f>Quarterly_Billing_Run!P386</f>
        <v/>
      </c>
      <c r="F386" s="2">
        <f>IF($E386=0,0,MAX(0,TODAY()-$D386))</f>
        <v/>
      </c>
      <c r="G386" s="2">
        <f>IF($E386=0,"Current",IF($F386&lt;=30,"1-30",IF($F386&lt;=60,"31-60",IF($F386&lt;=90,"61-90","90+"))))</f>
        <v/>
      </c>
      <c r="H386" s="2">
        <f>Quarterly_Billing_Run!Q386</f>
        <v/>
      </c>
    </row>
    <row r="387">
      <c r="A387" s="2">
        <f>Quarterly_Billing_Run!D387</f>
        <v/>
      </c>
      <c r="B387" s="2">
        <f>Quarterly_Billing_Run!F387</f>
        <v/>
      </c>
      <c r="C387" s="2">
        <f>Quarterly_Billing_Run!A387</f>
        <v/>
      </c>
      <c r="D387" s="12">
        <f>Quarterly_Billing_Run!I387</f>
        <v/>
      </c>
      <c r="E387" s="13">
        <f>Quarterly_Billing_Run!P387</f>
        <v/>
      </c>
      <c r="F387" s="2">
        <f>IF($E387=0,0,MAX(0,TODAY()-$D387))</f>
        <v/>
      </c>
      <c r="G387" s="2">
        <f>IF($E387=0,"Current",IF($F387&lt;=30,"1-30",IF($F387&lt;=60,"31-60",IF($F387&lt;=90,"61-90","90+"))))</f>
        <v/>
      </c>
      <c r="H387" s="2">
        <f>Quarterly_Billing_Run!Q387</f>
        <v/>
      </c>
    </row>
    <row r="388">
      <c r="A388" s="2">
        <f>Quarterly_Billing_Run!D388</f>
        <v/>
      </c>
      <c r="B388" s="2">
        <f>Quarterly_Billing_Run!F388</f>
        <v/>
      </c>
      <c r="C388" s="2">
        <f>Quarterly_Billing_Run!A388</f>
        <v/>
      </c>
      <c r="D388" s="12">
        <f>Quarterly_Billing_Run!I388</f>
        <v/>
      </c>
      <c r="E388" s="13">
        <f>Quarterly_Billing_Run!P388</f>
        <v/>
      </c>
      <c r="F388" s="2">
        <f>IF($E388=0,0,MAX(0,TODAY()-$D388))</f>
        <v/>
      </c>
      <c r="G388" s="2">
        <f>IF($E388=0,"Current",IF($F388&lt;=30,"1-30",IF($F388&lt;=60,"31-60",IF($F388&lt;=90,"61-90","90+"))))</f>
        <v/>
      </c>
      <c r="H388" s="2">
        <f>Quarterly_Billing_Run!Q388</f>
        <v/>
      </c>
    </row>
    <row r="389">
      <c r="A389" s="2">
        <f>Quarterly_Billing_Run!D389</f>
        <v/>
      </c>
      <c r="B389" s="2">
        <f>Quarterly_Billing_Run!F389</f>
        <v/>
      </c>
      <c r="C389" s="2">
        <f>Quarterly_Billing_Run!A389</f>
        <v/>
      </c>
      <c r="D389" s="12">
        <f>Quarterly_Billing_Run!I389</f>
        <v/>
      </c>
      <c r="E389" s="13">
        <f>Quarterly_Billing_Run!P389</f>
        <v/>
      </c>
      <c r="F389" s="2">
        <f>IF($E389=0,0,MAX(0,TODAY()-$D389))</f>
        <v/>
      </c>
      <c r="G389" s="2">
        <f>IF($E389=0,"Current",IF($F389&lt;=30,"1-30",IF($F389&lt;=60,"31-60",IF($F389&lt;=90,"61-90","90+"))))</f>
        <v/>
      </c>
      <c r="H389" s="2">
        <f>Quarterly_Billing_Run!Q389</f>
        <v/>
      </c>
    </row>
    <row r="390">
      <c r="A390" s="2">
        <f>Quarterly_Billing_Run!D390</f>
        <v/>
      </c>
      <c r="B390" s="2">
        <f>Quarterly_Billing_Run!F390</f>
        <v/>
      </c>
      <c r="C390" s="2">
        <f>Quarterly_Billing_Run!A390</f>
        <v/>
      </c>
      <c r="D390" s="12">
        <f>Quarterly_Billing_Run!I390</f>
        <v/>
      </c>
      <c r="E390" s="13">
        <f>Quarterly_Billing_Run!P390</f>
        <v/>
      </c>
      <c r="F390" s="2">
        <f>IF($E390=0,0,MAX(0,TODAY()-$D390))</f>
        <v/>
      </c>
      <c r="G390" s="2">
        <f>IF($E390=0,"Current",IF($F390&lt;=30,"1-30",IF($F390&lt;=60,"31-60",IF($F390&lt;=90,"61-90","90+"))))</f>
        <v/>
      </c>
      <c r="H390" s="2">
        <f>Quarterly_Billing_Run!Q390</f>
        <v/>
      </c>
    </row>
    <row r="391">
      <c r="A391" s="2">
        <f>Quarterly_Billing_Run!D391</f>
        <v/>
      </c>
      <c r="B391" s="2">
        <f>Quarterly_Billing_Run!F391</f>
        <v/>
      </c>
      <c r="C391" s="2">
        <f>Quarterly_Billing_Run!A391</f>
        <v/>
      </c>
      <c r="D391" s="12">
        <f>Quarterly_Billing_Run!I391</f>
        <v/>
      </c>
      <c r="E391" s="13">
        <f>Quarterly_Billing_Run!P391</f>
        <v/>
      </c>
      <c r="F391" s="2">
        <f>IF($E391=0,0,MAX(0,TODAY()-$D391))</f>
        <v/>
      </c>
      <c r="G391" s="2">
        <f>IF($E391=0,"Current",IF($F391&lt;=30,"1-30",IF($F391&lt;=60,"31-60",IF($F391&lt;=90,"61-90","90+"))))</f>
        <v/>
      </c>
      <c r="H391" s="2">
        <f>Quarterly_Billing_Run!Q391</f>
        <v/>
      </c>
    </row>
    <row r="392">
      <c r="A392" s="2">
        <f>Quarterly_Billing_Run!D392</f>
        <v/>
      </c>
      <c r="B392" s="2">
        <f>Quarterly_Billing_Run!F392</f>
        <v/>
      </c>
      <c r="C392" s="2">
        <f>Quarterly_Billing_Run!A392</f>
        <v/>
      </c>
      <c r="D392" s="12">
        <f>Quarterly_Billing_Run!I392</f>
        <v/>
      </c>
      <c r="E392" s="13">
        <f>Quarterly_Billing_Run!P392</f>
        <v/>
      </c>
      <c r="F392" s="2">
        <f>IF($E392=0,0,MAX(0,TODAY()-$D392))</f>
        <v/>
      </c>
      <c r="G392" s="2">
        <f>IF($E392=0,"Current",IF($F392&lt;=30,"1-30",IF($F392&lt;=60,"31-60",IF($F392&lt;=90,"61-90","90+"))))</f>
        <v/>
      </c>
      <c r="H392" s="2">
        <f>Quarterly_Billing_Run!Q392</f>
        <v/>
      </c>
    </row>
    <row r="393">
      <c r="A393" s="2">
        <f>Quarterly_Billing_Run!D393</f>
        <v/>
      </c>
      <c r="B393" s="2">
        <f>Quarterly_Billing_Run!F393</f>
        <v/>
      </c>
      <c r="C393" s="2">
        <f>Quarterly_Billing_Run!A393</f>
        <v/>
      </c>
      <c r="D393" s="12">
        <f>Quarterly_Billing_Run!I393</f>
        <v/>
      </c>
      <c r="E393" s="13">
        <f>Quarterly_Billing_Run!P393</f>
        <v/>
      </c>
      <c r="F393" s="2">
        <f>IF($E393=0,0,MAX(0,TODAY()-$D393))</f>
        <v/>
      </c>
      <c r="G393" s="2">
        <f>IF($E393=0,"Current",IF($F393&lt;=30,"1-30",IF($F393&lt;=60,"31-60",IF($F393&lt;=90,"61-90","90+"))))</f>
        <v/>
      </c>
      <c r="H393" s="2">
        <f>Quarterly_Billing_Run!Q393</f>
        <v/>
      </c>
    </row>
    <row r="394">
      <c r="A394" s="2">
        <f>Quarterly_Billing_Run!D394</f>
        <v/>
      </c>
      <c r="B394" s="2">
        <f>Quarterly_Billing_Run!F394</f>
        <v/>
      </c>
      <c r="C394" s="2">
        <f>Quarterly_Billing_Run!A394</f>
        <v/>
      </c>
      <c r="D394" s="12">
        <f>Quarterly_Billing_Run!I394</f>
        <v/>
      </c>
      <c r="E394" s="13">
        <f>Quarterly_Billing_Run!P394</f>
        <v/>
      </c>
      <c r="F394" s="2">
        <f>IF($E394=0,0,MAX(0,TODAY()-$D394))</f>
        <v/>
      </c>
      <c r="G394" s="2">
        <f>IF($E394=0,"Current",IF($F394&lt;=30,"1-30",IF($F394&lt;=60,"31-60",IF($F394&lt;=90,"61-90","90+"))))</f>
        <v/>
      </c>
      <c r="H394" s="2">
        <f>Quarterly_Billing_Run!Q394</f>
        <v/>
      </c>
    </row>
    <row r="395">
      <c r="A395" s="2">
        <f>Quarterly_Billing_Run!D395</f>
        <v/>
      </c>
      <c r="B395" s="2">
        <f>Quarterly_Billing_Run!F395</f>
        <v/>
      </c>
      <c r="C395" s="2">
        <f>Quarterly_Billing_Run!A395</f>
        <v/>
      </c>
      <c r="D395" s="12">
        <f>Quarterly_Billing_Run!I395</f>
        <v/>
      </c>
      <c r="E395" s="13">
        <f>Quarterly_Billing_Run!P395</f>
        <v/>
      </c>
      <c r="F395" s="2">
        <f>IF($E395=0,0,MAX(0,TODAY()-$D395))</f>
        <v/>
      </c>
      <c r="G395" s="2">
        <f>IF($E395=0,"Current",IF($F395&lt;=30,"1-30",IF($F395&lt;=60,"31-60",IF($F395&lt;=90,"61-90","90+"))))</f>
        <v/>
      </c>
      <c r="H395" s="2">
        <f>Quarterly_Billing_Run!Q395</f>
        <v/>
      </c>
    </row>
    <row r="396">
      <c r="A396" s="2">
        <f>Quarterly_Billing_Run!D396</f>
        <v/>
      </c>
      <c r="B396" s="2">
        <f>Quarterly_Billing_Run!F396</f>
        <v/>
      </c>
      <c r="C396" s="2">
        <f>Quarterly_Billing_Run!A396</f>
        <v/>
      </c>
      <c r="D396" s="12">
        <f>Quarterly_Billing_Run!I396</f>
        <v/>
      </c>
      <c r="E396" s="13">
        <f>Quarterly_Billing_Run!P396</f>
        <v/>
      </c>
      <c r="F396" s="2">
        <f>IF($E396=0,0,MAX(0,TODAY()-$D396))</f>
        <v/>
      </c>
      <c r="G396" s="2">
        <f>IF($E396=0,"Current",IF($F396&lt;=30,"1-30",IF($F396&lt;=60,"31-60",IF($F396&lt;=90,"61-90","90+"))))</f>
        <v/>
      </c>
      <c r="H396" s="2">
        <f>Quarterly_Billing_Run!Q396</f>
        <v/>
      </c>
    </row>
    <row r="397">
      <c r="A397" s="2">
        <f>Quarterly_Billing_Run!D397</f>
        <v/>
      </c>
      <c r="B397" s="2">
        <f>Quarterly_Billing_Run!F397</f>
        <v/>
      </c>
      <c r="C397" s="2">
        <f>Quarterly_Billing_Run!A397</f>
        <v/>
      </c>
      <c r="D397" s="12">
        <f>Quarterly_Billing_Run!I397</f>
        <v/>
      </c>
      <c r="E397" s="13">
        <f>Quarterly_Billing_Run!P397</f>
        <v/>
      </c>
      <c r="F397" s="2">
        <f>IF($E397=0,0,MAX(0,TODAY()-$D397))</f>
        <v/>
      </c>
      <c r="G397" s="2">
        <f>IF($E397=0,"Current",IF($F397&lt;=30,"1-30",IF($F397&lt;=60,"31-60",IF($F397&lt;=90,"61-90","90+"))))</f>
        <v/>
      </c>
      <c r="H397" s="2">
        <f>Quarterly_Billing_Run!Q397</f>
        <v/>
      </c>
    </row>
    <row r="398">
      <c r="A398" s="2">
        <f>Quarterly_Billing_Run!D398</f>
        <v/>
      </c>
      <c r="B398" s="2">
        <f>Quarterly_Billing_Run!F398</f>
        <v/>
      </c>
      <c r="C398" s="2">
        <f>Quarterly_Billing_Run!A398</f>
        <v/>
      </c>
      <c r="D398" s="12">
        <f>Quarterly_Billing_Run!I398</f>
        <v/>
      </c>
      <c r="E398" s="13">
        <f>Quarterly_Billing_Run!P398</f>
        <v/>
      </c>
      <c r="F398" s="2">
        <f>IF($E398=0,0,MAX(0,TODAY()-$D398))</f>
        <v/>
      </c>
      <c r="G398" s="2">
        <f>IF($E398=0,"Current",IF($F398&lt;=30,"1-30",IF($F398&lt;=60,"31-60",IF($F398&lt;=90,"61-90","90+"))))</f>
        <v/>
      </c>
      <c r="H398" s="2">
        <f>Quarterly_Billing_Run!Q398</f>
        <v/>
      </c>
    </row>
    <row r="399">
      <c r="A399" s="2">
        <f>Quarterly_Billing_Run!D399</f>
        <v/>
      </c>
      <c r="B399" s="2">
        <f>Quarterly_Billing_Run!F399</f>
        <v/>
      </c>
      <c r="C399" s="2">
        <f>Quarterly_Billing_Run!A399</f>
        <v/>
      </c>
      <c r="D399" s="12">
        <f>Quarterly_Billing_Run!I399</f>
        <v/>
      </c>
      <c r="E399" s="13">
        <f>Quarterly_Billing_Run!P399</f>
        <v/>
      </c>
      <c r="F399" s="2">
        <f>IF($E399=0,0,MAX(0,TODAY()-$D399))</f>
        <v/>
      </c>
      <c r="G399" s="2">
        <f>IF($E399=0,"Current",IF($F399&lt;=30,"1-30",IF($F399&lt;=60,"31-60",IF($F399&lt;=90,"61-90","90+"))))</f>
        <v/>
      </c>
      <c r="H399" s="2">
        <f>Quarterly_Billing_Run!Q399</f>
        <v/>
      </c>
    </row>
    <row r="400">
      <c r="A400" s="2">
        <f>Quarterly_Billing_Run!D400</f>
        <v/>
      </c>
      <c r="B400" s="2">
        <f>Quarterly_Billing_Run!F400</f>
        <v/>
      </c>
      <c r="C400" s="2">
        <f>Quarterly_Billing_Run!A400</f>
        <v/>
      </c>
      <c r="D400" s="12">
        <f>Quarterly_Billing_Run!I400</f>
        <v/>
      </c>
      <c r="E400" s="13">
        <f>Quarterly_Billing_Run!P400</f>
        <v/>
      </c>
      <c r="F400" s="2">
        <f>IF($E400=0,0,MAX(0,TODAY()-$D400))</f>
        <v/>
      </c>
      <c r="G400" s="2">
        <f>IF($E400=0,"Current",IF($F400&lt;=30,"1-30",IF($F400&lt;=60,"31-60",IF($F400&lt;=90,"61-90","90+"))))</f>
        <v/>
      </c>
      <c r="H400" s="2">
        <f>Quarterly_Billing_Run!Q400</f>
        <v/>
      </c>
    </row>
    <row r="401">
      <c r="A401" s="2">
        <f>Quarterly_Billing_Run!D401</f>
        <v/>
      </c>
      <c r="B401" s="2">
        <f>Quarterly_Billing_Run!F401</f>
        <v/>
      </c>
      <c r="C401" s="2">
        <f>Quarterly_Billing_Run!A401</f>
        <v/>
      </c>
      <c r="D401" s="12">
        <f>Quarterly_Billing_Run!I401</f>
        <v/>
      </c>
      <c r="E401" s="13">
        <f>Quarterly_Billing_Run!P401</f>
        <v/>
      </c>
      <c r="F401" s="2">
        <f>IF($E401=0,0,MAX(0,TODAY()-$D401))</f>
        <v/>
      </c>
      <c r="G401" s="2">
        <f>IF($E401=0,"Current",IF($F401&lt;=30,"1-30",IF($F401&lt;=60,"31-60",IF($F401&lt;=90,"61-90","90+"))))</f>
        <v/>
      </c>
      <c r="H401" s="2">
        <f>Quarterly_Billing_Run!Q401</f>
        <v/>
      </c>
    </row>
    <row r="402">
      <c r="A402" s="2">
        <f>Quarterly_Billing_Run!D402</f>
        <v/>
      </c>
      <c r="B402" s="2">
        <f>Quarterly_Billing_Run!F402</f>
        <v/>
      </c>
      <c r="C402" s="2">
        <f>Quarterly_Billing_Run!A402</f>
        <v/>
      </c>
      <c r="D402" s="12">
        <f>Quarterly_Billing_Run!I402</f>
        <v/>
      </c>
      <c r="E402" s="13">
        <f>Quarterly_Billing_Run!P402</f>
        <v/>
      </c>
      <c r="F402" s="2">
        <f>IF($E402=0,0,MAX(0,TODAY()-$D402))</f>
        <v/>
      </c>
      <c r="G402" s="2">
        <f>IF($E402=0,"Current",IF($F402&lt;=30,"1-30",IF($F402&lt;=60,"31-60",IF($F402&lt;=90,"61-90","90+"))))</f>
        <v/>
      </c>
      <c r="H402" s="2">
        <f>Quarterly_Billing_Run!Q402</f>
        <v/>
      </c>
    </row>
    <row r="403">
      <c r="A403" s="2">
        <f>Quarterly_Billing_Run!D403</f>
        <v/>
      </c>
      <c r="B403" s="2">
        <f>Quarterly_Billing_Run!F403</f>
        <v/>
      </c>
      <c r="C403" s="2">
        <f>Quarterly_Billing_Run!A403</f>
        <v/>
      </c>
      <c r="D403" s="12">
        <f>Quarterly_Billing_Run!I403</f>
        <v/>
      </c>
      <c r="E403" s="13">
        <f>Quarterly_Billing_Run!P403</f>
        <v/>
      </c>
      <c r="F403" s="2">
        <f>IF($E403=0,0,MAX(0,TODAY()-$D403))</f>
        <v/>
      </c>
      <c r="G403" s="2">
        <f>IF($E403=0,"Current",IF($F403&lt;=30,"1-30",IF($F403&lt;=60,"31-60",IF($F403&lt;=90,"61-90","90+"))))</f>
        <v/>
      </c>
      <c r="H403" s="2">
        <f>Quarterly_Billing_Run!Q403</f>
        <v/>
      </c>
    </row>
    <row r="404">
      <c r="A404" s="2">
        <f>Quarterly_Billing_Run!D404</f>
        <v/>
      </c>
      <c r="B404" s="2">
        <f>Quarterly_Billing_Run!F404</f>
        <v/>
      </c>
      <c r="C404" s="2">
        <f>Quarterly_Billing_Run!A404</f>
        <v/>
      </c>
      <c r="D404" s="12">
        <f>Quarterly_Billing_Run!I404</f>
        <v/>
      </c>
      <c r="E404" s="13">
        <f>Quarterly_Billing_Run!P404</f>
        <v/>
      </c>
      <c r="F404" s="2">
        <f>IF($E404=0,0,MAX(0,TODAY()-$D404))</f>
        <v/>
      </c>
      <c r="G404" s="2">
        <f>IF($E404=0,"Current",IF($F404&lt;=30,"1-30",IF($F404&lt;=60,"31-60",IF($F404&lt;=90,"61-90","90+"))))</f>
        <v/>
      </c>
      <c r="H404" s="2">
        <f>Quarterly_Billing_Run!Q404</f>
        <v/>
      </c>
    </row>
    <row r="405">
      <c r="A405" s="2">
        <f>Quarterly_Billing_Run!D405</f>
        <v/>
      </c>
      <c r="B405" s="2">
        <f>Quarterly_Billing_Run!F405</f>
        <v/>
      </c>
      <c r="C405" s="2">
        <f>Quarterly_Billing_Run!A405</f>
        <v/>
      </c>
      <c r="D405" s="12">
        <f>Quarterly_Billing_Run!I405</f>
        <v/>
      </c>
      <c r="E405" s="13">
        <f>Quarterly_Billing_Run!P405</f>
        <v/>
      </c>
      <c r="F405" s="2">
        <f>IF($E405=0,0,MAX(0,TODAY()-$D405))</f>
        <v/>
      </c>
      <c r="G405" s="2">
        <f>IF($E405=0,"Current",IF($F405&lt;=30,"1-30",IF($F405&lt;=60,"31-60",IF($F405&lt;=90,"61-90","90+"))))</f>
        <v/>
      </c>
      <c r="H405" s="2">
        <f>Quarterly_Billing_Run!Q405</f>
        <v/>
      </c>
    </row>
    <row r="406">
      <c r="A406" s="2">
        <f>Quarterly_Billing_Run!D406</f>
        <v/>
      </c>
      <c r="B406" s="2">
        <f>Quarterly_Billing_Run!F406</f>
        <v/>
      </c>
      <c r="C406" s="2">
        <f>Quarterly_Billing_Run!A406</f>
        <v/>
      </c>
      <c r="D406" s="12">
        <f>Quarterly_Billing_Run!I406</f>
        <v/>
      </c>
      <c r="E406" s="13">
        <f>Quarterly_Billing_Run!P406</f>
        <v/>
      </c>
      <c r="F406" s="2">
        <f>IF($E406=0,0,MAX(0,TODAY()-$D406))</f>
        <v/>
      </c>
      <c r="G406" s="2">
        <f>IF($E406=0,"Current",IF($F406&lt;=30,"1-30",IF($F406&lt;=60,"31-60",IF($F406&lt;=90,"61-90","90+"))))</f>
        <v/>
      </c>
      <c r="H406" s="2">
        <f>Quarterly_Billing_Run!Q406</f>
        <v/>
      </c>
    </row>
    <row r="407">
      <c r="A407" s="2">
        <f>Quarterly_Billing_Run!D407</f>
        <v/>
      </c>
      <c r="B407" s="2">
        <f>Quarterly_Billing_Run!F407</f>
        <v/>
      </c>
      <c r="C407" s="2">
        <f>Quarterly_Billing_Run!A407</f>
        <v/>
      </c>
      <c r="D407" s="12">
        <f>Quarterly_Billing_Run!I407</f>
        <v/>
      </c>
      <c r="E407" s="13">
        <f>Quarterly_Billing_Run!P407</f>
        <v/>
      </c>
      <c r="F407" s="2">
        <f>IF($E407=0,0,MAX(0,TODAY()-$D407))</f>
        <v/>
      </c>
      <c r="G407" s="2">
        <f>IF($E407=0,"Current",IF($F407&lt;=30,"1-30",IF($F407&lt;=60,"31-60",IF($F407&lt;=90,"61-90","90+"))))</f>
        <v/>
      </c>
      <c r="H407" s="2">
        <f>Quarterly_Billing_Run!Q407</f>
        <v/>
      </c>
    </row>
    <row r="408">
      <c r="A408" s="2">
        <f>Quarterly_Billing_Run!D408</f>
        <v/>
      </c>
      <c r="B408" s="2">
        <f>Quarterly_Billing_Run!F408</f>
        <v/>
      </c>
      <c r="C408" s="2">
        <f>Quarterly_Billing_Run!A408</f>
        <v/>
      </c>
      <c r="D408" s="12">
        <f>Quarterly_Billing_Run!I408</f>
        <v/>
      </c>
      <c r="E408" s="13">
        <f>Quarterly_Billing_Run!P408</f>
        <v/>
      </c>
      <c r="F408" s="2">
        <f>IF($E408=0,0,MAX(0,TODAY()-$D408))</f>
        <v/>
      </c>
      <c r="G408" s="2">
        <f>IF($E408=0,"Current",IF($F408&lt;=30,"1-30",IF($F408&lt;=60,"31-60",IF($F408&lt;=90,"61-90","90+"))))</f>
        <v/>
      </c>
      <c r="H408" s="2">
        <f>Quarterly_Billing_Run!Q408</f>
        <v/>
      </c>
    </row>
    <row r="409">
      <c r="A409" s="2">
        <f>Quarterly_Billing_Run!D409</f>
        <v/>
      </c>
      <c r="B409" s="2">
        <f>Quarterly_Billing_Run!F409</f>
        <v/>
      </c>
      <c r="C409" s="2">
        <f>Quarterly_Billing_Run!A409</f>
        <v/>
      </c>
      <c r="D409" s="12">
        <f>Quarterly_Billing_Run!I409</f>
        <v/>
      </c>
      <c r="E409" s="13">
        <f>Quarterly_Billing_Run!P409</f>
        <v/>
      </c>
      <c r="F409" s="2">
        <f>IF($E409=0,0,MAX(0,TODAY()-$D409))</f>
        <v/>
      </c>
      <c r="G409" s="2">
        <f>IF($E409=0,"Current",IF($F409&lt;=30,"1-30",IF($F409&lt;=60,"31-60",IF($F409&lt;=90,"61-90","90+"))))</f>
        <v/>
      </c>
      <c r="H409" s="2">
        <f>Quarterly_Billing_Run!Q409</f>
        <v/>
      </c>
    </row>
    <row r="410">
      <c r="A410" s="2">
        <f>Quarterly_Billing_Run!D410</f>
        <v/>
      </c>
      <c r="B410" s="2">
        <f>Quarterly_Billing_Run!F410</f>
        <v/>
      </c>
      <c r="C410" s="2">
        <f>Quarterly_Billing_Run!A410</f>
        <v/>
      </c>
      <c r="D410" s="12">
        <f>Quarterly_Billing_Run!I410</f>
        <v/>
      </c>
      <c r="E410" s="13">
        <f>Quarterly_Billing_Run!P410</f>
        <v/>
      </c>
      <c r="F410" s="2">
        <f>IF($E410=0,0,MAX(0,TODAY()-$D410))</f>
        <v/>
      </c>
      <c r="G410" s="2">
        <f>IF($E410=0,"Current",IF($F410&lt;=30,"1-30",IF($F410&lt;=60,"31-60",IF($F410&lt;=90,"61-90","90+"))))</f>
        <v/>
      </c>
      <c r="H410" s="2">
        <f>Quarterly_Billing_Run!Q410</f>
        <v/>
      </c>
    </row>
    <row r="411">
      <c r="A411" s="2">
        <f>Quarterly_Billing_Run!D411</f>
        <v/>
      </c>
      <c r="B411" s="2">
        <f>Quarterly_Billing_Run!F411</f>
        <v/>
      </c>
      <c r="C411" s="2">
        <f>Quarterly_Billing_Run!A411</f>
        <v/>
      </c>
      <c r="D411" s="12">
        <f>Quarterly_Billing_Run!I411</f>
        <v/>
      </c>
      <c r="E411" s="13">
        <f>Quarterly_Billing_Run!P411</f>
        <v/>
      </c>
      <c r="F411" s="2">
        <f>IF($E411=0,0,MAX(0,TODAY()-$D411))</f>
        <v/>
      </c>
      <c r="G411" s="2">
        <f>IF($E411=0,"Current",IF($F411&lt;=30,"1-30",IF($F411&lt;=60,"31-60",IF($F411&lt;=90,"61-90","90+"))))</f>
        <v/>
      </c>
      <c r="H411" s="2">
        <f>Quarterly_Billing_Run!Q411</f>
        <v/>
      </c>
    </row>
    <row r="412">
      <c r="A412" s="2">
        <f>Quarterly_Billing_Run!D412</f>
        <v/>
      </c>
      <c r="B412" s="2">
        <f>Quarterly_Billing_Run!F412</f>
        <v/>
      </c>
      <c r="C412" s="2">
        <f>Quarterly_Billing_Run!A412</f>
        <v/>
      </c>
      <c r="D412" s="12">
        <f>Quarterly_Billing_Run!I412</f>
        <v/>
      </c>
      <c r="E412" s="13">
        <f>Quarterly_Billing_Run!P412</f>
        <v/>
      </c>
      <c r="F412" s="2">
        <f>IF($E412=0,0,MAX(0,TODAY()-$D412))</f>
        <v/>
      </c>
      <c r="G412" s="2">
        <f>IF($E412=0,"Current",IF($F412&lt;=30,"1-30",IF($F412&lt;=60,"31-60",IF($F412&lt;=90,"61-90","90+"))))</f>
        <v/>
      </c>
      <c r="H412" s="2">
        <f>Quarterly_Billing_Run!Q412</f>
        <v/>
      </c>
    </row>
    <row r="413">
      <c r="A413" s="2">
        <f>Quarterly_Billing_Run!D413</f>
        <v/>
      </c>
      <c r="B413" s="2">
        <f>Quarterly_Billing_Run!F413</f>
        <v/>
      </c>
      <c r="C413" s="2">
        <f>Quarterly_Billing_Run!A413</f>
        <v/>
      </c>
      <c r="D413" s="12">
        <f>Quarterly_Billing_Run!I413</f>
        <v/>
      </c>
      <c r="E413" s="13">
        <f>Quarterly_Billing_Run!P413</f>
        <v/>
      </c>
      <c r="F413" s="2">
        <f>IF($E413=0,0,MAX(0,TODAY()-$D413))</f>
        <v/>
      </c>
      <c r="G413" s="2">
        <f>IF($E413=0,"Current",IF($F413&lt;=30,"1-30",IF($F413&lt;=60,"31-60",IF($F413&lt;=90,"61-90","90+"))))</f>
        <v/>
      </c>
      <c r="H413" s="2">
        <f>Quarterly_Billing_Run!Q413</f>
        <v/>
      </c>
    </row>
    <row r="414">
      <c r="A414" s="2">
        <f>Quarterly_Billing_Run!D414</f>
        <v/>
      </c>
      <c r="B414" s="2">
        <f>Quarterly_Billing_Run!F414</f>
        <v/>
      </c>
      <c r="C414" s="2">
        <f>Quarterly_Billing_Run!A414</f>
        <v/>
      </c>
      <c r="D414" s="12">
        <f>Quarterly_Billing_Run!I414</f>
        <v/>
      </c>
      <c r="E414" s="13">
        <f>Quarterly_Billing_Run!P414</f>
        <v/>
      </c>
      <c r="F414" s="2">
        <f>IF($E414=0,0,MAX(0,TODAY()-$D414))</f>
        <v/>
      </c>
      <c r="G414" s="2">
        <f>IF($E414=0,"Current",IF($F414&lt;=30,"1-30",IF($F414&lt;=60,"31-60",IF($F414&lt;=90,"61-90","90+"))))</f>
        <v/>
      </c>
      <c r="H414" s="2">
        <f>Quarterly_Billing_Run!Q414</f>
        <v/>
      </c>
    </row>
    <row r="415">
      <c r="A415" s="2">
        <f>Quarterly_Billing_Run!D415</f>
        <v/>
      </c>
      <c r="B415" s="2">
        <f>Quarterly_Billing_Run!F415</f>
        <v/>
      </c>
      <c r="C415" s="2">
        <f>Quarterly_Billing_Run!A415</f>
        <v/>
      </c>
      <c r="D415" s="12">
        <f>Quarterly_Billing_Run!I415</f>
        <v/>
      </c>
      <c r="E415" s="13">
        <f>Quarterly_Billing_Run!P415</f>
        <v/>
      </c>
      <c r="F415" s="2">
        <f>IF($E415=0,0,MAX(0,TODAY()-$D415))</f>
        <v/>
      </c>
      <c r="G415" s="2">
        <f>IF($E415=0,"Current",IF($F415&lt;=30,"1-30",IF($F415&lt;=60,"31-60",IF($F415&lt;=90,"61-90","90+"))))</f>
        <v/>
      </c>
      <c r="H415" s="2">
        <f>Quarterly_Billing_Run!Q415</f>
        <v/>
      </c>
    </row>
    <row r="416">
      <c r="A416" s="2">
        <f>Quarterly_Billing_Run!D416</f>
        <v/>
      </c>
      <c r="B416" s="2">
        <f>Quarterly_Billing_Run!F416</f>
        <v/>
      </c>
      <c r="C416" s="2">
        <f>Quarterly_Billing_Run!A416</f>
        <v/>
      </c>
      <c r="D416" s="12">
        <f>Quarterly_Billing_Run!I416</f>
        <v/>
      </c>
      <c r="E416" s="13">
        <f>Quarterly_Billing_Run!P416</f>
        <v/>
      </c>
      <c r="F416" s="2">
        <f>IF($E416=0,0,MAX(0,TODAY()-$D416))</f>
        <v/>
      </c>
      <c r="G416" s="2">
        <f>IF($E416=0,"Current",IF($F416&lt;=30,"1-30",IF($F416&lt;=60,"31-60",IF($F416&lt;=90,"61-90","90+"))))</f>
        <v/>
      </c>
      <c r="H416" s="2">
        <f>Quarterly_Billing_Run!Q416</f>
        <v/>
      </c>
    </row>
    <row r="417">
      <c r="A417" s="2">
        <f>Quarterly_Billing_Run!D417</f>
        <v/>
      </c>
      <c r="B417" s="2">
        <f>Quarterly_Billing_Run!F417</f>
        <v/>
      </c>
      <c r="C417" s="2">
        <f>Quarterly_Billing_Run!A417</f>
        <v/>
      </c>
      <c r="D417" s="12">
        <f>Quarterly_Billing_Run!I417</f>
        <v/>
      </c>
      <c r="E417" s="13">
        <f>Quarterly_Billing_Run!P417</f>
        <v/>
      </c>
      <c r="F417" s="2">
        <f>IF($E417=0,0,MAX(0,TODAY()-$D417))</f>
        <v/>
      </c>
      <c r="G417" s="2">
        <f>IF($E417=0,"Current",IF($F417&lt;=30,"1-30",IF($F417&lt;=60,"31-60",IF($F417&lt;=90,"61-90","90+"))))</f>
        <v/>
      </c>
      <c r="H417" s="2">
        <f>Quarterly_Billing_Run!Q417</f>
        <v/>
      </c>
    </row>
    <row r="418">
      <c r="A418" s="2">
        <f>Quarterly_Billing_Run!D418</f>
        <v/>
      </c>
      <c r="B418" s="2">
        <f>Quarterly_Billing_Run!F418</f>
        <v/>
      </c>
      <c r="C418" s="2">
        <f>Quarterly_Billing_Run!A418</f>
        <v/>
      </c>
      <c r="D418" s="12">
        <f>Quarterly_Billing_Run!I418</f>
        <v/>
      </c>
      <c r="E418" s="13">
        <f>Quarterly_Billing_Run!P418</f>
        <v/>
      </c>
      <c r="F418" s="2">
        <f>IF($E418=0,0,MAX(0,TODAY()-$D418))</f>
        <v/>
      </c>
      <c r="G418" s="2">
        <f>IF($E418=0,"Current",IF($F418&lt;=30,"1-30",IF($F418&lt;=60,"31-60",IF($F418&lt;=90,"61-90","90+"))))</f>
        <v/>
      </c>
      <c r="H418" s="2">
        <f>Quarterly_Billing_Run!Q418</f>
        <v/>
      </c>
    </row>
    <row r="419">
      <c r="A419" s="2">
        <f>Quarterly_Billing_Run!D419</f>
        <v/>
      </c>
      <c r="B419" s="2">
        <f>Quarterly_Billing_Run!F419</f>
        <v/>
      </c>
      <c r="C419" s="2">
        <f>Quarterly_Billing_Run!A419</f>
        <v/>
      </c>
      <c r="D419" s="12">
        <f>Quarterly_Billing_Run!I419</f>
        <v/>
      </c>
      <c r="E419" s="13">
        <f>Quarterly_Billing_Run!P419</f>
        <v/>
      </c>
      <c r="F419" s="2">
        <f>IF($E419=0,0,MAX(0,TODAY()-$D419))</f>
        <v/>
      </c>
      <c r="G419" s="2">
        <f>IF($E419=0,"Current",IF($F419&lt;=30,"1-30",IF($F419&lt;=60,"31-60",IF($F419&lt;=90,"61-90","90+"))))</f>
        <v/>
      </c>
      <c r="H419" s="2">
        <f>Quarterly_Billing_Run!Q419</f>
        <v/>
      </c>
    </row>
    <row r="420">
      <c r="A420" s="2">
        <f>Quarterly_Billing_Run!D420</f>
        <v/>
      </c>
      <c r="B420" s="2">
        <f>Quarterly_Billing_Run!F420</f>
        <v/>
      </c>
      <c r="C420" s="2">
        <f>Quarterly_Billing_Run!A420</f>
        <v/>
      </c>
      <c r="D420" s="12">
        <f>Quarterly_Billing_Run!I420</f>
        <v/>
      </c>
      <c r="E420" s="13">
        <f>Quarterly_Billing_Run!P420</f>
        <v/>
      </c>
      <c r="F420" s="2">
        <f>IF($E420=0,0,MAX(0,TODAY()-$D420))</f>
        <v/>
      </c>
      <c r="G420" s="2">
        <f>IF($E420=0,"Current",IF($F420&lt;=30,"1-30",IF($F420&lt;=60,"31-60",IF($F420&lt;=90,"61-90","90+"))))</f>
        <v/>
      </c>
      <c r="H420" s="2">
        <f>Quarterly_Billing_Run!Q420</f>
        <v/>
      </c>
    </row>
    <row r="421">
      <c r="A421" s="2">
        <f>Quarterly_Billing_Run!D421</f>
        <v/>
      </c>
      <c r="B421" s="2">
        <f>Quarterly_Billing_Run!F421</f>
        <v/>
      </c>
      <c r="C421" s="2">
        <f>Quarterly_Billing_Run!A421</f>
        <v/>
      </c>
      <c r="D421" s="12">
        <f>Quarterly_Billing_Run!I421</f>
        <v/>
      </c>
      <c r="E421" s="13">
        <f>Quarterly_Billing_Run!P421</f>
        <v/>
      </c>
      <c r="F421" s="2">
        <f>IF($E421=0,0,MAX(0,TODAY()-$D421))</f>
        <v/>
      </c>
      <c r="G421" s="2">
        <f>IF($E421=0,"Current",IF($F421&lt;=30,"1-30",IF($F421&lt;=60,"31-60",IF($F421&lt;=90,"61-90","90+"))))</f>
        <v/>
      </c>
      <c r="H421" s="2">
        <f>Quarterly_Billing_Run!Q421</f>
        <v/>
      </c>
    </row>
    <row r="422">
      <c r="A422" s="2">
        <f>Quarterly_Billing_Run!D422</f>
        <v/>
      </c>
      <c r="B422" s="2">
        <f>Quarterly_Billing_Run!F422</f>
        <v/>
      </c>
      <c r="C422" s="2">
        <f>Quarterly_Billing_Run!A422</f>
        <v/>
      </c>
      <c r="D422" s="12">
        <f>Quarterly_Billing_Run!I422</f>
        <v/>
      </c>
      <c r="E422" s="13">
        <f>Quarterly_Billing_Run!P422</f>
        <v/>
      </c>
      <c r="F422" s="2">
        <f>IF($E422=0,0,MAX(0,TODAY()-$D422))</f>
        <v/>
      </c>
      <c r="G422" s="2">
        <f>IF($E422=0,"Current",IF($F422&lt;=30,"1-30",IF($F422&lt;=60,"31-60",IF($F422&lt;=90,"61-90","90+"))))</f>
        <v/>
      </c>
      <c r="H422" s="2">
        <f>Quarterly_Billing_Run!Q422</f>
        <v/>
      </c>
    </row>
    <row r="423">
      <c r="A423" s="2">
        <f>Quarterly_Billing_Run!D423</f>
        <v/>
      </c>
      <c r="B423" s="2">
        <f>Quarterly_Billing_Run!F423</f>
        <v/>
      </c>
      <c r="C423" s="2">
        <f>Quarterly_Billing_Run!A423</f>
        <v/>
      </c>
      <c r="D423" s="12">
        <f>Quarterly_Billing_Run!I423</f>
        <v/>
      </c>
      <c r="E423" s="13">
        <f>Quarterly_Billing_Run!P423</f>
        <v/>
      </c>
      <c r="F423" s="2">
        <f>IF($E423=0,0,MAX(0,TODAY()-$D423))</f>
        <v/>
      </c>
      <c r="G423" s="2">
        <f>IF($E423=0,"Current",IF($F423&lt;=30,"1-30",IF($F423&lt;=60,"31-60",IF($F423&lt;=90,"61-90","90+"))))</f>
        <v/>
      </c>
      <c r="H423" s="2">
        <f>Quarterly_Billing_Run!Q423</f>
        <v/>
      </c>
    </row>
    <row r="424">
      <c r="A424" s="2">
        <f>Quarterly_Billing_Run!D424</f>
        <v/>
      </c>
      <c r="B424" s="2">
        <f>Quarterly_Billing_Run!F424</f>
        <v/>
      </c>
      <c r="C424" s="2">
        <f>Quarterly_Billing_Run!A424</f>
        <v/>
      </c>
      <c r="D424" s="12">
        <f>Quarterly_Billing_Run!I424</f>
        <v/>
      </c>
      <c r="E424" s="13">
        <f>Quarterly_Billing_Run!P424</f>
        <v/>
      </c>
      <c r="F424" s="2">
        <f>IF($E424=0,0,MAX(0,TODAY()-$D424))</f>
        <v/>
      </c>
      <c r="G424" s="2">
        <f>IF($E424=0,"Current",IF($F424&lt;=30,"1-30",IF($F424&lt;=60,"31-60",IF($F424&lt;=90,"61-90","90+"))))</f>
        <v/>
      </c>
      <c r="H424" s="2">
        <f>Quarterly_Billing_Run!Q424</f>
        <v/>
      </c>
    </row>
    <row r="425">
      <c r="A425" s="2">
        <f>Quarterly_Billing_Run!D425</f>
        <v/>
      </c>
      <c r="B425" s="2">
        <f>Quarterly_Billing_Run!F425</f>
        <v/>
      </c>
      <c r="C425" s="2">
        <f>Quarterly_Billing_Run!A425</f>
        <v/>
      </c>
      <c r="D425" s="12">
        <f>Quarterly_Billing_Run!I425</f>
        <v/>
      </c>
      <c r="E425" s="13">
        <f>Quarterly_Billing_Run!P425</f>
        <v/>
      </c>
      <c r="F425" s="2">
        <f>IF($E425=0,0,MAX(0,TODAY()-$D425))</f>
        <v/>
      </c>
      <c r="G425" s="2">
        <f>IF($E425=0,"Current",IF($F425&lt;=30,"1-30",IF($F425&lt;=60,"31-60",IF($F425&lt;=90,"61-90","90+"))))</f>
        <v/>
      </c>
      <c r="H425" s="2">
        <f>Quarterly_Billing_Run!Q425</f>
        <v/>
      </c>
    </row>
    <row r="426">
      <c r="A426" s="2">
        <f>Quarterly_Billing_Run!D426</f>
        <v/>
      </c>
      <c r="B426" s="2">
        <f>Quarterly_Billing_Run!F426</f>
        <v/>
      </c>
      <c r="C426" s="2">
        <f>Quarterly_Billing_Run!A426</f>
        <v/>
      </c>
      <c r="D426" s="12">
        <f>Quarterly_Billing_Run!I426</f>
        <v/>
      </c>
      <c r="E426" s="13">
        <f>Quarterly_Billing_Run!P426</f>
        <v/>
      </c>
      <c r="F426" s="2">
        <f>IF($E426=0,0,MAX(0,TODAY()-$D426))</f>
        <v/>
      </c>
      <c r="G426" s="2">
        <f>IF($E426=0,"Current",IF($F426&lt;=30,"1-30",IF($F426&lt;=60,"31-60",IF($F426&lt;=90,"61-90","90+"))))</f>
        <v/>
      </c>
      <c r="H426" s="2">
        <f>Quarterly_Billing_Run!Q426</f>
        <v/>
      </c>
    </row>
    <row r="427">
      <c r="A427" s="2">
        <f>Quarterly_Billing_Run!D427</f>
        <v/>
      </c>
      <c r="B427" s="2">
        <f>Quarterly_Billing_Run!F427</f>
        <v/>
      </c>
      <c r="C427" s="2">
        <f>Quarterly_Billing_Run!A427</f>
        <v/>
      </c>
      <c r="D427" s="12">
        <f>Quarterly_Billing_Run!I427</f>
        <v/>
      </c>
      <c r="E427" s="13">
        <f>Quarterly_Billing_Run!P427</f>
        <v/>
      </c>
      <c r="F427" s="2">
        <f>IF($E427=0,0,MAX(0,TODAY()-$D427))</f>
        <v/>
      </c>
      <c r="G427" s="2">
        <f>IF($E427=0,"Current",IF($F427&lt;=30,"1-30",IF($F427&lt;=60,"31-60",IF($F427&lt;=90,"61-90","90+"))))</f>
        <v/>
      </c>
      <c r="H427" s="2">
        <f>Quarterly_Billing_Run!Q427</f>
        <v/>
      </c>
    </row>
    <row r="428">
      <c r="A428" s="2">
        <f>Quarterly_Billing_Run!D428</f>
        <v/>
      </c>
      <c r="B428" s="2">
        <f>Quarterly_Billing_Run!F428</f>
        <v/>
      </c>
      <c r="C428" s="2">
        <f>Quarterly_Billing_Run!A428</f>
        <v/>
      </c>
      <c r="D428" s="12">
        <f>Quarterly_Billing_Run!I428</f>
        <v/>
      </c>
      <c r="E428" s="13">
        <f>Quarterly_Billing_Run!P428</f>
        <v/>
      </c>
      <c r="F428" s="2">
        <f>IF($E428=0,0,MAX(0,TODAY()-$D428))</f>
        <v/>
      </c>
      <c r="G428" s="2">
        <f>IF($E428=0,"Current",IF($F428&lt;=30,"1-30",IF($F428&lt;=60,"31-60",IF($F428&lt;=90,"61-90","90+"))))</f>
        <v/>
      </c>
      <c r="H428" s="2">
        <f>Quarterly_Billing_Run!Q428</f>
        <v/>
      </c>
    </row>
    <row r="429">
      <c r="A429" s="2">
        <f>Quarterly_Billing_Run!D429</f>
        <v/>
      </c>
      <c r="B429" s="2">
        <f>Quarterly_Billing_Run!F429</f>
        <v/>
      </c>
      <c r="C429" s="2">
        <f>Quarterly_Billing_Run!A429</f>
        <v/>
      </c>
      <c r="D429" s="12">
        <f>Quarterly_Billing_Run!I429</f>
        <v/>
      </c>
      <c r="E429" s="13">
        <f>Quarterly_Billing_Run!P429</f>
        <v/>
      </c>
      <c r="F429" s="2">
        <f>IF($E429=0,0,MAX(0,TODAY()-$D429))</f>
        <v/>
      </c>
      <c r="G429" s="2">
        <f>IF($E429=0,"Current",IF($F429&lt;=30,"1-30",IF($F429&lt;=60,"31-60",IF($F429&lt;=90,"61-90","90+"))))</f>
        <v/>
      </c>
      <c r="H429" s="2">
        <f>Quarterly_Billing_Run!Q429</f>
        <v/>
      </c>
    </row>
    <row r="430">
      <c r="A430" s="2">
        <f>Quarterly_Billing_Run!D430</f>
        <v/>
      </c>
      <c r="B430" s="2">
        <f>Quarterly_Billing_Run!F430</f>
        <v/>
      </c>
      <c r="C430" s="2">
        <f>Quarterly_Billing_Run!A430</f>
        <v/>
      </c>
      <c r="D430" s="12">
        <f>Quarterly_Billing_Run!I430</f>
        <v/>
      </c>
      <c r="E430" s="13">
        <f>Quarterly_Billing_Run!P430</f>
        <v/>
      </c>
      <c r="F430" s="2">
        <f>IF($E430=0,0,MAX(0,TODAY()-$D430))</f>
        <v/>
      </c>
      <c r="G430" s="2">
        <f>IF($E430=0,"Current",IF($F430&lt;=30,"1-30",IF($F430&lt;=60,"31-60",IF($F430&lt;=90,"61-90","90+"))))</f>
        <v/>
      </c>
      <c r="H430" s="2">
        <f>Quarterly_Billing_Run!Q430</f>
        <v/>
      </c>
    </row>
    <row r="431">
      <c r="A431" s="2">
        <f>Quarterly_Billing_Run!D431</f>
        <v/>
      </c>
      <c r="B431" s="2">
        <f>Quarterly_Billing_Run!F431</f>
        <v/>
      </c>
      <c r="C431" s="2">
        <f>Quarterly_Billing_Run!A431</f>
        <v/>
      </c>
      <c r="D431" s="12">
        <f>Quarterly_Billing_Run!I431</f>
        <v/>
      </c>
      <c r="E431" s="13">
        <f>Quarterly_Billing_Run!P431</f>
        <v/>
      </c>
      <c r="F431" s="2">
        <f>IF($E431=0,0,MAX(0,TODAY()-$D431))</f>
        <v/>
      </c>
      <c r="G431" s="2">
        <f>IF($E431=0,"Current",IF($F431&lt;=30,"1-30",IF($F431&lt;=60,"31-60",IF($F431&lt;=90,"61-90","90+"))))</f>
        <v/>
      </c>
      <c r="H431" s="2">
        <f>Quarterly_Billing_Run!Q431</f>
        <v/>
      </c>
    </row>
    <row r="432">
      <c r="A432" s="2">
        <f>Quarterly_Billing_Run!D432</f>
        <v/>
      </c>
      <c r="B432" s="2">
        <f>Quarterly_Billing_Run!F432</f>
        <v/>
      </c>
      <c r="C432" s="2">
        <f>Quarterly_Billing_Run!A432</f>
        <v/>
      </c>
      <c r="D432" s="12">
        <f>Quarterly_Billing_Run!I432</f>
        <v/>
      </c>
      <c r="E432" s="13">
        <f>Quarterly_Billing_Run!P432</f>
        <v/>
      </c>
      <c r="F432" s="2">
        <f>IF($E432=0,0,MAX(0,TODAY()-$D432))</f>
        <v/>
      </c>
      <c r="G432" s="2">
        <f>IF($E432=0,"Current",IF($F432&lt;=30,"1-30",IF($F432&lt;=60,"31-60",IF($F432&lt;=90,"61-90","90+"))))</f>
        <v/>
      </c>
      <c r="H432" s="2">
        <f>Quarterly_Billing_Run!Q432</f>
        <v/>
      </c>
    </row>
    <row r="433">
      <c r="A433" s="2">
        <f>Quarterly_Billing_Run!D433</f>
        <v/>
      </c>
      <c r="B433" s="2">
        <f>Quarterly_Billing_Run!F433</f>
        <v/>
      </c>
      <c r="C433" s="2">
        <f>Quarterly_Billing_Run!A433</f>
        <v/>
      </c>
      <c r="D433" s="12">
        <f>Quarterly_Billing_Run!I433</f>
        <v/>
      </c>
      <c r="E433" s="13">
        <f>Quarterly_Billing_Run!P433</f>
        <v/>
      </c>
      <c r="F433" s="2">
        <f>IF($E433=0,0,MAX(0,TODAY()-$D433))</f>
        <v/>
      </c>
      <c r="G433" s="2">
        <f>IF($E433=0,"Current",IF($F433&lt;=30,"1-30",IF($F433&lt;=60,"31-60",IF($F433&lt;=90,"61-90","90+"))))</f>
        <v/>
      </c>
      <c r="H433" s="2">
        <f>Quarterly_Billing_Run!Q433</f>
        <v/>
      </c>
    </row>
    <row r="434">
      <c r="A434" s="2">
        <f>Quarterly_Billing_Run!D434</f>
        <v/>
      </c>
      <c r="B434" s="2">
        <f>Quarterly_Billing_Run!F434</f>
        <v/>
      </c>
      <c r="C434" s="2">
        <f>Quarterly_Billing_Run!A434</f>
        <v/>
      </c>
      <c r="D434" s="12">
        <f>Quarterly_Billing_Run!I434</f>
        <v/>
      </c>
      <c r="E434" s="13">
        <f>Quarterly_Billing_Run!P434</f>
        <v/>
      </c>
      <c r="F434" s="2">
        <f>IF($E434=0,0,MAX(0,TODAY()-$D434))</f>
        <v/>
      </c>
      <c r="G434" s="2">
        <f>IF($E434=0,"Current",IF($F434&lt;=30,"1-30",IF($F434&lt;=60,"31-60",IF($F434&lt;=90,"61-90","90+"))))</f>
        <v/>
      </c>
      <c r="H434" s="2">
        <f>Quarterly_Billing_Run!Q434</f>
        <v/>
      </c>
    </row>
    <row r="435">
      <c r="A435" s="2">
        <f>Quarterly_Billing_Run!D435</f>
        <v/>
      </c>
      <c r="B435" s="2">
        <f>Quarterly_Billing_Run!F435</f>
        <v/>
      </c>
      <c r="C435" s="2">
        <f>Quarterly_Billing_Run!A435</f>
        <v/>
      </c>
      <c r="D435" s="12">
        <f>Quarterly_Billing_Run!I435</f>
        <v/>
      </c>
      <c r="E435" s="13">
        <f>Quarterly_Billing_Run!P435</f>
        <v/>
      </c>
      <c r="F435" s="2">
        <f>IF($E435=0,0,MAX(0,TODAY()-$D435))</f>
        <v/>
      </c>
      <c r="G435" s="2">
        <f>IF($E435=0,"Current",IF($F435&lt;=30,"1-30",IF($F435&lt;=60,"31-60",IF($F435&lt;=90,"61-90","90+"))))</f>
        <v/>
      </c>
      <c r="H435" s="2">
        <f>Quarterly_Billing_Run!Q435</f>
        <v/>
      </c>
    </row>
    <row r="436">
      <c r="A436" s="2">
        <f>Quarterly_Billing_Run!D436</f>
        <v/>
      </c>
      <c r="B436" s="2">
        <f>Quarterly_Billing_Run!F436</f>
        <v/>
      </c>
      <c r="C436" s="2">
        <f>Quarterly_Billing_Run!A436</f>
        <v/>
      </c>
      <c r="D436" s="12">
        <f>Quarterly_Billing_Run!I436</f>
        <v/>
      </c>
      <c r="E436" s="13">
        <f>Quarterly_Billing_Run!P436</f>
        <v/>
      </c>
      <c r="F436" s="2">
        <f>IF($E436=0,0,MAX(0,TODAY()-$D436))</f>
        <v/>
      </c>
      <c r="G436" s="2">
        <f>IF($E436=0,"Current",IF($F436&lt;=30,"1-30",IF($F436&lt;=60,"31-60",IF($F436&lt;=90,"61-90","90+"))))</f>
        <v/>
      </c>
      <c r="H436" s="2">
        <f>Quarterly_Billing_Run!Q436</f>
        <v/>
      </c>
    </row>
    <row r="437">
      <c r="A437" s="2">
        <f>Quarterly_Billing_Run!D437</f>
        <v/>
      </c>
      <c r="B437" s="2">
        <f>Quarterly_Billing_Run!F437</f>
        <v/>
      </c>
      <c r="C437" s="2">
        <f>Quarterly_Billing_Run!A437</f>
        <v/>
      </c>
      <c r="D437" s="12">
        <f>Quarterly_Billing_Run!I437</f>
        <v/>
      </c>
      <c r="E437" s="13">
        <f>Quarterly_Billing_Run!P437</f>
        <v/>
      </c>
      <c r="F437" s="2">
        <f>IF($E437=0,0,MAX(0,TODAY()-$D437))</f>
        <v/>
      </c>
      <c r="G437" s="2">
        <f>IF($E437=0,"Current",IF($F437&lt;=30,"1-30",IF($F437&lt;=60,"31-60",IF($F437&lt;=90,"61-90","90+"))))</f>
        <v/>
      </c>
      <c r="H437" s="2">
        <f>Quarterly_Billing_Run!Q437</f>
        <v/>
      </c>
    </row>
    <row r="438">
      <c r="A438" s="2">
        <f>Quarterly_Billing_Run!D438</f>
        <v/>
      </c>
      <c r="B438" s="2">
        <f>Quarterly_Billing_Run!F438</f>
        <v/>
      </c>
      <c r="C438" s="2">
        <f>Quarterly_Billing_Run!A438</f>
        <v/>
      </c>
      <c r="D438" s="12">
        <f>Quarterly_Billing_Run!I438</f>
        <v/>
      </c>
      <c r="E438" s="13">
        <f>Quarterly_Billing_Run!P438</f>
        <v/>
      </c>
      <c r="F438" s="2">
        <f>IF($E438=0,0,MAX(0,TODAY()-$D438))</f>
        <v/>
      </c>
      <c r="G438" s="2">
        <f>IF($E438=0,"Current",IF($F438&lt;=30,"1-30",IF($F438&lt;=60,"31-60",IF($F438&lt;=90,"61-90","90+"))))</f>
        <v/>
      </c>
      <c r="H438" s="2">
        <f>Quarterly_Billing_Run!Q438</f>
        <v/>
      </c>
    </row>
    <row r="439">
      <c r="A439" s="2">
        <f>Quarterly_Billing_Run!D439</f>
        <v/>
      </c>
      <c r="B439" s="2">
        <f>Quarterly_Billing_Run!F439</f>
        <v/>
      </c>
      <c r="C439" s="2">
        <f>Quarterly_Billing_Run!A439</f>
        <v/>
      </c>
      <c r="D439" s="12">
        <f>Quarterly_Billing_Run!I439</f>
        <v/>
      </c>
      <c r="E439" s="13">
        <f>Quarterly_Billing_Run!P439</f>
        <v/>
      </c>
      <c r="F439" s="2">
        <f>IF($E439=0,0,MAX(0,TODAY()-$D439))</f>
        <v/>
      </c>
      <c r="G439" s="2">
        <f>IF($E439=0,"Current",IF($F439&lt;=30,"1-30",IF($F439&lt;=60,"31-60",IF($F439&lt;=90,"61-90","90+"))))</f>
        <v/>
      </c>
      <c r="H439" s="2">
        <f>Quarterly_Billing_Run!Q439</f>
        <v/>
      </c>
    </row>
    <row r="440">
      <c r="A440" s="2">
        <f>Quarterly_Billing_Run!D440</f>
        <v/>
      </c>
      <c r="B440" s="2">
        <f>Quarterly_Billing_Run!F440</f>
        <v/>
      </c>
      <c r="C440" s="2">
        <f>Quarterly_Billing_Run!A440</f>
        <v/>
      </c>
      <c r="D440" s="12">
        <f>Quarterly_Billing_Run!I440</f>
        <v/>
      </c>
      <c r="E440" s="13">
        <f>Quarterly_Billing_Run!P440</f>
        <v/>
      </c>
      <c r="F440" s="2">
        <f>IF($E440=0,0,MAX(0,TODAY()-$D440))</f>
        <v/>
      </c>
      <c r="G440" s="2">
        <f>IF($E440=0,"Current",IF($F440&lt;=30,"1-30",IF($F440&lt;=60,"31-60",IF($F440&lt;=90,"61-90","90+"))))</f>
        <v/>
      </c>
      <c r="H440" s="2">
        <f>Quarterly_Billing_Run!Q440</f>
        <v/>
      </c>
    </row>
    <row r="441">
      <c r="A441" s="2">
        <f>Quarterly_Billing_Run!D441</f>
        <v/>
      </c>
      <c r="B441" s="2">
        <f>Quarterly_Billing_Run!F441</f>
        <v/>
      </c>
      <c r="C441" s="2">
        <f>Quarterly_Billing_Run!A441</f>
        <v/>
      </c>
      <c r="D441" s="12">
        <f>Quarterly_Billing_Run!I441</f>
        <v/>
      </c>
      <c r="E441" s="13">
        <f>Quarterly_Billing_Run!P441</f>
        <v/>
      </c>
      <c r="F441" s="2">
        <f>IF($E441=0,0,MAX(0,TODAY()-$D441))</f>
        <v/>
      </c>
      <c r="G441" s="2">
        <f>IF($E441=0,"Current",IF($F441&lt;=30,"1-30",IF($F441&lt;=60,"31-60",IF($F441&lt;=90,"61-90","90+"))))</f>
        <v/>
      </c>
      <c r="H441" s="2">
        <f>Quarterly_Billing_Run!Q441</f>
        <v/>
      </c>
    </row>
    <row r="442">
      <c r="A442" s="2">
        <f>Quarterly_Billing_Run!D442</f>
        <v/>
      </c>
      <c r="B442" s="2">
        <f>Quarterly_Billing_Run!F442</f>
        <v/>
      </c>
      <c r="C442" s="2">
        <f>Quarterly_Billing_Run!A442</f>
        <v/>
      </c>
      <c r="D442" s="12">
        <f>Quarterly_Billing_Run!I442</f>
        <v/>
      </c>
      <c r="E442" s="13">
        <f>Quarterly_Billing_Run!P442</f>
        <v/>
      </c>
      <c r="F442" s="2">
        <f>IF($E442=0,0,MAX(0,TODAY()-$D442))</f>
        <v/>
      </c>
      <c r="G442" s="2">
        <f>IF($E442=0,"Current",IF($F442&lt;=30,"1-30",IF($F442&lt;=60,"31-60",IF($F442&lt;=90,"61-90","90+"))))</f>
        <v/>
      </c>
      <c r="H442" s="2">
        <f>Quarterly_Billing_Run!Q442</f>
        <v/>
      </c>
    </row>
    <row r="443">
      <c r="A443" s="2">
        <f>Quarterly_Billing_Run!D443</f>
        <v/>
      </c>
      <c r="B443" s="2">
        <f>Quarterly_Billing_Run!F443</f>
        <v/>
      </c>
      <c r="C443" s="2">
        <f>Quarterly_Billing_Run!A443</f>
        <v/>
      </c>
      <c r="D443" s="12">
        <f>Quarterly_Billing_Run!I443</f>
        <v/>
      </c>
      <c r="E443" s="13">
        <f>Quarterly_Billing_Run!P443</f>
        <v/>
      </c>
      <c r="F443" s="2">
        <f>IF($E443=0,0,MAX(0,TODAY()-$D443))</f>
        <v/>
      </c>
      <c r="G443" s="2">
        <f>IF($E443=0,"Current",IF($F443&lt;=30,"1-30",IF($F443&lt;=60,"31-60",IF($F443&lt;=90,"61-90","90+"))))</f>
        <v/>
      </c>
      <c r="H443" s="2">
        <f>Quarterly_Billing_Run!Q443</f>
        <v/>
      </c>
    </row>
    <row r="444">
      <c r="A444" s="2">
        <f>Quarterly_Billing_Run!D444</f>
        <v/>
      </c>
      <c r="B444" s="2">
        <f>Quarterly_Billing_Run!F444</f>
        <v/>
      </c>
      <c r="C444" s="2">
        <f>Quarterly_Billing_Run!A444</f>
        <v/>
      </c>
      <c r="D444" s="12">
        <f>Quarterly_Billing_Run!I444</f>
        <v/>
      </c>
      <c r="E444" s="13">
        <f>Quarterly_Billing_Run!P444</f>
        <v/>
      </c>
      <c r="F444" s="2">
        <f>IF($E444=0,0,MAX(0,TODAY()-$D444))</f>
        <v/>
      </c>
      <c r="G444" s="2">
        <f>IF($E444=0,"Current",IF($F444&lt;=30,"1-30",IF($F444&lt;=60,"31-60",IF($F444&lt;=90,"61-90","90+"))))</f>
        <v/>
      </c>
      <c r="H444" s="2">
        <f>Quarterly_Billing_Run!Q444</f>
        <v/>
      </c>
    </row>
    <row r="445">
      <c r="A445" s="2">
        <f>Quarterly_Billing_Run!D445</f>
        <v/>
      </c>
      <c r="B445" s="2">
        <f>Quarterly_Billing_Run!F445</f>
        <v/>
      </c>
      <c r="C445" s="2">
        <f>Quarterly_Billing_Run!A445</f>
        <v/>
      </c>
      <c r="D445" s="12">
        <f>Quarterly_Billing_Run!I445</f>
        <v/>
      </c>
      <c r="E445" s="13">
        <f>Quarterly_Billing_Run!P445</f>
        <v/>
      </c>
      <c r="F445" s="2">
        <f>IF($E445=0,0,MAX(0,TODAY()-$D445))</f>
        <v/>
      </c>
      <c r="G445" s="2">
        <f>IF($E445=0,"Current",IF($F445&lt;=30,"1-30",IF($F445&lt;=60,"31-60",IF($F445&lt;=90,"61-90","90+"))))</f>
        <v/>
      </c>
      <c r="H445" s="2">
        <f>Quarterly_Billing_Run!Q445</f>
        <v/>
      </c>
    </row>
    <row r="446">
      <c r="A446" s="2">
        <f>Quarterly_Billing_Run!D446</f>
        <v/>
      </c>
      <c r="B446" s="2">
        <f>Quarterly_Billing_Run!F446</f>
        <v/>
      </c>
      <c r="C446" s="2">
        <f>Quarterly_Billing_Run!A446</f>
        <v/>
      </c>
      <c r="D446" s="12">
        <f>Quarterly_Billing_Run!I446</f>
        <v/>
      </c>
      <c r="E446" s="13">
        <f>Quarterly_Billing_Run!P446</f>
        <v/>
      </c>
      <c r="F446" s="2">
        <f>IF($E446=0,0,MAX(0,TODAY()-$D446))</f>
        <v/>
      </c>
      <c r="G446" s="2">
        <f>IF($E446=0,"Current",IF($F446&lt;=30,"1-30",IF($F446&lt;=60,"31-60",IF($F446&lt;=90,"61-90","90+"))))</f>
        <v/>
      </c>
      <c r="H446" s="2">
        <f>Quarterly_Billing_Run!Q446</f>
        <v/>
      </c>
    </row>
    <row r="447">
      <c r="A447" s="2">
        <f>Quarterly_Billing_Run!D447</f>
        <v/>
      </c>
      <c r="B447" s="2">
        <f>Quarterly_Billing_Run!F447</f>
        <v/>
      </c>
      <c r="C447" s="2">
        <f>Quarterly_Billing_Run!A447</f>
        <v/>
      </c>
      <c r="D447" s="12">
        <f>Quarterly_Billing_Run!I447</f>
        <v/>
      </c>
      <c r="E447" s="13">
        <f>Quarterly_Billing_Run!P447</f>
        <v/>
      </c>
      <c r="F447" s="2">
        <f>IF($E447=0,0,MAX(0,TODAY()-$D447))</f>
        <v/>
      </c>
      <c r="G447" s="2">
        <f>IF($E447=0,"Current",IF($F447&lt;=30,"1-30",IF($F447&lt;=60,"31-60",IF($F447&lt;=90,"61-90","90+"))))</f>
        <v/>
      </c>
      <c r="H447" s="2">
        <f>Quarterly_Billing_Run!Q447</f>
        <v/>
      </c>
    </row>
    <row r="448">
      <c r="A448" s="2">
        <f>Quarterly_Billing_Run!D448</f>
        <v/>
      </c>
      <c r="B448" s="2">
        <f>Quarterly_Billing_Run!F448</f>
        <v/>
      </c>
      <c r="C448" s="2">
        <f>Quarterly_Billing_Run!A448</f>
        <v/>
      </c>
      <c r="D448" s="12">
        <f>Quarterly_Billing_Run!I448</f>
        <v/>
      </c>
      <c r="E448" s="13">
        <f>Quarterly_Billing_Run!P448</f>
        <v/>
      </c>
      <c r="F448" s="2">
        <f>IF($E448=0,0,MAX(0,TODAY()-$D448))</f>
        <v/>
      </c>
      <c r="G448" s="2">
        <f>IF($E448=0,"Current",IF($F448&lt;=30,"1-30",IF($F448&lt;=60,"31-60",IF($F448&lt;=90,"61-90","90+"))))</f>
        <v/>
      </c>
      <c r="H448" s="2">
        <f>Quarterly_Billing_Run!Q448</f>
        <v/>
      </c>
    </row>
    <row r="449">
      <c r="A449" s="2">
        <f>Quarterly_Billing_Run!D449</f>
        <v/>
      </c>
      <c r="B449" s="2">
        <f>Quarterly_Billing_Run!F449</f>
        <v/>
      </c>
      <c r="C449" s="2">
        <f>Quarterly_Billing_Run!A449</f>
        <v/>
      </c>
      <c r="D449" s="12">
        <f>Quarterly_Billing_Run!I449</f>
        <v/>
      </c>
      <c r="E449" s="13">
        <f>Quarterly_Billing_Run!P449</f>
        <v/>
      </c>
      <c r="F449" s="2">
        <f>IF($E449=0,0,MAX(0,TODAY()-$D449))</f>
        <v/>
      </c>
      <c r="G449" s="2">
        <f>IF($E449=0,"Current",IF($F449&lt;=30,"1-30",IF($F449&lt;=60,"31-60",IF($F449&lt;=90,"61-90","90+"))))</f>
        <v/>
      </c>
      <c r="H449" s="2">
        <f>Quarterly_Billing_Run!Q449</f>
        <v/>
      </c>
    </row>
    <row r="450">
      <c r="A450" s="2">
        <f>Quarterly_Billing_Run!D450</f>
        <v/>
      </c>
      <c r="B450" s="2">
        <f>Quarterly_Billing_Run!F450</f>
        <v/>
      </c>
      <c r="C450" s="2">
        <f>Quarterly_Billing_Run!A450</f>
        <v/>
      </c>
      <c r="D450" s="12">
        <f>Quarterly_Billing_Run!I450</f>
        <v/>
      </c>
      <c r="E450" s="13">
        <f>Quarterly_Billing_Run!P450</f>
        <v/>
      </c>
      <c r="F450" s="2">
        <f>IF($E450=0,0,MAX(0,TODAY()-$D450))</f>
        <v/>
      </c>
      <c r="G450" s="2">
        <f>IF($E450=0,"Current",IF($F450&lt;=30,"1-30",IF($F450&lt;=60,"31-60",IF($F450&lt;=90,"61-90","90+"))))</f>
        <v/>
      </c>
      <c r="H450" s="2">
        <f>Quarterly_Billing_Run!Q450</f>
        <v/>
      </c>
    </row>
    <row r="451">
      <c r="A451" s="2">
        <f>Quarterly_Billing_Run!D451</f>
        <v/>
      </c>
      <c r="B451" s="2">
        <f>Quarterly_Billing_Run!F451</f>
        <v/>
      </c>
      <c r="C451" s="2">
        <f>Quarterly_Billing_Run!A451</f>
        <v/>
      </c>
      <c r="D451" s="12">
        <f>Quarterly_Billing_Run!I451</f>
        <v/>
      </c>
      <c r="E451" s="13">
        <f>Quarterly_Billing_Run!P451</f>
        <v/>
      </c>
      <c r="F451" s="2">
        <f>IF($E451=0,0,MAX(0,TODAY()-$D451))</f>
        <v/>
      </c>
      <c r="G451" s="2">
        <f>IF($E451=0,"Current",IF($F451&lt;=30,"1-30",IF($F451&lt;=60,"31-60",IF($F451&lt;=90,"61-90","90+"))))</f>
        <v/>
      </c>
      <c r="H451" s="2">
        <f>Quarterly_Billing_Run!Q451</f>
        <v/>
      </c>
    </row>
    <row r="452">
      <c r="A452" s="2">
        <f>Quarterly_Billing_Run!D452</f>
        <v/>
      </c>
      <c r="B452" s="2">
        <f>Quarterly_Billing_Run!F452</f>
        <v/>
      </c>
      <c r="C452" s="2">
        <f>Quarterly_Billing_Run!A452</f>
        <v/>
      </c>
      <c r="D452" s="12">
        <f>Quarterly_Billing_Run!I452</f>
        <v/>
      </c>
      <c r="E452" s="13">
        <f>Quarterly_Billing_Run!P452</f>
        <v/>
      </c>
      <c r="F452" s="2">
        <f>IF($E452=0,0,MAX(0,TODAY()-$D452))</f>
        <v/>
      </c>
      <c r="G452" s="2">
        <f>IF($E452=0,"Current",IF($F452&lt;=30,"1-30",IF($F452&lt;=60,"31-60",IF($F452&lt;=90,"61-90","90+"))))</f>
        <v/>
      </c>
      <c r="H452" s="2">
        <f>Quarterly_Billing_Run!Q452</f>
        <v/>
      </c>
    </row>
    <row r="453">
      <c r="A453" s="2">
        <f>Quarterly_Billing_Run!D453</f>
        <v/>
      </c>
      <c r="B453" s="2">
        <f>Quarterly_Billing_Run!F453</f>
        <v/>
      </c>
      <c r="C453" s="2">
        <f>Quarterly_Billing_Run!A453</f>
        <v/>
      </c>
      <c r="D453" s="12">
        <f>Quarterly_Billing_Run!I453</f>
        <v/>
      </c>
      <c r="E453" s="13">
        <f>Quarterly_Billing_Run!P453</f>
        <v/>
      </c>
      <c r="F453" s="2">
        <f>IF($E453=0,0,MAX(0,TODAY()-$D453))</f>
        <v/>
      </c>
      <c r="G453" s="2">
        <f>IF($E453=0,"Current",IF($F453&lt;=30,"1-30",IF($F453&lt;=60,"31-60",IF($F453&lt;=90,"61-90","90+"))))</f>
        <v/>
      </c>
      <c r="H453" s="2">
        <f>Quarterly_Billing_Run!Q453</f>
        <v/>
      </c>
    </row>
    <row r="454">
      <c r="A454" s="2">
        <f>Quarterly_Billing_Run!D454</f>
        <v/>
      </c>
      <c r="B454" s="2">
        <f>Quarterly_Billing_Run!F454</f>
        <v/>
      </c>
      <c r="C454" s="2">
        <f>Quarterly_Billing_Run!A454</f>
        <v/>
      </c>
      <c r="D454" s="12">
        <f>Quarterly_Billing_Run!I454</f>
        <v/>
      </c>
      <c r="E454" s="13">
        <f>Quarterly_Billing_Run!P454</f>
        <v/>
      </c>
      <c r="F454" s="2">
        <f>IF($E454=0,0,MAX(0,TODAY()-$D454))</f>
        <v/>
      </c>
      <c r="G454" s="2">
        <f>IF($E454=0,"Current",IF($F454&lt;=30,"1-30",IF($F454&lt;=60,"31-60",IF($F454&lt;=90,"61-90","90+"))))</f>
        <v/>
      </c>
      <c r="H454" s="2">
        <f>Quarterly_Billing_Run!Q454</f>
        <v/>
      </c>
    </row>
    <row r="455">
      <c r="A455" s="2">
        <f>Quarterly_Billing_Run!D455</f>
        <v/>
      </c>
      <c r="B455" s="2">
        <f>Quarterly_Billing_Run!F455</f>
        <v/>
      </c>
      <c r="C455" s="2">
        <f>Quarterly_Billing_Run!A455</f>
        <v/>
      </c>
      <c r="D455" s="12">
        <f>Quarterly_Billing_Run!I455</f>
        <v/>
      </c>
      <c r="E455" s="13">
        <f>Quarterly_Billing_Run!P455</f>
        <v/>
      </c>
      <c r="F455" s="2">
        <f>IF($E455=0,0,MAX(0,TODAY()-$D455))</f>
        <v/>
      </c>
      <c r="G455" s="2">
        <f>IF($E455=0,"Current",IF($F455&lt;=30,"1-30",IF($F455&lt;=60,"31-60",IF($F455&lt;=90,"61-90","90+"))))</f>
        <v/>
      </c>
      <c r="H455" s="2">
        <f>Quarterly_Billing_Run!Q455</f>
        <v/>
      </c>
    </row>
    <row r="456">
      <c r="A456" s="2">
        <f>Quarterly_Billing_Run!D456</f>
        <v/>
      </c>
      <c r="B456" s="2">
        <f>Quarterly_Billing_Run!F456</f>
        <v/>
      </c>
      <c r="C456" s="2">
        <f>Quarterly_Billing_Run!A456</f>
        <v/>
      </c>
      <c r="D456" s="12">
        <f>Quarterly_Billing_Run!I456</f>
        <v/>
      </c>
      <c r="E456" s="13">
        <f>Quarterly_Billing_Run!P456</f>
        <v/>
      </c>
      <c r="F456" s="2">
        <f>IF($E456=0,0,MAX(0,TODAY()-$D456))</f>
        <v/>
      </c>
      <c r="G456" s="2">
        <f>IF($E456=0,"Current",IF($F456&lt;=30,"1-30",IF($F456&lt;=60,"31-60",IF($F456&lt;=90,"61-90","90+"))))</f>
        <v/>
      </c>
      <c r="H456" s="2">
        <f>Quarterly_Billing_Run!Q456</f>
        <v/>
      </c>
    </row>
    <row r="457">
      <c r="A457" s="2">
        <f>Quarterly_Billing_Run!D457</f>
        <v/>
      </c>
      <c r="B457" s="2">
        <f>Quarterly_Billing_Run!F457</f>
        <v/>
      </c>
      <c r="C457" s="2">
        <f>Quarterly_Billing_Run!A457</f>
        <v/>
      </c>
      <c r="D457" s="12">
        <f>Quarterly_Billing_Run!I457</f>
        <v/>
      </c>
      <c r="E457" s="13">
        <f>Quarterly_Billing_Run!P457</f>
        <v/>
      </c>
      <c r="F457" s="2">
        <f>IF($E457=0,0,MAX(0,TODAY()-$D457))</f>
        <v/>
      </c>
      <c r="G457" s="2">
        <f>IF($E457=0,"Current",IF($F457&lt;=30,"1-30",IF($F457&lt;=60,"31-60",IF($F457&lt;=90,"61-90","90+"))))</f>
        <v/>
      </c>
      <c r="H457" s="2">
        <f>Quarterly_Billing_Run!Q457</f>
        <v/>
      </c>
    </row>
    <row r="458">
      <c r="A458" s="2">
        <f>Quarterly_Billing_Run!D458</f>
        <v/>
      </c>
      <c r="B458" s="2">
        <f>Quarterly_Billing_Run!F458</f>
        <v/>
      </c>
      <c r="C458" s="2">
        <f>Quarterly_Billing_Run!A458</f>
        <v/>
      </c>
      <c r="D458" s="12">
        <f>Quarterly_Billing_Run!I458</f>
        <v/>
      </c>
      <c r="E458" s="13">
        <f>Quarterly_Billing_Run!P458</f>
        <v/>
      </c>
      <c r="F458" s="2">
        <f>IF($E458=0,0,MAX(0,TODAY()-$D458))</f>
        <v/>
      </c>
      <c r="G458" s="2">
        <f>IF($E458=0,"Current",IF($F458&lt;=30,"1-30",IF($F458&lt;=60,"31-60",IF($F458&lt;=90,"61-90","90+"))))</f>
        <v/>
      </c>
      <c r="H458" s="2">
        <f>Quarterly_Billing_Run!Q458</f>
        <v/>
      </c>
    </row>
    <row r="459">
      <c r="A459" s="2">
        <f>Quarterly_Billing_Run!D459</f>
        <v/>
      </c>
      <c r="B459" s="2">
        <f>Quarterly_Billing_Run!F459</f>
        <v/>
      </c>
      <c r="C459" s="2">
        <f>Quarterly_Billing_Run!A459</f>
        <v/>
      </c>
      <c r="D459" s="12">
        <f>Quarterly_Billing_Run!I459</f>
        <v/>
      </c>
      <c r="E459" s="13">
        <f>Quarterly_Billing_Run!P459</f>
        <v/>
      </c>
      <c r="F459" s="2">
        <f>IF($E459=0,0,MAX(0,TODAY()-$D459))</f>
        <v/>
      </c>
      <c r="G459" s="2">
        <f>IF($E459=0,"Current",IF($F459&lt;=30,"1-30",IF($F459&lt;=60,"31-60",IF($F459&lt;=90,"61-90","90+"))))</f>
        <v/>
      </c>
      <c r="H459" s="2">
        <f>Quarterly_Billing_Run!Q459</f>
        <v/>
      </c>
    </row>
    <row r="460">
      <c r="A460" s="2">
        <f>Quarterly_Billing_Run!D460</f>
        <v/>
      </c>
      <c r="B460" s="2">
        <f>Quarterly_Billing_Run!F460</f>
        <v/>
      </c>
      <c r="C460" s="2">
        <f>Quarterly_Billing_Run!A460</f>
        <v/>
      </c>
      <c r="D460" s="12">
        <f>Quarterly_Billing_Run!I460</f>
        <v/>
      </c>
      <c r="E460" s="13">
        <f>Quarterly_Billing_Run!P460</f>
        <v/>
      </c>
      <c r="F460" s="2">
        <f>IF($E460=0,0,MAX(0,TODAY()-$D460))</f>
        <v/>
      </c>
      <c r="G460" s="2">
        <f>IF($E460=0,"Current",IF($F460&lt;=30,"1-30",IF($F460&lt;=60,"31-60",IF($F460&lt;=90,"61-90","90+"))))</f>
        <v/>
      </c>
      <c r="H460" s="2">
        <f>Quarterly_Billing_Run!Q460</f>
        <v/>
      </c>
    </row>
    <row r="461">
      <c r="A461" s="2">
        <f>Quarterly_Billing_Run!D461</f>
        <v/>
      </c>
      <c r="B461" s="2">
        <f>Quarterly_Billing_Run!F461</f>
        <v/>
      </c>
      <c r="C461" s="2">
        <f>Quarterly_Billing_Run!A461</f>
        <v/>
      </c>
      <c r="D461" s="12">
        <f>Quarterly_Billing_Run!I461</f>
        <v/>
      </c>
      <c r="E461" s="13">
        <f>Quarterly_Billing_Run!P461</f>
        <v/>
      </c>
      <c r="F461" s="2">
        <f>IF($E461=0,0,MAX(0,TODAY()-$D461))</f>
        <v/>
      </c>
      <c r="G461" s="2">
        <f>IF($E461=0,"Current",IF($F461&lt;=30,"1-30",IF($F461&lt;=60,"31-60",IF($F461&lt;=90,"61-90","90+"))))</f>
        <v/>
      </c>
      <c r="H461" s="2">
        <f>Quarterly_Billing_Run!Q461</f>
        <v/>
      </c>
    </row>
    <row r="462">
      <c r="A462" s="2">
        <f>Quarterly_Billing_Run!D462</f>
        <v/>
      </c>
      <c r="B462" s="2">
        <f>Quarterly_Billing_Run!F462</f>
        <v/>
      </c>
      <c r="C462" s="2">
        <f>Quarterly_Billing_Run!A462</f>
        <v/>
      </c>
      <c r="D462" s="12">
        <f>Quarterly_Billing_Run!I462</f>
        <v/>
      </c>
      <c r="E462" s="13">
        <f>Quarterly_Billing_Run!P462</f>
        <v/>
      </c>
      <c r="F462" s="2">
        <f>IF($E462=0,0,MAX(0,TODAY()-$D462))</f>
        <v/>
      </c>
      <c r="G462" s="2">
        <f>IF($E462=0,"Current",IF($F462&lt;=30,"1-30",IF($F462&lt;=60,"31-60",IF($F462&lt;=90,"61-90","90+"))))</f>
        <v/>
      </c>
      <c r="H462" s="2">
        <f>Quarterly_Billing_Run!Q462</f>
        <v/>
      </c>
    </row>
    <row r="463">
      <c r="A463" s="2">
        <f>Quarterly_Billing_Run!D463</f>
        <v/>
      </c>
      <c r="B463" s="2">
        <f>Quarterly_Billing_Run!F463</f>
        <v/>
      </c>
      <c r="C463" s="2">
        <f>Quarterly_Billing_Run!A463</f>
        <v/>
      </c>
      <c r="D463" s="12">
        <f>Quarterly_Billing_Run!I463</f>
        <v/>
      </c>
      <c r="E463" s="13">
        <f>Quarterly_Billing_Run!P463</f>
        <v/>
      </c>
      <c r="F463" s="2">
        <f>IF($E463=0,0,MAX(0,TODAY()-$D463))</f>
        <v/>
      </c>
      <c r="G463" s="2">
        <f>IF($E463=0,"Current",IF($F463&lt;=30,"1-30",IF($F463&lt;=60,"31-60",IF($F463&lt;=90,"61-90","90+"))))</f>
        <v/>
      </c>
      <c r="H463" s="2">
        <f>Quarterly_Billing_Run!Q463</f>
        <v/>
      </c>
    </row>
    <row r="464">
      <c r="A464" s="2">
        <f>Quarterly_Billing_Run!D464</f>
        <v/>
      </c>
      <c r="B464" s="2">
        <f>Quarterly_Billing_Run!F464</f>
        <v/>
      </c>
      <c r="C464" s="2">
        <f>Quarterly_Billing_Run!A464</f>
        <v/>
      </c>
      <c r="D464" s="12">
        <f>Quarterly_Billing_Run!I464</f>
        <v/>
      </c>
      <c r="E464" s="13">
        <f>Quarterly_Billing_Run!P464</f>
        <v/>
      </c>
      <c r="F464" s="2">
        <f>IF($E464=0,0,MAX(0,TODAY()-$D464))</f>
        <v/>
      </c>
      <c r="G464" s="2">
        <f>IF($E464=0,"Current",IF($F464&lt;=30,"1-30",IF($F464&lt;=60,"31-60",IF($F464&lt;=90,"61-90","90+"))))</f>
        <v/>
      </c>
      <c r="H464" s="2">
        <f>Quarterly_Billing_Run!Q464</f>
        <v/>
      </c>
    </row>
    <row r="465">
      <c r="A465" s="2">
        <f>Quarterly_Billing_Run!D465</f>
        <v/>
      </c>
      <c r="B465" s="2">
        <f>Quarterly_Billing_Run!F465</f>
        <v/>
      </c>
      <c r="C465" s="2">
        <f>Quarterly_Billing_Run!A465</f>
        <v/>
      </c>
      <c r="D465" s="12">
        <f>Quarterly_Billing_Run!I465</f>
        <v/>
      </c>
      <c r="E465" s="13">
        <f>Quarterly_Billing_Run!P465</f>
        <v/>
      </c>
      <c r="F465" s="2">
        <f>IF($E465=0,0,MAX(0,TODAY()-$D465))</f>
        <v/>
      </c>
      <c r="G465" s="2">
        <f>IF($E465=0,"Current",IF($F465&lt;=30,"1-30",IF($F465&lt;=60,"31-60",IF($F465&lt;=90,"61-90","90+"))))</f>
        <v/>
      </c>
      <c r="H465" s="2">
        <f>Quarterly_Billing_Run!Q465</f>
        <v/>
      </c>
    </row>
    <row r="466">
      <c r="A466" s="2">
        <f>Quarterly_Billing_Run!D466</f>
        <v/>
      </c>
      <c r="B466" s="2">
        <f>Quarterly_Billing_Run!F466</f>
        <v/>
      </c>
      <c r="C466" s="2">
        <f>Quarterly_Billing_Run!A466</f>
        <v/>
      </c>
      <c r="D466" s="12">
        <f>Quarterly_Billing_Run!I466</f>
        <v/>
      </c>
      <c r="E466" s="13">
        <f>Quarterly_Billing_Run!P466</f>
        <v/>
      </c>
      <c r="F466" s="2">
        <f>IF($E466=0,0,MAX(0,TODAY()-$D466))</f>
        <v/>
      </c>
      <c r="G466" s="2">
        <f>IF($E466=0,"Current",IF($F466&lt;=30,"1-30",IF($F466&lt;=60,"31-60",IF($F466&lt;=90,"61-90","90+"))))</f>
        <v/>
      </c>
      <c r="H466" s="2">
        <f>Quarterly_Billing_Run!Q466</f>
        <v/>
      </c>
    </row>
    <row r="467">
      <c r="A467" s="2">
        <f>Quarterly_Billing_Run!D467</f>
        <v/>
      </c>
      <c r="B467" s="2">
        <f>Quarterly_Billing_Run!F467</f>
        <v/>
      </c>
      <c r="C467" s="2">
        <f>Quarterly_Billing_Run!A467</f>
        <v/>
      </c>
      <c r="D467" s="12">
        <f>Quarterly_Billing_Run!I467</f>
        <v/>
      </c>
      <c r="E467" s="13">
        <f>Quarterly_Billing_Run!P467</f>
        <v/>
      </c>
      <c r="F467" s="2">
        <f>IF($E467=0,0,MAX(0,TODAY()-$D467))</f>
        <v/>
      </c>
      <c r="G467" s="2">
        <f>IF($E467=0,"Current",IF($F467&lt;=30,"1-30",IF($F467&lt;=60,"31-60",IF($F467&lt;=90,"61-90","90+"))))</f>
        <v/>
      </c>
      <c r="H467" s="2">
        <f>Quarterly_Billing_Run!Q467</f>
        <v/>
      </c>
    </row>
    <row r="468">
      <c r="A468" s="2">
        <f>Quarterly_Billing_Run!D468</f>
        <v/>
      </c>
      <c r="B468" s="2">
        <f>Quarterly_Billing_Run!F468</f>
        <v/>
      </c>
      <c r="C468" s="2">
        <f>Quarterly_Billing_Run!A468</f>
        <v/>
      </c>
      <c r="D468" s="12">
        <f>Quarterly_Billing_Run!I468</f>
        <v/>
      </c>
      <c r="E468" s="13">
        <f>Quarterly_Billing_Run!P468</f>
        <v/>
      </c>
      <c r="F468" s="2">
        <f>IF($E468=0,0,MAX(0,TODAY()-$D468))</f>
        <v/>
      </c>
      <c r="G468" s="2">
        <f>IF($E468=0,"Current",IF($F468&lt;=30,"1-30",IF($F468&lt;=60,"31-60",IF($F468&lt;=90,"61-90","90+"))))</f>
        <v/>
      </c>
      <c r="H468" s="2">
        <f>Quarterly_Billing_Run!Q468</f>
        <v/>
      </c>
    </row>
    <row r="469">
      <c r="A469" s="2">
        <f>Quarterly_Billing_Run!D469</f>
        <v/>
      </c>
      <c r="B469" s="2">
        <f>Quarterly_Billing_Run!F469</f>
        <v/>
      </c>
      <c r="C469" s="2">
        <f>Quarterly_Billing_Run!A469</f>
        <v/>
      </c>
      <c r="D469" s="12">
        <f>Quarterly_Billing_Run!I469</f>
        <v/>
      </c>
      <c r="E469" s="13">
        <f>Quarterly_Billing_Run!P469</f>
        <v/>
      </c>
      <c r="F469" s="2">
        <f>IF($E469=0,0,MAX(0,TODAY()-$D469))</f>
        <v/>
      </c>
      <c r="G469" s="2">
        <f>IF($E469=0,"Current",IF($F469&lt;=30,"1-30",IF($F469&lt;=60,"31-60",IF($F469&lt;=90,"61-90","90+"))))</f>
        <v/>
      </c>
      <c r="H469" s="2">
        <f>Quarterly_Billing_Run!Q469</f>
        <v/>
      </c>
    </row>
    <row r="470">
      <c r="A470" s="2">
        <f>Quarterly_Billing_Run!D470</f>
        <v/>
      </c>
      <c r="B470" s="2">
        <f>Quarterly_Billing_Run!F470</f>
        <v/>
      </c>
      <c r="C470" s="2">
        <f>Quarterly_Billing_Run!A470</f>
        <v/>
      </c>
      <c r="D470" s="12">
        <f>Quarterly_Billing_Run!I470</f>
        <v/>
      </c>
      <c r="E470" s="13">
        <f>Quarterly_Billing_Run!P470</f>
        <v/>
      </c>
      <c r="F470" s="2">
        <f>IF($E470=0,0,MAX(0,TODAY()-$D470))</f>
        <v/>
      </c>
      <c r="G470" s="2">
        <f>IF($E470=0,"Current",IF($F470&lt;=30,"1-30",IF($F470&lt;=60,"31-60",IF($F470&lt;=90,"61-90","90+"))))</f>
        <v/>
      </c>
      <c r="H470" s="2">
        <f>Quarterly_Billing_Run!Q470</f>
        <v/>
      </c>
    </row>
    <row r="471">
      <c r="A471" s="2">
        <f>Quarterly_Billing_Run!D471</f>
        <v/>
      </c>
      <c r="B471" s="2">
        <f>Quarterly_Billing_Run!F471</f>
        <v/>
      </c>
      <c r="C471" s="2">
        <f>Quarterly_Billing_Run!A471</f>
        <v/>
      </c>
      <c r="D471" s="12">
        <f>Quarterly_Billing_Run!I471</f>
        <v/>
      </c>
      <c r="E471" s="13">
        <f>Quarterly_Billing_Run!P471</f>
        <v/>
      </c>
      <c r="F471" s="2">
        <f>IF($E471=0,0,MAX(0,TODAY()-$D471))</f>
        <v/>
      </c>
      <c r="G471" s="2">
        <f>IF($E471=0,"Current",IF($F471&lt;=30,"1-30",IF($F471&lt;=60,"31-60",IF($F471&lt;=90,"61-90","90+"))))</f>
        <v/>
      </c>
      <c r="H471" s="2">
        <f>Quarterly_Billing_Run!Q471</f>
        <v/>
      </c>
    </row>
    <row r="472">
      <c r="A472" s="2">
        <f>Quarterly_Billing_Run!D472</f>
        <v/>
      </c>
      <c r="B472" s="2">
        <f>Quarterly_Billing_Run!F472</f>
        <v/>
      </c>
      <c r="C472" s="2">
        <f>Quarterly_Billing_Run!A472</f>
        <v/>
      </c>
      <c r="D472" s="12">
        <f>Quarterly_Billing_Run!I472</f>
        <v/>
      </c>
      <c r="E472" s="13">
        <f>Quarterly_Billing_Run!P472</f>
        <v/>
      </c>
      <c r="F472" s="2">
        <f>IF($E472=0,0,MAX(0,TODAY()-$D472))</f>
        <v/>
      </c>
      <c r="G472" s="2">
        <f>IF($E472=0,"Current",IF($F472&lt;=30,"1-30",IF($F472&lt;=60,"31-60",IF($F472&lt;=90,"61-90","90+"))))</f>
        <v/>
      </c>
      <c r="H472" s="2">
        <f>Quarterly_Billing_Run!Q472</f>
        <v/>
      </c>
    </row>
    <row r="473">
      <c r="A473" s="2">
        <f>Quarterly_Billing_Run!D473</f>
        <v/>
      </c>
      <c r="B473" s="2">
        <f>Quarterly_Billing_Run!F473</f>
        <v/>
      </c>
      <c r="C473" s="2">
        <f>Quarterly_Billing_Run!A473</f>
        <v/>
      </c>
      <c r="D473" s="12">
        <f>Quarterly_Billing_Run!I473</f>
        <v/>
      </c>
      <c r="E473" s="13">
        <f>Quarterly_Billing_Run!P473</f>
        <v/>
      </c>
      <c r="F473" s="2">
        <f>IF($E473=0,0,MAX(0,TODAY()-$D473))</f>
        <v/>
      </c>
      <c r="G473" s="2">
        <f>IF($E473=0,"Current",IF($F473&lt;=30,"1-30",IF($F473&lt;=60,"31-60",IF($F473&lt;=90,"61-90","90+"))))</f>
        <v/>
      </c>
      <c r="H473" s="2">
        <f>Quarterly_Billing_Run!Q473</f>
        <v/>
      </c>
    </row>
    <row r="474">
      <c r="A474" s="2">
        <f>Quarterly_Billing_Run!D474</f>
        <v/>
      </c>
      <c r="B474" s="2">
        <f>Quarterly_Billing_Run!F474</f>
        <v/>
      </c>
      <c r="C474" s="2">
        <f>Quarterly_Billing_Run!A474</f>
        <v/>
      </c>
      <c r="D474" s="12">
        <f>Quarterly_Billing_Run!I474</f>
        <v/>
      </c>
      <c r="E474" s="13">
        <f>Quarterly_Billing_Run!P474</f>
        <v/>
      </c>
      <c r="F474" s="2">
        <f>IF($E474=0,0,MAX(0,TODAY()-$D474))</f>
        <v/>
      </c>
      <c r="G474" s="2">
        <f>IF($E474=0,"Current",IF($F474&lt;=30,"1-30",IF($F474&lt;=60,"31-60",IF($F474&lt;=90,"61-90","90+"))))</f>
        <v/>
      </c>
      <c r="H474" s="2">
        <f>Quarterly_Billing_Run!Q474</f>
        <v/>
      </c>
    </row>
    <row r="475">
      <c r="A475" s="2">
        <f>Quarterly_Billing_Run!D475</f>
        <v/>
      </c>
      <c r="B475" s="2">
        <f>Quarterly_Billing_Run!F475</f>
        <v/>
      </c>
      <c r="C475" s="2">
        <f>Quarterly_Billing_Run!A475</f>
        <v/>
      </c>
      <c r="D475" s="12">
        <f>Quarterly_Billing_Run!I475</f>
        <v/>
      </c>
      <c r="E475" s="13">
        <f>Quarterly_Billing_Run!P475</f>
        <v/>
      </c>
      <c r="F475" s="2">
        <f>IF($E475=0,0,MAX(0,TODAY()-$D475))</f>
        <v/>
      </c>
      <c r="G475" s="2">
        <f>IF($E475=0,"Current",IF($F475&lt;=30,"1-30",IF($F475&lt;=60,"31-60",IF($F475&lt;=90,"61-90","90+"))))</f>
        <v/>
      </c>
      <c r="H475" s="2">
        <f>Quarterly_Billing_Run!Q475</f>
        <v/>
      </c>
    </row>
    <row r="476">
      <c r="A476" s="2">
        <f>Quarterly_Billing_Run!D476</f>
        <v/>
      </c>
      <c r="B476" s="2">
        <f>Quarterly_Billing_Run!F476</f>
        <v/>
      </c>
      <c r="C476" s="2">
        <f>Quarterly_Billing_Run!A476</f>
        <v/>
      </c>
      <c r="D476" s="12">
        <f>Quarterly_Billing_Run!I476</f>
        <v/>
      </c>
      <c r="E476" s="13">
        <f>Quarterly_Billing_Run!P476</f>
        <v/>
      </c>
      <c r="F476" s="2">
        <f>IF($E476=0,0,MAX(0,TODAY()-$D476))</f>
        <v/>
      </c>
      <c r="G476" s="2">
        <f>IF($E476=0,"Current",IF($F476&lt;=30,"1-30",IF($F476&lt;=60,"31-60",IF($F476&lt;=90,"61-90","90+"))))</f>
        <v/>
      </c>
      <c r="H476" s="2">
        <f>Quarterly_Billing_Run!Q476</f>
        <v/>
      </c>
    </row>
    <row r="477">
      <c r="A477" s="2">
        <f>Quarterly_Billing_Run!D477</f>
        <v/>
      </c>
      <c r="B477" s="2">
        <f>Quarterly_Billing_Run!F477</f>
        <v/>
      </c>
      <c r="C477" s="2">
        <f>Quarterly_Billing_Run!A477</f>
        <v/>
      </c>
      <c r="D477" s="12">
        <f>Quarterly_Billing_Run!I477</f>
        <v/>
      </c>
      <c r="E477" s="13">
        <f>Quarterly_Billing_Run!P477</f>
        <v/>
      </c>
      <c r="F477" s="2">
        <f>IF($E477=0,0,MAX(0,TODAY()-$D477))</f>
        <v/>
      </c>
      <c r="G477" s="2">
        <f>IF($E477=0,"Current",IF($F477&lt;=30,"1-30",IF($F477&lt;=60,"31-60",IF($F477&lt;=90,"61-90","90+"))))</f>
        <v/>
      </c>
      <c r="H477" s="2">
        <f>Quarterly_Billing_Run!Q477</f>
        <v/>
      </c>
    </row>
    <row r="478">
      <c r="A478" s="2">
        <f>Quarterly_Billing_Run!D478</f>
        <v/>
      </c>
      <c r="B478" s="2">
        <f>Quarterly_Billing_Run!F478</f>
        <v/>
      </c>
      <c r="C478" s="2">
        <f>Quarterly_Billing_Run!A478</f>
        <v/>
      </c>
      <c r="D478" s="12">
        <f>Quarterly_Billing_Run!I478</f>
        <v/>
      </c>
      <c r="E478" s="13">
        <f>Quarterly_Billing_Run!P478</f>
        <v/>
      </c>
      <c r="F478" s="2">
        <f>IF($E478=0,0,MAX(0,TODAY()-$D478))</f>
        <v/>
      </c>
      <c r="G478" s="2">
        <f>IF($E478=0,"Current",IF($F478&lt;=30,"1-30",IF($F478&lt;=60,"31-60",IF($F478&lt;=90,"61-90","90+"))))</f>
        <v/>
      </c>
      <c r="H478" s="2">
        <f>Quarterly_Billing_Run!Q478</f>
        <v/>
      </c>
    </row>
    <row r="479">
      <c r="A479" s="2">
        <f>Quarterly_Billing_Run!D479</f>
        <v/>
      </c>
      <c r="B479" s="2">
        <f>Quarterly_Billing_Run!F479</f>
        <v/>
      </c>
      <c r="C479" s="2">
        <f>Quarterly_Billing_Run!A479</f>
        <v/>
      </c>
      <c r="D479" s="12">
        <f>Quarterly_Billing_Run!I479</f>
        <v/>
      </c>
      <c r="E479" s="13">
        <f>Quarterly_Billing_Run!P479</f>
        <v/>
      </c>
      <c r="F479" s="2">
        <f>IF($E479=0,0,MAX(0,TODAY()-$D479))</f>
        <v/>
      </c>
      <c r="G479" s="2">
        <f>IF($E479=0,"Current",IF($F479&lt;=30,"1-30",IF($F479&lt;=60,"31-60",IF($F479&lt;=90,"61-90","90+"))))</f>
        <v/>
      </c>
      <c r="H479" s="2">
        <f>Quarterly_Billing_Run!Q479</f>
        <v/>
      </c>
    </row>
    <row r="480">
      <c r="A480" s="2">
        <f>Quarterly_Billing_Run!D480</f>
        <v/>
      </c>
      <c r="B480" s="2">
        <f>Quarterly_Billing_Run!F480</f>
        <v/>
      </c>
      <c r="C480" s="2">
        <f>Quarterly_Billing_Run!A480</f>
        <v/>
      </c>
      <c r="D480" s="12">
        <f>Quarterly_Billing_Run!I480</f>
        <v/>
      </c>
      <c r="E480" s="13">
        <f>Quarterly_Billing_Run!P480</f>
        <v/>
      </c>
      <c r="F480" s="2">
        <f>IF($E480=0,0,MAX(0,TODAY()-$D480))</f>
        <v/>
      </c>
      <c r="G480" s="2">
        <f>IF($E480=0,"Current",IF($F480&lt;=30,"1-30",IF($F480&lt;=60,"31-60",IF($F480&lt;=90,"61-90","90+"))))</f>
        <v/>
      </c>
      <c r="H480" s="2">
        <f>Quarterly_Billing_Run!Q480</f>
        <v/>
      </c>
    </row>
    <row r="481">
      <c r="A481" s="2">
        <f>Quarterly_Billing_Run!D481</f>
        <v/>
      </c>
      <c r="B481" s="2">
        <f>Quarterly_Billing_Run!F481</f>
        <v/>
      </c>
      <c r="C481" s="2">
        <f>Quarterly_Billing_Run!A481</f>
        <v/>
      </c>
      <c r="D481" s="12">
        <f>Quarterly_Billing_Run!I481</f>
        <v/>
      </c>
      <c r="E481" s="13">
        <f>Quarterly_Billing_Run!P481</f>
        <v/>
      </c>
      <c r="F481" s="2">
        <f>IF($E481=0,0,MAX(0,TODAY()-$D481))</f>
        <v/>
      </c>
      <c r="G481" s="2">
        <f>IF($E481=0,"Current",IF($F481&lt;=30,"1-30",IF($F481&lt;=60,"31-60",IF($F481&lt;=90,"61-90","90+"))))</f>
        <v/>
      </c>
      <c r="H481" s="2">
        <f>Quarterly_Billing_Run!Q481</f>
        <v/>
      </c>
    </row>
    <row r="482">
      <c r="A482" s="2">
        <f>Quarterly_Billing_Run!D482</f>
        <v/>
      </c>
      <c r="B482" s="2">
        <f>Quarterly_Billing_Run!F482</f>
        <v/>
      </c>
      <c r="C482" s="2">
        <f>Quarterly_Billing_Run!A482</f>
        <v/>
      </c>
      <c r="D482" s="12">
        <f>Quarterly_Billing_Run!I482</f>
        <v/>
      </c>
      <c r="E482" s="13">
        <f>Quarterly_Billing_Run!P482</f>
        <v/>
      </c>
      <c r="F482" s="2">
        <f>IF($E482=0,0,MAX(0,TODAY()-$D482))</f>
        <v/>
      </c>
      <c r="G482" s="2">
        <f>IF($E482=0,"Current",IF($F482&lt;=30,"1-30",IF($F482&lt;=60,"31-60",IF($F482&lt;=90,"61-90","90+"))))</f>
        <v/>
      </c>
      <c r="H482" s="2">
        <f>Quarterly_Billing_Run!Q482</f>
        <v/>
      </c>
    </row>
    <row r="483">
      <c r="A483" s="2">
        <f>Quarterly_Billing_Run!D483</f>
        <v/>
      </c>
      <c r="B483" s="2">
        <f>Quarterly_Billing_Run!F483</f>
        <v/>
      </c>
      <c r="C483" s="2">
        <f>Quarterly_Billing_Run!A483</f>
        <v/>
      </c>
      <c r="D483" s="12">
        <f>Quarterly_Billing_Run!I483</f>
        <v/>
      </c>
      <c r="E483" s="13">
        <f>Quarterly_Billing_Run!P483</f>
        <v/>
      </c>
      <c r="F483" s="2">
        <f>IF($E483=0,0,MAX(0,TODAY()-$D483))</f>
        <v/>
      </c>
      <c r="G483" s="2">
        <f>IF($E483=0,"Current",IF($F483&lt;=30,"1-30",IF($F483&lt;=60,"31-60",IF($F483&lt;=90,"61-90","90+"))))</f>
        <v/>
      </c>
      <c r="H483" s="2">
        <f>Quarterly_Billing_Run!Q483</f>
        <v/>
      </c>
    </row>
    <row r="484">
      <c r="A484" s="2">
        <f>Quarterly_Billing_Run!D484</f>
        <v/>
      </c>
      <c r="B484" s="2">
        <f>Quarterly_Billing_Run!F484</f>
        <v/>
      </c>
      <c r="C484" s="2">
        <f>Quarterly_Billing_Run!A484</f>
        <v/>
      </c>
      <c r="D484" s="12">
        <f>Quarterly_Billing_Run!I484</f>
        <v/>
      </c>
      <c r="E484" s="13">
        <f>Quarterly_Billing_Run!P484</f>
        <v/>
      </c>
      <c r="F484" s="2">
        <f>IF($E484=0,0,MAX(0,TODAY()-$D484))</f>
        <v/>
      </c>
      <c r="G484" s="2">
        <f>IF($E484=0,"Current",IF($F484&lt;=30,"1-30",IF($F484&lt;=60,"31-60",IF($F484&lt;=90,"61-90","90+"))))</f>
        <v/>
      </c>
      <c r="H484" s="2">
        <f>Quarterly_Billing_Run!Q484</f>
        <v/>
      </c>
    </row>
    <row r="485">
      <c r="A485" s="2">
        <f>Quarterly_Billing_Run!D485</f>
        <v/>
      </c>
      <c r="B485" s="2">
        <f>Quarterly_Billing_Run!F485</f>
        <v/>
      </c>
      <c r="C485" s="2">
        <f>Quarterly_Billing_Run!A485</f>
        <v/>
      </c>
      <c r="D485" s="12">
        <f>Quarterly_Billing_Run!I485</f>
        <v/>
      </c>
      <c r="E485" s="13">
        <f>Quarterly_Billing_Run!P485</f>
        <v/>
      </c>
      <c r="F485" s="2">
        <f>IF($E485=0,0,MAX(0,TODAY()-$D485))</f>
        <v/>
      </c>
      <c r="G485" s="2">
        <f>IF($E485=0,"Current",IF($F485&lt;=30,"1-30",IF($F485&lt;=60,"31-60",IF($F485&lt;=90,"61-90","90+"))))</f>
        <v/>
      </c>
      <c r="H485" s="2">
        <f>Quarterly_Billing_Run!Q485</f>
        <v/>
      </c>
    </row>
    <row r="486">
      <c r="A486" s="2">
        <f>Quarterly_Billing_Run!D486</f>
        <v/>
      </c>
      <c r="B486" s="2">
        <f>Quarterly_Billing_Run!F486</f>
        <v/>
      </c>
      <c r="C486" s="2">
        <f>Quarterly_Billing_Run!A486</f>
        <v/>
      </c>
      <c r="D486" s="12">
        <f>Quarterly_Billing_Run!I486</f>
        <v/>
      </c>
      <c r="E486" s="13">
        <f>Quarterly_Billing_Run!P486</f>
        <v/>
      </c>
      <c r="F486" s="2">
        <f>IF($E486=0,0,MAX(0,TODAY()-$D486))</f>
        <v/>
      </c>
      <c r="G486" s="2">
        <f>IF($E486=0,"Current",IF($F486&lt;=30,"1-30",IF($F486&lt;=60,"31-60",IF($F486&lt;=90,"61-90","90+"))))</f>
        <v/>
      </c>
      <c r="H486" s="2">
        <f>Quarterly_Billing_Run!Q486</f>
        <v/>
      </c>
    </row>
    <row r="487">
      <c r="A487" s="2">
        <f>Quarterly_Billing_Run!D487</f>
        <v/>
      </c>
      <c r="B487" s="2">
        <f>Quarterly_Billing_Run!F487</f>
        <v/>
      </c>
      <c r="C487" s="2">
        <f>Quarterly_Billing_Run!A487</f>
        <v/>
      </c>
      <c r="D487" s="12">
        <f>Quarterly_Billing_Run!I487</f>
        <v/>
      </c>
      <c r="E487" s="13">
        <f>Quarterly_Billing_Run!P487</f>
        <v/>
      </c>
      <c r="F487" s="2">
        <f>IF($E487=0,0,MAX(0,TODAY()-$D487))</f>
        <v/>
      </c>
      <c r="G487" s="2">
        <f>IF($E487=0,"Current",IF($F487&lt;=30,"1-30",IF($F487&lt;=60,"31-60",IF($F487&lt;=90,"61-90","90+"))))</f>
        <v/>
      </c>
      <c r="H487" s="2">
        <f>Quarterly_Billing_Run!Q487</f>
        <v/>
      </c>
    </row>
    <row r="488">
      <c r="A488" s="2">
        <f>Quarterly_Billing_Run!D488</f>
        <v/>
      </c>
      <c r="B488" s="2">
        <f>Quarterly_Billing_Run!F488</f>
        <v/>
      </c>
      <c r="C488" s="2">
        <f>Quarterly_Billing_Run!A488</f>
        <v/>
      </c>
      <c r="D488" s="12">
        <f>Quarterly_Billing_Run!I488</f>
        <v/>
      </c>
      <c r="E488" s="13">
        <f>Quarterly_Billing_Run!P488</f>
        <v/>
      </c>
      <c r="F488" s="2">
        <f>IF($E488=0,0,MAX(0,TODAY()-$D488))</f>
        <v/>
      </c>
      <c r="G488" s="2">
        <f>IF($E488=0,"Current",IF($F488&lt;=30,"1-30",IF($F488&lt;=60,"31-60",IF($F488&lt;=90,"61-90","90+"))))</f>
        <v/>
      </c>
      <c r="H488" s="2">
        <f>Quarterly_Billing_Run!Q488</f>
        <v/>
      </c>
    </row>
    <row r="489">
      <c r="A489" s="2">
        <f>Quarterly_Billing_Run!D489</f>
        <v/>
      </c>
      <c r="B489" s="2">
        <f>Quarterly_Billing_Run!F489</f>
        <v/>
      </c>
      <c r="C489" s="2">
        <f>Quarterly_Billing_Run!A489</f>
        <v/>
      </c>
      <c r="D489" s="12">
        <f>Quarterly_Billing_Run!I489</f>
        <v/>
      </c>
      <c r="E489" s="13">
        <f>Quarterly_Billing_Run!P489</f>
        <v/>
      </c>
      <c r="F489" s="2">
        <f>IF($E489=0,0,MAX(0,TODAY()-$D489))</f>
        <v/>
      </c>
      <c r="G489" s="2">
        <f>IF($E489=0,"Current",IF($F489&lt;=30,"1-30",IF($F489&lt;=60,"31-60",IF($F489&lt;=90,"61-90","90+"))))</f>
        <v/>
      </c>
      <c r="H489" s="2">
        <f>Quarterly_Billing_Run!Q489</f>
        <v/>
      </c>
    </row>
    <row r="490">
      <c r="A490" s="2">
        <f>Quarterly_Billing_Run!D490</f>
        <v/>
      </c>
      <c r="B490" s="2">
        <f>Quarterly_Billing_Run!F490</f>
        <v/>
      </c>
      <c r="C490" s="2">
        <f>Quarterly_Billing_Run!A490</f>
        <v/>
      </c>
      <c r="D490" s="12">
        <f>Quarterly_Billing_Run!I490</f>
        <v/>
      </c>
      <c r="E490" s="13">
        <f>Quarterly_Billing_Run!P490</f>
        <v/>
      </c>
      <c r="F490" s="2">
        <f>IF($E490=0,0,MAX(0,TODAY()-$D490))</f>
        <v/>
      </c>
      <c r="G490" s="2">
        <f>IF($E490=0,"Current",IF($F490&lt;=30,"1-30",IF($F490&lt;=60,"31-60",IF($F490&lt;=90,"61-90","90+"))))</f>
        <v/>
      </c>
      <c r="H490" s="2">
        <f>Quarterly_Billing_Run!Q490</f>
        <v/>
      </c>
    </row>
    <row r="491">
      <c r="A491" s="2">
        <f>Quarterly_Billing_Run!D491</f>
        <v/>
      </c>
      <c r="B491" s="2">
        <f>Quarterly_Billing_Run!F491</f>
        <v/>
      </c>
      <c r="C491" s="2">
        <f>Quarterly_Billing_Run!A491</f>
        <v/>
      </c>
      <c r="D491" s="12">
        <f>Quarterly_Billing_Run!I491</f>
        <v/>
      </c>
      <c r="E491" s="13">
        <f>Quarterly_Billing_Run!P491</f>
        <v/>
      </c>
      <c r="F491" s="2">
        <f>IF($E491=0,0,MAX(0,TODAY()-$D491))</f>
        <v/>
      </c>
      <c r="G491" s="2">
        <f>IF($E491=0,"Current",IF($F491&lt;=30,"1-30",IF($F491&lt;=60,"31-60",IF($F491&lt;=90,"61-90","90+"))))</f>
        <v/>
      </c>
      <c r="H491" s="2">
        <f>Quarterly_Billing_Run!Q491</f>
        <v/>
      </c>
    </row>
    <row r="492">
      <c r="A492" s="2">
        <f>Quarterly_Billing_Run!D492</f>
        <v/>
      </c>
      <c r="B492" s="2">
        <f>Quarterly_Billing_Run!F492</f>
        <v/>
      </c>
      <c r="C492" s="2">
        <f>Quarterly_Billing_Run!A492</f>
        <v/>
      </c>
      <c r="D492" s="12">
        <f>Quarterly_Billing_Run!I492</f>
        <v/>
      </c>
      <c r="E492" s="13">
        <f>Quarterly_Billing_Run!P492</f>
        <v/>
      </c>
      <c r="F492" s="2">
        <f>IF($E492=0,0,MAX(0,TODAY()-$D492))</f>
        <v/>
      </c>
      <c r="G492" s="2">
        <f>IF($E492=0,"Current",IF($F492&lt;=30,"1-30",IF($F492&lt;=60,"31-60",IF($F492&lt;=90,"61-90","90+"))))</f>
        <v/>
      </c>
      <c r="H492" s="2">
        <f>Quarterly_Billing_Run!Q492</f>
        <v/>
      </c>
    </row>
    <row r="493">
      <c r="A493" s="2">
        <f>Quarterly_Billing_Run!D493</f>
        <v/>
      </c>
      <c r="B493" s="2">
        <f>Quarterly_Billing_Run!F493</f>
        <v/>
      </c>
      <c r="C493" s="2">
        <f>Quarterly_Billing_Run!A493</f>
        <v/>
      </c>
      <c r="D493" s="12">
        <f>Quarterly_Billing_Run!I493</f>
        <v/>
      </c>
      <c r="E493" s="13">
        <f>Quarterly_Billing_Run!P493</f>
        <v/>
      </c>
      <c r="F493" s="2">
        <f>IF($E493=0,0,MAX(0,TODAY()-$D493))</f>
        <v/>
      </c>
      <c r="G493" s="2">
        <f>IF($E493=0,"Current",IF($F493&lt;=30,"1-30",IF($F493&lt;=60,"31-60",IF($F493&lt;=90,"61-90","90+"))))</f>
        <v/>
      </c>
      <c r="H493" s="2">
        <f>Quarterly_Billing_Run!Q493</f>
        <v/>
      </c>
    </row>
    <row r="494">
      <c r="A494" s="2">
        <f>Quarterly_Billing_Run!D494</f>
        <v/>
      </c>
      <c r="B494" s="2">
        <f>Quarterly_Billing_Run!F494</f>
        <v/>
      </c>
      <c r="C494" s="2">
        <f>Quarterly_Billing_Run!A494</f>
        <v/>
      </c>
      <c r="D494" s="12">
        <f>Quarterly_Billing_Run!I494</f>
        <v/>
      </c>
      <c r="E494" s="13">
        <f>Quarterly_Billing_Run!P494</f>
        <v/>
      </c>
      <c r="F494" s="2">
        <f>IF($E494=0,0,MAX(0,TODAY()-$D494))</f>
        <v/>
      </c>
      <c r="G494" s="2">
        <f>IF($E494=0,"Current",IF($F494&lt;=30,"1-30",IF($F494&lt;=60,"31-60",IF($F494&lt;=90,"61-90","90+"))))</f>
        <v/>
      </c>
      <c r="H494" s="2">
        <f>Quarterly_Billing_Run!Q494</f>
        <v/>
      </c>
    </row>
    <row r="495">
      <c r="A495" s="2">
        <f>Quarterly_Billing_Run!D495</f>
        <v/>
      </c>
      <c r="B495" s="2">
        <f>Quarterly_Billing_Run!F495</f>
        <v/>
      </c>
      <c r="C495" s="2">
        <f>Quarterly_Billing_Run!A495</f>
        <v/>
      </c>
      <c r="D495" s="12">
        <f>Quarterly_Billing_Run!I495</f>
        <v/>
      </c>
      <c r="E495" s="13">
        <f>Quarterly_Billing_Run!P495</f>
        <v/>
      </c>
      <c r="F495" s="2">
        <f>IF($E495=0,0,MAX(0,TODAY()-$D495))</f>
        <v/>
      </c>
      <c r="G495" s="2">
        <f>IF($E495=0,"Current",IF($F495&lt;=30,"1-30",IF($F495&lt;=60,"31-60",IF($F495&lt;=90,"61-90","90+"))))</f>
        <v/>
      </c>
      <c r="H495" s="2">
        <f>Quarterly_Billing_Run!Q495</f>
        <v/>
      </c>
    </row>
    <row r="496">
      <c r="A496" s="2">
        <f>Quarterly_Billing_Run!D496</f>
        <v/>
      </c>
      <c r="B496" s="2">
        <f>Quarterly_Billing_Run!F496</f>
        <v/>
      </c>
      <c r="C496" s="2">
        <f>Quarterly_Billing_Run!A496</f>
        <v/>
      </c>
      <c r="D496" s="12">
        <f>Quarterly_Billing_Run!I496</f>
        <v/>
      </c>
      <c r="E496" s="13">
        <f>Quarterly_Billing_Run!P496</f>
        <v/>
      </c>
      <c r="F496" s="2">
        <f>IF($E496=0,0,MAX(0,TODAY()-$D496))</f>
        <v/>
      </c>
      <c r="G496" s="2">
        <f>IF($E496=0,"Current",IF($F496&lt;=30,"1-30",IF($F496&lt;=60,"31-60",IF($F496&lt;=90,"61-90","90+"))))</f>
        <v/>
      </c>
      <c r="H496" s="2">
        <f>Quarterly_Billing_Run!Q496</f>
        <v/>
      </c>
    </row>
    <row r="497">
      <c r="A497" s="2">
        <f>Quarterly_Billing_Run!D497</f>
        <v/>
      </c>
      <c r="B497" s="2">
        <f>Quarterly_Billing_Run!F497</f>
        <v/>
      </c>
      <c r="C497" s="2">
        <f>Quarterly_Billing_Run!A497</f>
        <v/>
      </c>
      <c r="D497" s="12">
        <f>Quarterly_Billing_Run!I497</f>
        <v/>
      </c>
      <c r="E497" s="13">
        <f>Quarterly_Billing_Run!P497</f>
        <v/>
      </c>
      <c r="F497" s="2">
        <f>IF($E497=0,0,MAX(0,TODAY()-$D497))</f>
        <v/>
      </c>
      <c r="G497" s="2">
        <f>IF($E497=0,"Current",IF($F497&lt;=30,"1-30",IF($F497&lt;=60,"31-60",IF($F497&lt;=90,"61-90","90+"))))</f>
        <v/>
      </c>
      <c r="H497" s="2">
        <f>Quarterly_Billing_Run!Q497</f>
        <v/>
      </c>
    </row>
    <row r="498">
      <c r="A498" s="2">
        <f>Quarterly_Billing_Run!D498</f>
        <v/>
      </c>
      <c r="B498" s="2">
        <f>Quarterly_Billing_Run!F498</f>
        <v/>
      </c>
      <c r="C498" s="2">
        <f>Quarterly_Billing_Run!A498</f>
        <v/>
      </c>
      <c r="D498" s="12">
        <f>Quarterly_Billing_Run!I498</f>
        <v/>
      </c>
      <c r="E498" s="13">
        <f>Quarterly_Billing_Run!P498</f>
        <v/>
      </c>
      <c r="F498" s="2">
        <f>IF($E498=0,0,MAX(0,TODAY()-$D498))</f>
        <v/>
      </c>
      <c r="G498" s="2">
        <f>IF($E498=0,"Current",IF($F498&lt;=30,"1-30",IF($F498&lt;=60,"31-60",IF($F498&lt;=90,"61-90","90+"))))</f>
        <v/>
      </c>
      <c r="H498" s="2">
        <f>Quarterly_Billing_Run!Q498</f>
        <v/>
      </c>
    </row>
    <row r="499">
      <c r="A499" s="2">
        <f>Quarterly_Billing_Run!D499</f>
        <v/>
      </c>
      <c r="B499" s="2">
        <f>Quarterly_Billing_Run!F499</f>
        <v/>
      </c>
      <c r="C499" s="2">
        <f>Quarterly_Billing_Run!A499</f>
        <v/>
      </c>
      <c r="D499" s="12">
        <f>Quarterly_Billing_Run!I499</f>
        <v/>
      </c>
      <c r="E499" s="13">
        <f>Quarterly_Billing_Run!P499</f>
        <v/>
      </c>
      <c r="F499" s="2">
        <f>IF($E499=0,0,MAX(0,TODAY()-$D499))</f>
        <v/>
      </c>
      <c r="G499" s="2">
        <f>IF($E499=0,"Current",IF($F499&lt;=30,"1-30",IF($F499&lt;=60,"31-60",IF($F499&lt;=90,"61-90","90+"))))</f>
        <v/>
      </c>
      <c r="H499" s="2">
        <f>Quarterly_Billing_Run!Q499</f>
        <v/>
      </c>
    </row>
    <row r="500">
      <c r="A500" s="2">
        <f>Quarterly_Billing_Run!D500</f>
        <v/>
      </c>
      <c r="B500" s="2">
        <f>Quarterly_Billing_Run!F500</f>
        <v/>
      </c>
      <c r="C500" s="2">
        <f>Quarterly_Billing_Run!A500</f>
        <v/>
      </c>
      <c r="D500" s="12">
        <f>Quarterly_Billing_Run!I500</f>
        <v/>
      </c>
      <c r="E500" s="13">
        <f>Quarterly_Billing_Run!P500</f>
        <v/>
      </c>
      <c r="F500" s="2">
        <f>IF($E500=0,0,MAX(0,TODAY()-$D500))</f>
        <v/>
      </c>
      <c r="G500" s="2">
        <f>IF($E500=0,"Current",IF($F500&lt;=30,"1-30",IF($F500&lt;=60,"31-60",IF($F500&lt;=90,"61-90","90+"))))</f>
        <v/>
      </c>
      <c r="H500" s="2">
        <f>Quarterly_Billing_Run!Q500</f>
        <v/>
      </c>
    </row>
    <row r="501">
      <c r="A501" s="2">
        <f>Quarterly_Billing_Run!D501</f>
        <v/>
      </c>
      <c r="B501" s="2">
        <f>Quarterly_Billing_Run!F501</f>
        <v/>
      </c>
      <c r="C501" s="2">
        <f>Quarterly_Billing_Run!A501</f>
        <v/>
      </c>
      <c r="D501" s="12">
        <f>Quarterly_Billing_Run!I501</f>
        <v/>
      </c>
      <c r="E501" s="13">
        <f>Quarterly_Billing_Run!P501</f>
        <v/>
      </c>
      <c r="F501" s="2">
        <f>IF($E501=0,0,MAX(0,TODAY()-$D501))</f>
        <v/>
      </c>
      <c r="G501" s="2">
        <f>IF($E501=0,"Current",IF($F501&lt;=30,"1-30",IF($F501&lt;=60,"31-60",IF($F501&lt;=90,"61-90","90+"))))</f>
        <v/>
      </c>
      <c r="H501" s="2">
        <f>Quarterly_Billing_Run!Q501</f>
        <v/>
      </c>
    </row>
    <row r="502">
      <c r="A502" s="2">
        <f>Quarterly_Billing_Run!D502</f>
        <v/>
      </c>
      <c r="B502" s="2">
        <f>Quarterly_Billing_Run!F502</f>
        <v/>
      </c>
      <c r="C502" s="2">
        <f>Quarterly_Billing_Run!A502</f>
        <v/>
      </c>
      <c r="D502" s="12">
        <f>Quarterly_Billing_Run!I502</f>
        <v/>
      </c>
      <c r="E502" s="13">
        <f>Quarterly_Billing_Run!P502</f>
        <v/>
      </c>
      <c r="F502" s="2">
        <f>IF($E502=0,0,MAX(0,TODAY()-$D502))</f>
        <v/>
      </c>
      <c r="G502" s="2">
        <f>IF($E502=0,"Current",IF($F502&lt;=30,"1-30",IF($F502&lt;=60,"31-60",IF($F502&lt;=90,"61-90","90+"))))</f>
        <v/>
      </c>
      <c r="H502" s="2">
        <f>Quarterly_Billing_Run!Q502</f>
        <v/>
      </c>
    </row>
    <row r="503">
      <c r="A503" s="2">
        <f>Quarterly_Billing_Run!D503</f>
        <v/>
      </c>
      <c r="B503" s="2">
        <f>Quarterly_Billing_Run!F503</f>
        <v/>
      </c>
      <c r="C503" s="2">
        <f>Quarterly_Billing_Run!A503</f>
        <v/>
      </c>
      <c r="D503" s="12">
        <f>Quarterly_Billing_Run!I503</f>
        <v/>
      </c>
      <c r="E503" s="13">
        <f>Quarterly_Billing_Run!P503</f>
        <v/>
      </c>
      <c r="F503" s="2">
        <f>IF($E503=0,0,MAX(0,TODAY()-$D503))</f>
        <v/>
      </c>
      <c r="G503" s="2">
        <f>IF($E503=0,"Current",IF($F503&lt;=30,"1-30",IF($F503&lt;=60,"31-60",IF($F503&lt;=90,"61-90","90+"))))</f>
        <v/>
      </c>
      <c r="H503" s="2">
        <f>Quarterly_Billing_Run!Q503</f>
        <v/>
      </c>
    </row>
    <row r="504">
      <c r="A504" s="2">
        <f>Quarterly_Billing_Run!D504</f>
        <v/>
      </c>
      <c r="B504" s="2">
        <f>Quarterly_Billing_Run!F504</f>
        <v/>
      </c>
      <c r="C504" s="2">
        <f>Quarterly_Billing_Run!A504</f>
        <v/>
      </c>
      <c r="D504" s="12">
        <f>Quarterly_Billing_Run!I504</f>
        <v/>
      </c>
      <c r="E504" s="13">
        <f>Quarterly_Billing_Run!P504</f>
        <v/>
      </c>
      <c r="F504" s="2">
        <f>IF($E504=0,0,MAX(0,TODAY()-$D504))</f>
        <v/>
      </c>
      <c r="G504" s="2">
        <f>IF($E504=0,"Current",IF($F504&lt;=30,"1-30",IF($F504&lt;=60,"31-60",IF($F504&lt;=90,"61-90","90+"))))</f>
        <v/>
      </c>
      <c r="H504" s="2">
        <f>Quarterly_Billing_Run!Q504</f>
        <v/>
      </c>
    </row>
    <row r="505">
      <c r="A505" s="2" t="n"/>
      <c r="B505" s="2" t="n"/>
      <c r="C505" s="2" t="n"/>
      <c r="D505" s="12" t="n"/>
      <c r="E505" s="13" t="n"/>
      <c r="F505" s="2" t="n"/>
      <c r="G505" s="2" t="n"/>
      <c r="H505" s="2" t="n"/>
    </row>
    <row r="506">
      <c r="A506" s="6" t="n"/>
      <c r="B506" s="6" t="n"/>
      <c r="C506" s="6" t="n"/>
      <c r="D506" s="14" t="n"/>
      <c r="E506" s="15" t="n"/>
      <c r="F506" s="6" t="n"/>
      <c r="G506" s="6" t="n"/>
      <c r="H506" s="6" t="n"/>
    </row>
    <row r="507">
      <c r="A507" s="2" t="n"/>
      <c r="B507" s="2" t="n"/>
      <c r="C507" s="2" t="n"/>
      <c r="D507" s="12" t="n"/>
      <c r="E507" s="13" t="n"/>
      <c r="F507" s="2" t="n"/>
      <c r="G507" s="2" t="n"/>
      <c r="H507" s="2" t="n"/>
    </row>
    <row r="508">
      <c r="A508" s="6" t="n"/>
      <c r="B508" s="6" t="n"/>
      <c r="C508" s="6" t="n"/>
      <c r="D508" s="14" t="n"/>
      <c r="E508" s="15" t="n"/>
      <c r="F508" s="6" t="n"/>
      <c r="G508" s="6" t="n"/>
      <c r="H508" s="6" t="n"/>
    </row>
    <row r="509">
      <c r="A509" s="2" t="n"/>
      <c r="B509" s="2" t="n"/>
      <c r="C509" s="2" t="n"/>
      <c r="D509" s="12" t="n"/>
      <c r="E509" s="13" t="n"/>
      <c r="F509" s="2" t="n"/>
      <c r="G509" s="2" t="n"/>
      <c r="H509" s="2" t="n"/>
    </row>
    <row r="510">
      <c r="A510" s="6" t="n"/>
      <c r="B510" s="6" t="n"/>
      <c r="C510" s="6" t="n"/>
      <c r="D510" s="14" t="n"/>
      <c r="E510" s="15" t="n"/>
      <c r="F510" s="6" t="n"/>
      <c r="G510" s="6" t="n"/>
      <c r="H510" s="6" t="n"/>
    </row>
    <row r="511">
      <c r="A511" s="2" t="n"/>
      <c r="B511" s="2" t="n"/>
      <c r="C511" s="2" t="n"/>
      <c r="D511" s="12" t="n"/>
      <c r="E511" s="13" t="n"/>
      <c r="F511" s="2" t="n"/>
      <c r="G511" s="2" t="n"/>
      <c r="H511" s="2" t="n"/>
    </row>
    <row r="512">
      <c r="A512" s="6" t="n"/>
      <c r="B512" s="6" t="n"/>
      <c r="C512" s="6" t="n"/>
      <c r="D512" s="14" t="n"/>
      <c r="E512" s="15" t="n"/>
      <c r="F512" s="6" t="n"/>
      <c r="G512" s="6" t="n"/>
      <c r="H512" s="6" t="n"/>
    </row>
    <row r="513">
      <c r="A513" s="2" t="n"/>
      <c r="B513" s="2" t="n"/>
      <c r="C513" s="2" t="n"/>
      <c r="D513" s="12" t="n"/>
      <c r="E513" s="13" t="n"/>
      <c r="F513" s="2" t="n"/>
      <c r="G513" s="2" t="n"/>
      <c r="H513" s="2" t="n"/>
    </row>
    <row r="514">
      <c r="A514" s="6" t="n"/>
      <c r="B514" s="6" t="n"/>
      <c r="C514" s="6" t="n"/>
      <c r="D514" s="14" t="n"/>
      <c r="E514" s="15" t="n"/>
      <c r="F514" s="6" t="n"/>
      <c r="G514" s="6" t="n"/>
      <c r="H514" s="6" t="n"/>
    </row>
    <row r="515">
      <c r="A515" s="2" t="n"/>
      <c r="B515" s="2" t="n"/>
      <c r="C515" s="2" t="n"/>
      <c r="D515" s="12" t="n"/>
      <c r="E515" s="13" t="n"/>
      <c r="F515" s="2" t="n"/>
      <c r="G515" s="2" t="n"/>
      <c r="H515" s="2" t="n"/>
    </row>
    <row r="516">
      <c r="A516" s="6" t="n"/>
      <c r="B516" s="6" t="n"/>
      <c r="C516" s="6" t="n"/>
      <c r="D516" s="14" t="n"/>
      <c r="E516" s="15" t="n"/>
      <c r="F516" s="6" t="n"/>
      <c r="G516" s="6" t="n"/>
      <c r="H516" s="6" t="n"/>
    </row>
    <row r="517">
      <c r="A517" s="2" t="n"/>
      <c r="B517" s="2" t="n"/>
      <c r="C517" s="2" t="n"/>
      <c r="D517" s="12" t="n"/>
      <c r="E517" s="13" t="n"/>
      <c r="F517" s="2" t="n"/>
      <c r="G517" s="2" t="n"/>
      <c r="H517" s="2" t="n"/>
    </row>
    <row r="518">
      <c r="A518" s="6" t="n"/>
      <c r="B518" s="6" t="n"/>
      <c r="C518" s="6" t="n"/>
      <c r="D518" s="14" t="n"/>
      <c r="E518" s="15" t="n"/>
      <c r="F518" s="6" t="n"/>
      <c r="G518" s="6" t="n"/>
      <c r="H518" s="6" t="n"/>
    </row>
    <row r="519">
      <c r="A519" s="2" t="n"/>
      <c r="B519" s="2" t="n"/>
      <c r="C519" s="2" t="n"/>
      <c r="D519" s="12" t="n"/>
      <c r="E519" s="13" t="n"/>
      <c r="F519" s="2" t="n"/>
      <c r="G519" s="2" t="n"/>
      <c r="H519" s="2" t="n"/>
    </row>
    <row r="520">
      <c r="A520" s="6" t="n"/>
      <c r="B520" s="6" t="n"/>
      <c r="C520" s="6" t="n"/>
      <c r="D520" s="14" t="n"/>
      <c r="E520" s="15" t="n"/>
      <c r="F520" s="6" t="n"/>
      <c r="G520" s="6" t="n"/>
      <c r="H520" s="6" t="n"/>
    </row>
    <row r="521">
      <c r="A521" s="2" t="n"/>
      <c r="B521" s="2" t="n"/>
      <c r="C521" s="2" t="n"/>
      <c r="D521" s="12" t="n"/>
      <c r="E521" s="13" t="n"/>
      <c r="F521" s="2" t="n"/>
      <c r="G521" s="2" t="n"/>
      <c r="H521" s="2" t="n"/>
    </row>
    <row r="522">
      <c r="A522" s="6" t="n"/>
      <c r="B522" s="6" t="n"/>
      <c r="C522" s="6" t="n"/>
      <c r="D522" s="14" t="n"/>
      <c r="E522" s="15" t="n"/>
      <c r="F522" s="6" t="n"/>
      <c r="G522" s="6" t="n"/>
      <c r="H522" s="6" t="n"/>
    </row>
    <row r="523">
      <c r="A523" s="2" t="n"/>
      <c r="B523" s="2" t="n"/>
      <c r="C523" s="2" t="n"/>
      <c r="D523" s="12" t="n"/>
      <c r="E523" s="13" t="n"/>
      <c r="F523" s="2" t="n"/>
      <c r="G523" s="2" t="n"/>
      <c r="H523" s="2" t="n"/>
    </row>
    <row r="524">
      <c r="A524" s="6" t="n"/>
      <c r="B524" s="6" t="n"/>
      <c r="C524" s="6" t="n"/>
      <c r="D524" s="14" t="n"/>
      <c r="E524" s="15" t="n"/>
      <c r="F524" s="6" t="n"/>
      <c r="G524" s="6" t="n"/>
      <c r="H524" s="6" t="n"/>
    </row>
    <row r="525">
      <c r="A525" s="2" t="n"/>
      <c r="B525" s="2" t="n"/>
      <c r="C525" s="2" t="n"/>
      <c r="D525" s="12" t="n"/>
      <c r="E525" s="13" t="n"/>
      <c r="F525" s="2" t="n"/>
      <c r="G525" s="2" t="n"/>
      <c r="H525" s="2" t="n"/>
    </row>
    <row r="526">
      <c r="A526" s="6" t="n"/>
      <c r="B526" s="6" t="n"/>
      <c r="C526" s="6" t="n"/>
      <c r="D526" s="14" t="n"/>
      <c r="E526" s="15" t="n"/>
      <c r="F526" s="6" t="n"/>
      <c r="G526" s="6" t="n"/>
      <c r="H526" s="6" t="n"/>
    </row>
    <row r="527">
      <c r="A527" s="2" t="n"/>
      <c r="B527" s="2" t="n"/>
      <c r="C527" s="2" t="n"/>
      <c r="D527" s="12" t="n"/>
      <c r="E527" s="13" t="n"/>
      <c r="F527" s="2" t="n"/>
      <c r="G527" s="2" t="n"/>
      <c r="H527" s="2" t="n"/>
    </row>
    <row r="528">
      <c r="A528" s="6" t="n"/>
      <c r="B528" s="6" t="n"/>
      <c r="C528" s="6" t="n"/>
      <c r="D528" s="14" t="n"/>
      <c r="E528" s="15" t="n"/>
      <c r="F528" s="6" t="n"/>
      <c r="G528" s="6" t="n"/>
      <c r="H528" s="6" t="n"/>
    </row>
    <row r="529">
      <c r="A529" s="2" t="n"/>
      <c r="B529" s="2" t="n"/>
      <c r="C529" s="2" t="n"/>
      <c r="D529" s="12" t="n"/>
      <c r="E529" s="13" t="n"/>
      <c r="F529" s="2" t="n"/>
      <c r="G529" s="2" t="n"/>
      <c r="H529" s="2" t="n"/>
    </row>
    <row r="530">
      <c r="A530" s="6" t="n"/>
      <c r="B530" s="6" t="n"/>
      <c r="C530" s="6" t="n"/>
      <c r="D530" s="14" t="n"/>
      <c r="E530" s="15" t="n"/>
      <c r="F530" s="6" t="n"/>
      <c r="G530" s="6" t="n"/>
      <c r="H530" s="6" t="n"/>
    </row>
    <row r="531">
      <c r="A531" s="2" t="n"/>
      <c r="B531" s="2" t="n"/>
      <c r="C531" s="2" t="n"/>
      <c r="D531" s="12" t="n"/>
      <c r="E531" s="13" t="n"/>
      <c r="F531" s="2" t="n"/>
      <c r="G531" s="2" t="n"/>
      <c r="H531" s="2" t="n"/>
    </row>
    <row r="532">
      <c r="A532" s="6" t="n"/>
      <c r="B532" s="6" t="n"/>
      <c r="C532" s="6" t="n"/>
      <c r="D532" s="14" t="n"/>
      <c r="E532" s="15" t="n"/>
      <c r="F532" s="6" t="n"/>
      <c r="G532" s="6" t="n"/>
      <c r="H532" s="6" t="n"/>
    </row>
    <row r="533">
      <c r="A533" s="2" t="n"/>
      <c r="B533" s="2" t="n"/>
      <c r="C533" s="2" t="n"/>
      <c r="D533" s="12" t="n"/>
      <c r="E533" s="13" t="n"/>
      <c r="F533" s="2" t="n"/>
      <c r="G533" s="2" t="n"/>
      <c r="H533" s="2" t="n"/>
    </row>
    <row r="534">
      <c r="A534" s="6" t="n"/>
      <c r="B534" s="6" t="n"/>
      <c r="C534" s="6" t="n"/>
      <c r="D534" s="14" t="n"/>
      <c r="E534" s="15" t="n"/>
      <c r="F534" s="6" t="n"/>
      <c r="G534" s="6" t="n"/>
      <c r="H534" s="6" t="n"/>
    </row>
    <row r="535">
      <c r="A535" s="2" t="n"/>
      <c r="B535" s="2" t="n"/>
      <c r="C535" s="2" t="n"/>
      <c r="D535" s="12" t="n"/>
      <c r="E535" s="13" t="n"/>
      <c r="F535" s="2" t="n"/>
      <c r="G535" s="2" t="n"/>
      <c r="H535" s="2" t="n"/>
    </row>
    <row r="536">
      <c r="A536" s="6" t="n"/>
      <c r="B536" s="6" t="n"/>
      <c r="C536" s="6" t="n"/>
      <c r="D536" s="14" t="n"/>
      <c r="E536" s="15" t="n"/>
      <c r="F536" s="6" t="n"/>
      <c r="G536" s="6" t="n"/>
      <c r="H536" s="6" t="n"/>
    </row>
    <row r="537">
      <c r="A537" s="2" t="n"/>
      <c r="B537" s="2" t="n"/>
      <c r="C537" s="2" t="n"/>
      <c r="D537" s="12" t="n"/>
      <c r="E537" s="13" t="n"/>
      <c r="F537" s="2" t="n"/>
      <c r="G537" s="2" t="n"/>
      <c r="H537" s="2" t="n"/>
    </row>
    <row r="538">
      <c r="A538" s="6" t="n"/>
      <c r="B538" s="6" t="n"/>
      <c r="C538" s="6" t="n"/>
      <c r="D538" s="14" t="n"/>
      <c r="E538" s="15" t="n"/>
      <c r="F538" s="6" t="n"/>
      <c r="G538" s="6" t="n"/>
      <c r="H538" s="6" t="n"/>
    </row>
    <row r="539">
      <c r="A539" s="2" t="n"/>
      <c r="B539" s="2" t="n"/>
      <c r="C539" s="2" t="n"/>
      <c r="D539" s="12" t="n"/>
      <c r="E539" s="13" t="n"/>
      <c r="F539" s="2" t="n"/>
      <c r="G539" s="2" t="n"/>
      <c r="H539" s="2" t="n"/>
    </row>
    <row r="540">
      <c r="A540" s="6" t="n"/>
      <c r="B540" s="6" t="n"/>
      <c r="C540" s="6" t="n"/>
      <c r="D540" s="14" t="n"/>
      <c r="E540" s="15" t="n"/>
      <c r="F540" s="6" t="n"/>
      <c r="G540" s="6" t="n"/>
      <c r="H540" s="6" t="n"/>
    </row>
    <row r="541">
      <c r="A541" s="2" t="n"/>
      <c r="B541" s="2" t="n"/>
      <c r="C541" s="2" t="n"/>
      <c r="D541" s="12" t="n"/>
      <c r="E541" s="13" t="n"/>
      <c r="F541" s="2" t="n"/>
      <c r="G541" s="2" t="n"/>
      <c r="H541" s="2" t="n"/>
    </row>
    <row r="542">
      <c r="A542" s="6" t="n"/>
      <c r="B542" s="6" t="n"/>
      <c r="C542" s="6" t="n"/>
      <c r="D542" s="14" t="n"/>
      <c r="E542" s="15" t="n"/>
      <c r="F542" s="6" t="n"/>
      <c r="G542" s="6" t="n"/>
      <c r="H542" s="6" t="n"/>
    </row>
    <row r="543">
      <c r="A543" s="2" t="n"/>
      <c r="B543" s="2" t="n"/>
      <c r="C543" s="2" t="n"/>
      <c r="D543" s="12" t="n"/>
      <c r="E543" s="13" t="n"/>
      <c r="F543" s="2" t="n"/>
      <c r="G543" s="2" t="n"/>
      <c r="H543" s="2" t="n"/>
    </row>
    <row r="544">
      <c r="A544" s="6" t="n"/>
      <c r="B544" s="6" t="n"/>
      <c r="C544" s="6" t="n"/>
      <c r="D544" s="14" t="n"/>
      <c r="E544" s="15" t="n"/>
      <c r="F544" s="6" t="n"/>
      <c r="G544" s="6" t="n"/>
      <c r="H544" s="6" t="n"/>
    </row>
    <row r="545">
      <c r="A545" s="2" t="n"/>
      <c r="B545" s="2" t="n"/>
      <c r="C545" s="2" t="n"/>
      <c r="D545" s="12" t="n"/>
      <c r="E545" s="13" t="n"/>
      <c r="F545" s="2" t="n"/>
      <c r="G545" s="2" t="n"/>
      <c r="H545" s="2" t="n"/>
    </row>
    <row r="546">
      <c r="A546" s="6" t="n"/>
      <c r="B546" s="6" t="n"/>
      <c r="C546" s="6" t="n"/>
      <c r="D546" s="14" t="n"/>
      <c r="E546" s="15" t="n"/>
      <c r="F546" s="6" t="n"/>
      <c r="G546" s="6" t="n"/>
      <c r="H546" s="6" t="n"/>
    </row>
    <row r="547">
      <c r="A547" s="2" t="n"/>
      <c r="B547" s="2" t="n"/>
      <c r="C547" s="2" t="n"/>
      <c r="D547" s="12" t="n"/>
      <c r="E547" s="13" t="n"/>
      <c r="F547" s="2" t="n"/>
      <c r="G547" s="2" t="n"/>
      <c r="H547" s="2" t="n"/>
    </row>
    <row r="548">
      <c r="A548" s="6" t="n"/>
      <c r="B548" s="6" t="n"/>
      <c r="C548" s="6" t="n"/>
      <c r="D548" s="14" t="n"/>
      <c r="E548" s="15" t="n"/>
      <c r="F548" s="6" t="n"/>
      <c r="G548" s="6" t="n"/>
      <c r="H548" s="6" t="n"/>
    </row>
    <row r="549">
      <c r="A549" s="2" t="n"/>
      <c r="B549" s="2" t="n"/>
      <c r="C549" s="2" t="n"/>
      <c r="D549" s="12" t="n"/>
      <c r="E549" s="13" t="n"/>
      <c r="F549" s="2" t="n"/>
      <c r="G549" s="2" t="n"/>
      <c r="H549" s="2" t="n"/>
    </row>
    <row r="550">
      <c r="A550" s="6" t="n"/>
      <c r="B550" s="6" t="n"/>
      <c r="C550" s="6" t="n"/>
      <c r="D550" s="14" t="n"/>
      <c r="E550" s="15" t="n"/>
      <c r="F550" s="6" t="n"/>
      <c r="G550" s="6" t="n"/>
      <c r="H550" s="6" t="n"/>
    </row>
    <row r="551">
      <c r="A551" s="2" t="n"/>
      <c r="B551" s="2" t="n"/>
      <c r="C551" s="2" t="n"/>
      <c r="D551" s="12" t="n"/>
      <c r="E551" s="13" t="n"/>
      <c r="F551" s="2" t="n"/>
      <c r="G551" s="2" t="n"/>
      <c r="H551" s="2" t="n"/>
    </row>
    <row r="552">
      <c r="A552" s="6" t="n"/>
      <c r="B552" s="6" t="n"/>
      <c r="C552" s="6" t="n"/>
      <c r="D552" s="14" t="n"/>
      <c r="E552" s="15" t="n"/>
      <c r="F552" s="6" t="n"/>
      <c r="G552" s="6" t="n"/>
      <c r="H552" s="6" t="n"/>
    </row>
    <row r="553">
      <c r="A553" s="2" t="n"/>
      <c r="B553" s="2" t="n"/>
      <c r="C553" s="2" t="n"/>
      <c r="D553" s="12" t="n"/>
      <c r="E553" s="13" t="n"/>
      <c r="F553" s="2" t="n"/>
      <c r="G553" s="2" t="n"/>
      <c r="H553" s="2" t="n"/>
    </row>
    <row r="554">
      <c r="A554" s="6" t="n"/>
      <c r="B554" s="6" t="n"/>
      <c r="C554" s="6" t="n"/>
      <c r="D554" s="14" t="n"/>
      <c r="E554" s="15" t="n"/>
      <c r="F554" s="6" t="n"/>
      <c r="G554" s="6" t="n"/>
      <c r="H554" s="6" t="n"/>
    </row>
    <row r="555">
      <c r="A555" s="2" t="n"/>
      <c r="B555" s="2" t="n"/>
      <c r="C555" s="2" t="n"/>
      <c r="D555" s="12" t="n"/>
      <c r="E555" s="13" t="n"/>
      <c r="F555" s="2" t="n"/>
      <c r="G555" s="2" t="n"/>
      <c r="H555" s="2" t="n"/>
    </row>
    <row r="556">
      <c r="A556" s="6" t="n"/>
      <c r="B556" s="6" t="n"/>
      <c r="C556" s="6" t="n"/>
      <c r="D556" s="14" t="n"/>
      <c r="E556" s="15" t="n"/>
      <c r="F556" s="6" t="n"/>
      <c r="G556" s="6" t="n"/>
      <c r="H556" s="6" t="n"/>
    </row>
    <row r="557">
      <c r="A557" s="2" t="n"/>
      <c r="B557" s="2" t="n"/>
      <c r="C557" s="2" t="n"/>
      <c r="D557" s="12" t="n"/>
      <c r="E557" s="13" t="n"/>
      <c r="F557" s="2" t="n"/>
      <c r="G557" s="2" t="n"/>
      <c r="H557" s="2" t="n"/>
    </row>
    <row r="558">
      <c r="A558" s="6" t="n"/>
      <c r="B558" s="6" t="n"/>
      <c r="C558" s="6" t="n"/>
      <c r="D558" s="14" t="n"/>
      <c r="E558" s="15" t="n"/>
      <c r="F558" s="6" t="n"/>
      <c r="G558" s="6" t="n"/>
      <c r="H558" s="6" t="n"/>
    </row>
    <row r="559">
      <c r="A559" s="2" t="n"/>
      <c r="B559" s="2" t="n"/>
      <c r="C559" s="2" t="n"/>
      <c r="D559" s="12" t="n"/>
      <c r="E559" s="13" t="n"/>
      <c r="F559" s="2" t="n"/>
      <c r="G559" s="2" t="n"/>
      <c r="H559" s="2" t="n"/>
    </row>
    <row r="560">
      <c r="A560" s="6" t="n"/>
      <c r="B560" s="6" t="n"/>
      <c r="C560" s="6" t="n"/>
      <c r="D560" s="14" t="n"/>
      <c r="E560" s="15" t="n"/>
      <c r="F560" s="6" t="n"/>
      <c r="G560" s="6" t="n"/>
      <c r="H560" s="6" t="n"/>
    </row>
    <row r="561">
      <c r="A561" s="2" t="n"/>
      <c r="B561" s="2" t="n"/>
      <c r="C561" s="2" t="n"/>
      <c r="D561" s="12" t="n"/>
      <c r="E561" s="13" t="n"/>
      <c r="F561" s="2" t="n"/>
      <c r="G561" s="2" t="n"/>
      <c r="H561" s="2" t="n"/>
    </row>
    <row r="562">
      <c r="A562" s="6" t="n"/>
      <c r="B562" s="6" t="n"/>
      <c r="C562" s="6" t="n"/>
      <c r="D562" s="14" t="n"/>
      <c r="E562" s="15" t="n"/>
      <c r="F562" s="6" t="n"/>
      <c r="G562" s="6" t="n"/>
      <c r="H562" s="6" t="n"/>
    </row>
    <row r="563">
      <c r="A563" s="2" t="n"/>
      <c r="B563" s="2" t="n"/>
      <c r="C563" s="2" t="n"/>
      <c r="D563" s="12" t="n"/>
      <c r="E563" s="13" t="n"/>
      <c r="F563" s="2" t="n"/>
      <c r="G563" s="2" t="n"/>
      <c r="H563" s="2" t="n"/>
    </row>
    <row r="564">
      <c r="A564" s="6" t="n"/>
      <c r="B564" s="6" t="n"/>
      <c r="C564" s="6" t="n"/>
      <c r="D564" s="14" t="n"/>
      <c r="E564" s="15" t="n"/>
      <c r="F564" s="6" t="n"/>
      <c r="G564" s="6" t="n"/>
      <c r="H564" s="6" t="n"/>
    </row>
    <row r="565">
      <c r="A565" s="2" t="n"/>
      <c r="B565" s="2" t="n"/>
      <c r="C565" s="2" t="n"/>
      <c r="D565" s="12" t="n"/>
      <c r="E565" s="13" t="n"/>
      <c r="F565" s="2" t="n"/>
      <c r="G565" s="2" t="n"/>
      <c r="H565" s="2" t="n"/>
    </row>
    <row r="566">
      <c r="A566" s="6" t="n"/>
      <c r="B566" s="6" t="n"/>
      <c r="C566" s="6" t="n"/>
      <c r="D566" s="14" t="n"/>
      <c r="E566" s="15" t="n"/>
      <c r="F566" s="6" t="n"/>
      <c r="G566" s="6" t="n"/>
      <c r="H566" s="6" t="n"/>
    </row>
    <row r="567">
      <c r="A567" s="2" t="n"/>
      <c r="B567" s="2" t="n"/>
      <c r="C567" s="2" t="n"/>
      <c r="D567" s="12" t="n"/>
      <c r="E567" s="13" t="n"/>
      <c r="F567" s="2" t="n"/>
      <c r="G567" s="2" t="n"/>
      <c r="H567" s="2" t="n"/>
    </row>
    <row r="568">
      <c r="A568" s="6" t="n"/>
      <c r="B568" s="6" t="n"/>
      <c r="C568" s="6" t="n"/>
      <c r="D568" s="14" t="n"/>
      <c r="E568" s="15" t="n"/>
      <c r="F568" s="6" t="n"/>
      <c r="G568" s="6" t="n"/>
      <c r="H568" s="6" t="n"/>
    </row>
    <row r="569">
      <c r="A569" s="2" t="n"/>
      <c r="B569" s="2" t="n"/>
      <c r="C569" s="2" t="n"/>
      <c r="D569" s="12" t="n"/>
      <c r="E569" s="13" t="n"/>
      <c r="F569" s="2" t="n"/>
      <c r="G569" s="2" t="n"/>
      <c r="H569" s="2" t="n"/>
    </row>
    <row r="570">
      <c r="A570" s="6" t="n"/>
      <c r="B570" s="6" t="n"/>
      <c r="C570" s="6" t="n"/>
      <c r="D570" s="14" t="n"/>
      <c r="E570" s="15" t="n"/>
      <c r="F570" s="6" t="n"/>
      <c r="G570" s="6" t="n"/>
      <c r="H570" s="6" t="n"/>
    </row>
    <row r="571">
      <c r="A571" s="2" t="n"/>
      <c r="B571" s="2" t="n"/>
      <c r="C571" s="2" t="n"/>
      <c r="D571" s="12" t="n"/>
      <c r="E571" s="13" t="n"/>
      <c r="F571" s="2" t="n"/>
      <c r="G571" s="2" t="n"/>
      <c r="H571" s="2" t="n"/>
    </row>
    <row r="572">
      <c r="A572" s="6" t="n"/>
      <c r="B572" s="6" t="n"/>
      <c r="C572" s="6" t="n"/>
      <c r="D572" s="14" t="n"/>
      <c r="E572" s="15" t="n"/>
      <c r="F572" s="6" t="n"/>
      <c r="G572" s="6" t="n"/>
      <c r="H572" s="6" t="n"/>
    </row>
    <row r="573">
      <c r="A573" s="2" t="n"/>
      <c r="B573" s="2" t="n"/>
      <c r="C573" s="2" t="n"/>
      <c r="D573" s="12" t="n"/>
      <c r="E573" s="13" t="n"/>
      <c r="F573" s="2" t="n"/>
      <c r="G573" s="2" t="n"/>
      <c r="H573" s="2" t="n"/>
    </row>
    <row r="574">
      <c r="A574" s="6" t="n"/>
      <c r="B574" s="6" t="n"/>
      <c r="C574" s="6" t="n"/>
      <c r="D574" s="14" t="n"/>
      <c r="E574" s="15" t="n"/>
      <c r="F574" s="6" t="n"/>
      <c r="G574" s="6" t="n"/>
      <c r="H574" s="6" t="n"/>
    </row>
    <row r="575">
      <c r="A575" s="2" t="n"/>
      <c r="B575" s="2" t="n"/>
      <c r="C575" s="2" t="n"/>
      <c r="D575" s="12" t="n"/>
      <c r="E575" s="13" t="n"/>
      <c r="F575" s="2" t="n"/>
      <c r="G575" s="2" t="n"/>
      <c r="H575" s="2" t="n"/>
    </row>
    <row r="576">
      <c r="A576" s="6" t="n"/>
      <c r="B576" s="6" t="n"/>
      <c r="C576" s="6" t="n"/>
      <c r="D576" s="14" t="n"/>
      <c r="E576" s="15" t="n"/>
      <c r="F576" s="6" t="n"/>
      <c r="G576" s="6" t="n"/>
      <c r="H576" s="6" t="n"/>
    </row>
    <row r="577">
      <c r="A577" s="2" t="n"/>
      <c r="B577" s="2" t="n"/>
      <c r="C577" s="2" t="n"/>
      <c r="D577" s="12" t="n"/>
      <c r="E577" s="13" t="n"/>
      <c r="F577" s="2" t="n"/>
      <c r="G577" s="2" t="n"/>
      <c r="H577" s="2" t="n"/>
    </row>
    <row r="578">
      <c r="A578" s="6" t="n"/>
      <c r="B578" s="6" t="n"/>
      <c r="C578" s="6" t="n"/>
      <c r="D578" s="14" t="n"/>
      <c r="E578" s="15" t="n"/>
      <c r="F578" s="6" t="n"/>
      <c r="G578" s="6" t="n"/>
      <c r="H578" s="6" t="n"/>
    </row>
    <row r="579">
      <c r="A579" s="2" t="n"/>
      <c r="B579" s="2" t="n"/>
      <c r="C579" s="2" t="n"/>
      <c r="D579" s="12" t="n"/>
      <c r="E579" s="13" t="n"/>
      <c r="F579" s="2" t="n"/>
      <c r="G579" s="2" t="n"/>
      <c r="H579" s="2" t="n"/>
    </row>
    <row r="580">
      <c r="A580" s="6" t="n"/>
      <c r="B580" s="6" t="n"/>
      <c r="C580" s="6" t="n"/>
      <c r="D580" s="14" t="n"/>
      <c r="E580" s="15" t="n"/>
      <c r="F580" s="6" t="n"/>
      <c r="G580" s="6" t="n"/>
      <c r="H580" s="6" t="n"/>
    </row>
    <row r="581">
      <c r="A581" s="2" t="n"/>
      <c r="B581" s="2" t="n"/>
      <c r="C581" s="2" t="n"/>
      <c r="D581" s="12" t="n"/>
      <c r="E581" s="13" t="n"/>
      <c r="F581" s="2" t="n"/>
      <c r="G581" s="2" t="n"/>
      <c r="H581" s="2" t="n"/>
    </row>
    <row r="582">
      <c r="A582" s="6" t="n"/>
      <c r="B582" s="6" t="n"/>
      <c r="C582" s="6" t="n"/>
      <c r="D582" s="14" t="n"/>
      <c r="E582" s="15" t="n"/>
      <c r="F582" s="6" t="n"/>
      <c r="G582" s="6" t="n"/>
      <c r="H582" s="6" t="n"/>
    </row>
    <row r="583">
      <c r="A583" s="2" t="n"/>
      <c r="B583" s="2" t="n"/>
      <c r="C583" s="2" t="n"/>
      <c r="D583" s="12" t="n"/>
      <c r="E583" s="13" t="n"/>
      <c r="F583" s="2" t="n"/>
      <c r="G583" s="2" t="n"/>
      <c r="H583" s="2" t="n"/>
    </row>
    <row r="584">
      <c r="A584" s="6" t="n"/>
      <c r="B584" s="6" t="n"/>
      <c r="C584" s="6" t="n"/>
      <c r="D584" s="14" t="n"/>
      <c r="E584" s="15" t="n"/>
      <c r="F584" s="6" t="n"/>
      <c r="G584" s="6" t="n"/>
      <c r="H584" s="6" t="n"/>
    </row>
    <row r="585">
      <c r="A585" s="2" t="n"/>
      <c r="B585" s="2" t="n"/>
      <c r="C585" s="2" t="n"/>
      <c r="D585" s="12" t="n"/>
      <c r="E585" s="13" t="n"/>
      <c r="F585" s="2" t="n"/>
      <c r="G585" s="2" t="n"/>
      <c r="H585" s="2" t="n"/>
    </row>
    <row r="586">
      <c r="A586" s="6" t="n"/>
      <c r="B586" s="6" t="n"/>
      <c r="C586" s="6" t="n"/>
      <c r="D586" s="14" t="n"/>
      <c r="E586" s="15" t="n"/>
      <c r="F586" s="6" t="n"/>
      <c r="G586" s="6" t="n"/>
      <c r="H586" s="6" t="n"/>
    </row>
    <row r="587">
      <c r="A587" s="2" t="n"/>
      <c r="B587" s="2" t="n"/>
      <c r="C587" s="2" t="n"/>
      <c r="D587" s="12" t="n"/>
      <c r="E587" s="13" t="n"/>
      <c r="F587" s="2" t="n"/>
      <c r="G587" s="2" t="n"/>
      <c r="H587" s="2" t="n"/>
    </row>
    <row r="588">
      <c r="A588" s="6" t="n"/>
      <c r="B588" s="6" t="n"/>
      <c r="C588" s="6" t="n"/>
      <c r="D588" s="14" t="n"/>
      <c r="E588" s="15" t="n"/>
      <c r="F588" s="6" t="n"/>
      <c r="G588" s="6" t="n"/>
      <c r="H588" s="6" t="n"/>
    </row>
    <row r="589">
      <c r="A589" s="2" t="n"/>
      <c r="B589" s="2" t="n"/>
      <c r="C589" s="2" t="n"/>
      <c r="D589" s="12" t="n"/>
      <c r="E589" s="13" t="n"/>
      <c r="F589" s="2" t="n"/>
      <c r="G589" s="2" t="n"/>
      <c r="H589" s="2" t="n"/>
    </row>
    <row r="590">
      <c r="A590" s="6" t="n"/>
      <c r="B590" s="6" t="n"/>
      <c r="C590" s="6" t="n"/>
      <c r="D590" s="14" t="n"/>
      <c r="E590" s="15" t="n"/>
      <c r="F590" s="6" t="n"/>
      <c r="G590" s="6" t="n"/>
      <c r="H590" s="6" t="n"/>
    </row>
    <row r="591">
      <c r="A591" s="2" t="n"/>
      <c r="B591" s="2" t="n"/>
      <c r="C591" s="2" t="n"/>
      <c r="D591" s="12" t="n"/>
      <c r="E591" s="13" t="n"/>
      <c r="F591" s="2" t="n"/>
      <c r="G591" s="2" t="n"/>
      <c r="H591" s="2" t="n"/>
    </row>
    <row r="592">
      <c r="A592" s="6" t="n"/>
      <c r="B592" s="6" t="n"/>
      <c r="C592" s="6" t="n"/>
      <c r="D592" s="14" t="n"/>
      <c r="E592" s="15" t="n"/>
      <c r="F592" s="6" t="n"/>
      <c r="G592" s="6" t="n"/>
      <c r="H592" s="6" t="n"/>
    </row>
    <row r="593">
      <c r="A593" s="2" t="n"/>
      <c r="B593" s="2" t="n"/>
      <c r="C593" s="2" t="n"/>
      <c r="D593" s="12" t="n"/>
      <c r="E593" s="13" t="n"/>
      <c r="F593" s="2" t="n"/>
      <c r="G593" s="2" t="n"/>
      <c r="H593" s="2" t="n"/>
    </row>
    <row r="594">
      <c r="A594" s="6" t="n"/>
      <c r="B594" s="6" t="n"/>
      <c r="C594" s="6" t="n"/>
      <c r="D594" s="14" t="n"/>
      <c r="E594" s="15" t="n"/>
      <c r="F594" s="6" t="n"/>
      <c r="G594" s="6" t="n"/>
      <c r="H594" s="6" t="n"/>
    </row>
    <row r="595">
      <c r="A595" s="2" t="n"/>
      <c r="B595" s="2" t="n"/>
      <c r="C595" s="2" t="n"/>
      <c r="D595" s="12" t="n"/>
      <c r="E595" s="13" t="n"/>
      <c r="F595" s="2" t="n"/>
      <c r="G595" s="2" t="n"/>
      <c r="H595" s="2" t="n"/>
    </row>
    <row r="596">
      <c r="A596" s="6" t="n"/>
      <c r="B596" s="6" t="n"/>
      <c r="C596" s="6" t="n"/>
      <c r="D596" s="14" t="n"/>
      <c r="E596" s="15" t="n"/>
      <c r="F596" s="6" t="n"/>
      <c r="G596" s="6" t="n"/>
      <c r="H596" s="6" t="n"/>
    </row>
    <row r="597">
      <c r="A597" s="2" t="n"/>
      <c r="B597" s="2" t="n"/>
      <c r="C597" s="2" t="n"/>
      <c r="D597" s="12" t="n"/>
      <c r="E597" s="13" t="n"/>
      <c r="F597" s="2" t="n"/>
      <c r="G597" s="2" t="n"/>
      <c r="H597" s="2" t="n"/>
    </row>
    <row r="598">
      <c r="A598" s="6" t="n"/>
      <c r="B598" s="6" t="n"/>
      <c r="C598" s="6" t="n"/>
      <c r="D598" s="14" t="n"/>
      <c r="E598" s="15" t="n"/>
      <c r="F598" s="6" t="n"/>
      <c r="G598" s="6" t="n"/>
      <c r="H598" s="6" t="n"/>
    </row>
    <row r="599">
      <c r="A599" s="2" t="n"/>
      <c r="B599" s="2" t="n"/>
      <c r="C599" s="2" t="n"/>
      <c r="D599" s="12" t="n"/>
      <c r="E599" s="13" t="n"/>
      <c r="F599" s="2" t="n"/>
      <c r="G599" s="2" t="n"/>
      <c r="H599" s="2" t="n"/>
    </row>
    <row r="600">
      <c r="A600" s="6" t="n"/>
      <c r="B600" s="6" t="n"/>
      <c r="C600" s="6" t="n"/>
      <c r="D600" s="14" t="n"/>
      <c r="E600" s="15" t="n"/>
      <c r="F600" s="6" t="n"/>
      <c r="G600" s="6" t="n"/>
      <c r="H600" s="6" t="n"/>
    </row>
    <row r="601">
      <c r="A601" s="2" t="n"/>
      <c r="B601" s="2" t="n"/>
      <c r="C601" s="2" t="n"/>
      <c r="D601" s="12" t="n"/>
      <c r="E601" s="13" t="n"/>
      <c r="F601" s="2" t="n"/>
      <c r="G601" s="2" t="n"/>
      <c r="H601" s="2" t="n"/>
    </row>
    <row r="602">
      <c r="A602" s="6" t="n"/>
      <c r="B602" s="6" t="n"/>
      <c r="C602" s="6" t="n"/>
      <c r="D602" s="14" t="n"/>
      <c r="E602" s="15" t="n"/>
      <c r="F602" s="6" t="n"/>
      <c r="G602" s="6" t="n"/>
      <c r="H602" s="6" t="n"/>
    </row>
    <row r="603">
      <c r="A603" s="2" t="n"/>
      <c r="B603" s="2" t="n"/>
      <c r="C603" s="2" t="n"/>
      <c r="D603" s="12" t="n"/>
      <c r="E603" s="13" t="n"/>
      <c r="F603" s="2" t="n"/>
      <c r="G603" s="2" t="n"/>
      <c r="H603" s="2" t="n"/>
    </row>
    <row r="604">
      <c r="A604" s="6" t="n"/>
      <c r="B604" s="6" t="n"/>
      <c r="C604" s="6" t="n"/>
      <c r="D604" s="14" t="n"/>
      <c r="E604" s="15" t="n"/>
      <c r="F604" s="6" t="n"/>
      <c r="G604" s="6" t="n"/>
      <c r="H604" s="6" t="n"/>
    </row>
    <row r="605">
      <c r="A605" s="2" t="n"/>
      <c r="B605" s="2" t="n"/>
      <c r="C605" s="2" t="n"/>
      <c r="D605" s="12" t="n"/>
      <c r="E605" s="13" t="n"/>
      <c r="F605" s="2" t="n"/>
      <c r="G605" s="2" t="n"/>
      <c r="H605" s="2" t="n"/>
    </row>
    <row r="606">
      <c r="A606" s="6" t="n"/>
      <c r="B606" s="6" t="n"/>
      <c r="C606" s="6" t="n"/>
      <c r="D606" s="14" t="n"/>
      <c r="E606" s="15" t="n"/>
      <c r="F606" s="6" t="n"/>
      <c r="G606" s="6" t="n"/>
      <c r="H606" s="6" t="n"/>
    </row>
    <row r="607">
      <c r="A607" s="2" t="n"/>
      <c r="B607" s="2" t="n"/>
      <c r="C607" s="2" t="n"/>
      <c r="D607" s="12" t="n"/>
      <c r="E607" s="13" t="n"/>
      <c r="F607" s="2" t="n"/>
      <c r="G607" s="2" t="n"/>
      <c r="H607" s="2" t="n"/>
    </row>
    <row r="608">
      <c r="A608" s="6" t="n"/>
      <c r="B608" s="6" t="n"/>
      <c r="C608" s="6" t="n"/>
      <c r="D608" s="14" t="n"/>
      <c r="E608" s="15" t="n"/>
      <c r="F608" s="6" t="n"/>
      <c r="G608" s="6" t="n"/>
      <c r="H608" s="6" t="n"/>
    </row>
    <row r="609">
      <c r="A609" s="2" t="n"/>
      <c r="B609" s="2" t="n"/>
      <c r="C609" s="2" t="n"/>
      <c r="D609" s="12" t="n"/>
      <c r="E609" s="13" t="n"/>
      <c r="F609" s="2" t="n"/>
      <c r="G609" s="2" t="n"/>
      <c r="H609" s="2" t="n"/>
    </row>
    <row r="610">
      <c r="A610" s="6" t="n"/>
      <c r="B610" s="6" t="n"/>
      <c r="C610" s="6" t="n"/>
      <c r="D610" s="14" t="n"/>
      <c r="E610" s="15" t="n"/>
      <c r="F610" s="6" t="n"/>
      <c r="G610" s="6" t="n"/>
      <c r="H610" s="6" t="n"/>
    </row>
    <row r="611">
      <c r="A611" s="2" t="n"/>
      <c r="B611" s="2" t="n"/>
      <c r="C611" s="2" t="n"/>
      <c r="D611" s="12" t="n"/>
      <c r="E611" s="13" t="n"/>
      <c r="F611" s="2" t="n"/>
      <c r="G611" s="2" t="n"/>
      <c r="H611" s="2" t="n"/>
    </row>
    <row r="612">
      <c r="A612" s="6" t="n"/>
      <c r="B612" s="6" t="n"/>
      <c r="C612" s="6" t="n"/>
      <c r="D612" s="14" t="n"/>
      <c r="E612" s="15" t="n"/>
      <c r="F612" s="6" t="n"/>
      <c r="G612" s="6" t="n"/>
      <c r="H612" s="6" t="n"/>
    </row>
    <row r="613">
      <c r="A613" s="2" t="n"/>
      <c r="B613" s="2" t="n"/>
      <c r="C613" s="2" t="n"/>
      <c r="D613" s="12" t="n"/>
      <c r="E613" s="13" t="n"/>
      <c r="F613" s="2" t="n"/>
      <c r="G613" s="2" t="n"/>
      <c r="H613" s="2" t="n"/>
    </row>
    <row r="614">
      <c r="A614" s="6" t="n"/>
      <c r="B614" s="6" t="n"/>
      <c r="C614" s="6" t="n"/>
      <c r="D614" s="14" t="n"/>
      <c r="E614" s="15" t="n"/>
      <c r="F614" s="6" t="n"/>
      <c r="G614" s="6" t="n"/>
      <c r="H614" s="6" t="n"/>
    </row>
    <row r="615">
      <c r="A615" s="2" t="n"/>
      <c r="B615" s="2" t="n"/>
      <c r="C615" s="2" t="n"/>
      <c r="D615" s="12" t="n"/>
      <c r="E615" s="13" t="n"/>
      <c r="F615" s="2" t="n"/>
      <c r="G615" s="2" t="n"/>
      <c r="H615" s="2" t="n"/>
    </row>
    <row r="616">
      <c r="A616" s="6" t="n"/>
      <c r="B616" s="6" t="n"/>
      <c r="C616" s="6" t="n"/>
      <c r="D616" s="14" t="n"/>
      <c r="E616" s="15" t="n"/>
      <c r="F616" s="6" t="n"/>
      <c r="G616" s="6" t="n"/>
      <c r="H616" s="6" t="n"/>
    </row>
    <row r="617">
      <c r="A617" s="2" t="n"/>
      <c r="B617" s="2" t="n"/>
      <c r="C617" s="2" t="n"/>
      <c r="D617" s="12" t="n"/>
      <c r="E617" s="13" t="n"/>
      <c r="F617" s="2" t="n"/>
      <c r="G617" s="2" t="n"/>
      <c r="H617" s="2" t="n"/>
    </row>
    <row r="618">
      <c r="A618" s="6" t="n"/>
      <c r="B618" s="6" t="n"/>
      <c r="C618" s="6" t="n"/>
      <c r="D618" s="14" t="n"/>
      <c r="E618" s="15" t="n"/>
      <c r="F618" s="6" t="n"/>
      <c r="G618" s="6" t="n"/>
      <c r="H618" s="6" t="n"/>
    </row>
    <row r="619">
      <c r="A619" s="2" t="n"/>
      <c r="B619" s="2" t="n"/>
      <c r="C619" s="2" t="n"/>
      <c r="D619" s="12" t="n"/>
      <c r="E619" s="13" t="n"/>
      <c r="F619" s="2" t="n"/>
      <c r="G619" s="2" t="n"/>
      <c r="H619" s="2" t="n"/>
    </row>
    <row r="620">
      <c r="A620" s="6" t="n"/>
      <c r="B620" s="6" t="n"/>
      <c r="C620" s="6" t="n"/>
      <c r="D620" s="14" t="n"/>
      <c r="E620" s="15" t="n"/>
      <c r="F620" s="6" t="n"/>
      <c r="G620" s="6" t="n"/>
      <c r="H620" s="6" t="n"/>
    </row>
    <row r="621">
      <c r="A621" s="2" t="n"/>
      <c r="B621" s="2" t="n"/>
      <c r="C621" s="2" t="n"/>
      <c r="D621" s="12" t="n"/>
      <c r="E621" s="13" t="n"/>
      <c r="F621" s="2" t="n"/>
      <c r="G621" s="2" t="n"/>
      <c r="H621" s="2" t="n"/>
    </row>
    <row r="622">
      <c r="A622" s="6" t="n"/>
      <c r="B622" s="6" t="n"/>
      <c r="C622" s="6" t="n"/>
      <c r="D622" s="14" t="n"/>
      <c r="E622" s="15" t="n"/>
      <c r="F622" s="6" t="n"/>
      <c r="G622" s="6" t="n"/>
      <c r="H622" s="6" t="n"/>
    </row>
    <row r="623">
      <c r="A623" s="2" t="n"/>
      <c r="B623" s="2" t="n"/>
      <c r="C623" s="2" t="n"/>
      <c r="D623" s="12" t="n"/>
      <c r="E623" s="13" t="n"/>
      <c r="F623" s="2" t="n"/>
      <c r="G623" s="2" t="n"/>
      <c r="H623" s="2" t="n"/>
    </row>
    <row r="624">
      <c r="A624" s="6" t="n"/>
      <c r="B624" s="6" t="n"/>
      <c r="C624" s="6" t="n"/>
      <c r="D624" s="14" t="n"/>
      <c r="E624" s="15" t="n"/>
      <c r="F624" s="6" t="n"/>
      <c r="G624" s="6" t="n"/>
      <c r="H624" s="6" t="n"/>
    </row>
    <row r="625">
      <c r="A625" s="2" t="n"/>
      <c r="B625" s="2" t="n"/>
      <c r="C625" s="2" t="n"/>
      <c r="D625" s="12" t="n"/>
      <c r="E625" s="13" t="n"/>
      <c r="F625" s="2" t="n"/>
      <c r="G625" s="2" t="n"/>
      <c r="H625" s="2" t="n"/>
    </row>
    <row r="626">
      <c r="A626" s="6" t="n"/>
      <c r="B626" s="6" t="n"/>
      <c r="C626" s="6" t="n"/>
      <c r="D626" s="14" t="n"/>
      <c r="E626" s="15" t="n"/>
      <c r="F626" s="6" t="n"/>
      <c r="G626" s="6" t="n"/>
      <c r="H626" s="6" t="n"/>
    </row>
    <row r="627">
      <c r="A627" s="2" t="n"/>
      <c r="B627" s="2" t="n"/>
      <c r="C627" s="2" t="n"/>
      <c r="D627" s="12" t="n"/>
      <c r="E627" s="13" t="n"/>
      <c r="F627" s="2" t="n"/>
      <c r="G627" s="2" t="n"/>
      <c r="H627" s="2" t="n"/>
    </row>
    <row r="628">
      <c r="A628" s="6" t="n"/>
      <c r="B628" s="6" t="n"/>
      <c r="C628" s="6" t="n"/>
      <c r="D628" s="14" t="n"/>
      <c r="E628" s="15" t="n"/>
      <c r="F628" s="6" t="n"/>
      <c r="G628" s="6" t="n"/>
      <c r="H628" s="6" t="n"/>
    </row>
    <row r="629">
      <c r="A629" s="2" t="n"/>
      <c r="B629" s="2" t="n"/>
      <c r="C629" s="2" t="n"/>
      <c r="D629" s="12" t="n"/>
      <c r="E629" s="13" t="n"/>
      <c r="F629" s="2" t="n"/>
      <c r="G629" s="2" t="n"/>
      <c r="H629" s="2" t="n"/>
    </row>
    <row r="630">
      <c r="A630" s="6" t="n"/>
      <c r="B630" s="6" t="n"/>
      <c r="C630" s="6" t="n"/>
      <c r="D630" s="14" t="n"/>
      <c r="E630" s="15" t="n"/>
      <c r="F630" s="6" t="n"/>
      <c r="G630" s="6" t="n"/>
      <c r="H630" s="6" t="n"/>
    </row>
    <row r="631">
      <c r="A631" s="2" t="n"/>
      <c r="B631" s="2" t="n"/>
      <c r="C631" s="2" t="n"/>
      <c r="D631" s="12" t="n"/>
      <c r="E631" s="13" t="n"/>
      <c r="F631" s="2" t="n"/>
      <c r="G631" s="2" t="n"/>
      <c r="H631" s="2" t="n"/>
    </row>
    <row r="632">
      <c r="A632" s="6" t="n"/>
      <c r="B632" s="6" t="n"/>
      <c r="C632" s="6" t="n"/>
      <c r="D632" s="14" t="n"/>
      <c r="E632" s="15" t="n"/>
      <c r="F632" s="6" t="n"/>
      <c r="G632" s="6" t="n"/>
      <c r="H632" s="6" t="n"/>
    </row>
    <row r="633">
      <c r="A633" s="2" t="n"/>
      <c r="B633" s="2" t="n"/>
      <c r="C633" s="2" t="n"/>
      <c r="D633" s="12" t="n"/>
      <c r="E633" s="13" t="n"/>
      <c r="F633" s="2" t="n"/>
      <c r="G633" s="2" t="n"/>
      <c r="H633" s="2" t="n"/>
    </row>
    <row r="634">
      <c r="A634" s="6" t="n"/>
      <c r="B634" s="6" t="n"/>
      <c r="C634" s="6" t="n"/>
      <c r="D634" s="14" t="n"/>
      <c r="E634" s="15" t="n"/>
      <c r="F634" s="6" t="n"/>
      <c r="G634" s="6" t="n"/>
      <c r="H634" s="6" t="n"/>
    </row>
    <row r="635">
      <c r="A635" s="2" t="n"/>
      <c r="B635" s="2" t="n"/>
      <c r="C635" s="2" t="n"/>
      <c r="D635" s="12" t="n"/>
      <c r="E635" s="13" t="n"/>
      <c r="F635" s="2" t="n"/>
      <c r="G635" s="2" t="n"/>
      <c r="H635" s="2" t="n"/>
    </row>
    <row r="636">
      <c r="A636" s="6" t="n"/>
      <c r="B636" s="6" t="n"/>
      <c r="C636" s="6" t="n"/>
      <c r="D636" s="14" t="n"/>
      <c r="E636" s="15" t="n"/>
      <c r="F636" s="6" t="n"/>
      <c r="G636" s="6" t="n"/>
      <c r="H636" s="6" t="n"/>
    </row>
    <row r="637">
      <c r="A637" s="2" t="n"/>
      <c r="B637" s="2" t="n"/>
      <c r="C637" s="2" t="n"/>
      <c r="D637" s="12" t="n"/>
      <c r="E637" s="13" t="n"/>
      <c r="F637" s="2" t="n"/>
      <c r="G637" s="2" t="n"/>
      <c r="H637" s="2" t="n"/>
    </row>
    <row r="638">
      <c r="A638" s="6" t="n"/>
      <c r="B638" s="6" t="n"/>
      <c r="C638" s="6" t="n"/>
      <c r="D638" s="14" t="n"/>
      <c r="E638" s="15" t="n"/>
      <c r="F638" s="6" t="n"/>
      <c r="G638" s="6" t="n"/>
      <c r="H638" s="6" t="n"/>
    </row>
    <row r="639">
      <c r="A639" s="2" t="n"/>
      <c r="B639" s="2" t="n"/>
      <c r="C639" s="2" t="n"/>
      <c r="D639" s="12" t="n"/>
      <c r="E639" s="13" t="n"/>
      <c r="F639" s="2" t="n"/>
      <c r="G639" s="2" t="n"/>
      <c r="H639" s="2" t="n"/>
    </row>
    <row r="640">
      <c r="A640" s="6" t="n"/>
      <c r="B640" s="6" t="n"/>
      <c r="C640" s="6" t="n"/>
      <c r="D640" s="14" t="n"/>
      <c r="E640" s="15" t="n"/>
      <c r="F640" s="6" t="n"/>
      <c r="G640" s="6" t="n"/>
      <c r="H640" s="6" t="n"/>
    </row>
    <row r="641">
      <c r="A641" s="2" t="n"/>
      <c r="B641" s="2" t="n"/>
      <c r="C641" s="2" t="n"/>
      <c r="D641" s="12" t="n"/>
      <c r="E641" s="13" t="n"/>
      <c r="F641" s="2" t="n"/>
      <c r="G641" s="2" t="n"/>
      <c r="H641" s="2" t="n"/>
    </row>
    <row r="642">
      <c r="A642" s="6" t="n"/>
      <c r="B642" s="6" t="n"/>
      <c r="C642" s="6" t="n"/>
      <c r="D642" s="14" t="n"/>
      <c r="E642" s="15" t="n"/>
      <c r="F642" s="6" t="n"/>
      <c r="G642" s="6" t="n"/>
      <c r="H642" s="6" t="n"/>
    </row>
    <row r="643">
      <c r="A643" s="2" t="n"/>
      <c r="B643" s="2" t="n"/>
      <c r="C643" s="2" t="n"/>
      <c r="D643" s="12" t="n"/>
      <c r="E643" s="13" t="n"/>
      <c r="F643" s="2" t="n"/>
      <c r="G643" s="2" t="n"/>
      <c r="H643" s="2" t="n"/>
    </row>
    <row r="644">
      <c r="A644" s="6" t="n"/>
      <c r="B644" s="6" t="n"/>
      <c r="C644" s="6" t="n"/>
      <c r="D644" s="14" t="n"/>
      <c r="E644" s="15" t="n"/>
      <c r="F644" s="6" t="n"/>
      <c r="G644" s="6" t="n"/>
      <c r="H644" s="6" t="n"/>
    </row>
    <row r="645">
      <c r="A645" s="2" t="n"/>
      <c r="B645" s="2" t="n"/>
      <c r="C645" s="2" t="n"/>
      <c r="D645" s="12" t="n"/>
      <c r="E645" s="13" t="n"/>
      <c r="F645" s="2" t="n"/>
      <c r="G645" s="2" t="n"/>
      <c r="H645" s="2" t="n"/>
    </row>
    <row r="646">
      <c r="A646" s="6" t="n"/>
      <c r="B646" s="6" t="n"/>
      <c r="C646" s="6" t="n"/>
      <c r="D646" s="14" t="n"/>
      <c r="E646" s="15" t="n"/>
      <c r="F646" s="6" t="n"/>
      <c r="G646" s="6" t="n"/>
      <c r="H646" s="6" t="n"/>
    </row>
    <row r="647">
      <c r="A647" s="2" t="n"/>
      <c r="B647" s="2" t="n"/>
      <c r="C647" s="2" t="n"/>
      <c r="D647" s="12" t="n"/>
      <c r="E647" s="13" t="n"/>
      <c r="F647" s="2" t="n"/>
      <c r="G647" s="2" t="n"/>
      <c r="H647" s="2" t="n"/>
    </row>
    <row r="648">
      <c r="A648" s="6" t="n"/>
      <c r="B648" s="6" t="n"/>
      <c r="C648" s="6" t="n"/>
      <c r="D648" s="14" t="n"/>
      <c r="E648" s="15" t="n"/>
      <c r="F648" s="6" t="n"/>
      <c r="G648" s="6" t="n"/>
      <c r="H648" s="6" t="n"/>
    </row>
    <row r="649">
      <c r="A649" s="2" t="n"/>
      <c r="B649" s="2" t="n"/>
      <c r="C649" s="2" t="n"/>
      <c r="D649" s="12" t="n"/>
      <c r="E649" s="13" t="n"/>
      <c r="F649" s="2" t="n"/>
      <c r="G649" s="2" t="n"/>
      <c r="H649" s="2" t="n"/>
    </row>
    <row r="650">
      <c r="A650" s="6" t="n"/>
      <c r="B650" s="6" t="n"/>
      <c r="C650" s="6" t="n"/>
      <c r="D650" s="14" t="n"/>
      <c r="E650" s="15" t="n"/>
      <c r="F650" s="6" t="n"/>
      <c r="G650" s="6" t="n"/>
      <c r="H650" s="6" t="n"/>
    </row>
    <row r="651">
      <c r="A651" s="2" t="n"/>
      <c r="B651" s="2" t="n"/>
      <c r="C651" s="2" t="n"/>
      <c r="D651" s="12" t="n"/>
      <c r="E651" s="13" t="n"/>
      <c r="F651" s="2" t="n"/>
      <c r="G651" s="2" t="n"/>
      <c r="H651" s="2" t="n"/>
    </row>
    <row r="652">
      <c r="A652" s="6" t="n"/>
      <c r="B652" s="6" t="n"/>
      <c r="C652" s="6" t="n"/>
      <c r="D652" s="14" t="n"/>
      <c r="E652" s="15" t="n"/>
      <c r="F652" s="6" t="n"/>
      <c r="G652" s="6" t="n"/>
      <c r="H652" s="6" t="n"/>
    </row>
    <row r="653">
      <c r="A653" s="2" t="n"/>
      <c r="B653" s="2" t="n"/>
      <c r="C653" s="2" t="n"/>
      <c r="D653" s="12" t="n"/>
      <c r="E653" s="13" t="n"/>
      <c r="F653" s="2" t="n"/>
      <c r="G653" s="2" t="n"/>
      <c r="H653" s="2" t="n"/>
    </row>
    <row r="654">
      <c r="A654" s="6" t="n"/>
      <c r="B654" s="6" t="n"/>
      <c r="C654" s="6" t="n"/>
      <c r="D654" s="14" t="n"/>
      <c r="E654" s="15" t="n"/>
      <c r="F654" s="6" t="n"/>
      <c r="G654" s="6" t="n"/>
      <c r="H654" s="6" t="n"/>
    </row>
    <row r="655">
      <c r="A655" s="2" t="n"/>
      <c r="B655" s="2" t="n"/>
      <c r="C655" s="2" t="n"/>
      <c r="D655" s="12" t="n"/>
      <c r="E655" s="13" t="n"/>
      <c r="F655" s="2" t="n"/>
      <c r="G655" s="2" t="n"/>
      <c r="H655" s="2" t="n"/>
    </row>
    <row r="656">
      <c r="A656" s="6" t="n"/>
      <c r="B656" s="6" t="n"/>
      <c r="C656" s="6" t="n"/>
      <c r="D656" s="14" t="n"/>
      <c r="E656" s="15" t="n"/>
      <c r="F656" s="6" t="n"/>
      <c r="G656" s="6" t="n"/>
      <c r="H656" s="6" t="n"/>
    </row>
    <row r="657">
      <c r="A657" s="2" t="n"/>
      <c r="B657" s="2" t="n"/>
      <c r="C657" s="2" t="n"/>
      <c r="D657" s="12" t="n"/>
      <c r="E657" s="13" t="n"/>
      <c r="F657" s="2" t="n"/>
      <c r="G657" s="2" t="n"/>
      <c r="H657" s="2" t="n"/>
    </row>
    <row r="658">
      <c r="A658" s="6" t="n"/>
      <c r="B658" s="6" t="n"/>
      <c r="C658" s="6" t="n"/>
      <c r="D658" s="14" t="n"/>
      <c r="E658" s="15" t="n"/>
      <c r="F658" s="6" t="n"/>
      <c r="G658" s="6" t="n"/>
      <c r="H658" s="6" t="n"/>
    </row>
    <row r="659">
      <c r="A659" s="2" t="n"/>
      <c r="B659" s="2" t="n"/>
      <c r="C659" s="2" t="n"/>
      <c r="D659" s="12" t="n"/>
      <c r="E659" s="13" t="n"/>
      <c r="F659" s="2" t="n"/>
      <c r="G659" s="2" t="n"/>
      <c r="H659" s="2" t="n"/>
    </row>
    <row r="660">
      <c r="A660" s="6" t="n"/>
      <c r="B660" s="6" t="n"/>
      <c r="C660" s="6" t="n"/>
      <c r="D660" s="14" t="n"/>
      <c r="E660" s="15" t="n"/>
      <c r="F660" s="6" t="n"/>
      <c r="G660" s="6" t="n"/>
      <c r="H660" s="6" t="n"/>
    </row>
    <row r="661">
      <c r="A661" s="2" t="n"/>
      <c r="B661" s="2" t="n"/>
      <c r="C661" s="2" t="n"/>
      <c r="D661" s="12" t="n"/>
      <c r="E661" s="13" t="n"/>
      <c r="F661" s="2" t="n"/>
      <c r="G661" s="2" t="n"/>
      <c r="H661" s="2" t="n"/>
    </row>
    <row r="662">
      <c r="A662" s="6" t="n"/>
      <c r="B662" s="6" t="n"/>
      <c r="C662" s="6" t="n"/>
      <c r="D662" s="14" t="n"/>
      <c r="E662" s="15" t="n"/>
      <c r="F662" s="6" t="n"/>
      <c r="G662" s="6" t="n"/>
      <c r="H662" s="6" t="n"/>
    </row>
    <row r="663">
      <c r="A663" s="2" t="n"/>
      <c r="B663" s="2" t="n"/>
      <c r="C663" s="2" t="n"/>
      <c r="D663" s="12" t="n"/>
      <c r="E663" s="13" t="n"/>
      <c r="F663" s="2" t="n"/>
      <c r="G663" s="2" t="n"/>
      <c r="H663" s="2" t="n"/>
    </row>
    <row r="664">
      <c r="A664" s="6" t="n"/>
      <c r="B664" s="6" t="n"/>
      <c r="C664" s="6" t="n"/>
      <c r="D664" s="14" t="n"/>
      <c r="E664" s="15" t="n"/>
      <c r="F664" s="6" t="n"/>
      <c r="G664" s="6" t="n"/>
      <c r="H664" s="6" t="n"/>
    </row>
    <row r="665">
      <c r="A665" s="2" t="n"/>
      <c r="B665" s="2" t="n"/>
      <c r="C665" s="2" t="n"/>
      <c r="D665" s="12" t="n"/>
      <c r="E665" s="13" t="n"/>
      <c r="F665" s="2" t="n"/>
      <c r="G665" s="2" t="n"/>
      <c r="H665" s="2" t="n"/>
    </row>
    <row r="666">
      <c r="A666" s="6" t="n"/>
      <c r="B666" s="6" t="n"/>
      <c r="C666" s="6" t="n"/>
      <c r="D666" s="14" t="n"/>
      <c r="E666" s="15" t="n"/>
      <c r="F666" s="6" t="n"/>
      <c r="G666" s="6" t="n"/>
      <c r="H666" s="6" t="n"/>
    </row>
    <row r="667">
      <c r="A667" s="2" t="n"/>
      <c r="B667" s="2" t="n"/>
      <c r="C667" s="2" t="n"/>
      <c r="D667" s="12" t="n"/>
      <c r="E667" s="13" t="n"/>
      <c r="F667" s="2" t="n"/>
      <c r="G667" s="2" t="n"/>
      <c r="H667" s="2" t="n"/>
    </row>
    <row r="668">
      <c r="A668" s="6" t="n"/>
      <c r="B668" s="6" t="n"/>
      <c r="C668" s="6" t="n"/>
      <c r="D668" s="14" t="n"/>
      <c r="E668" s="15" t="n"/>
      <c r="F668" s="6" t="n"/>
      <c r="G668" s="6" t="n"/>
      <c r="H668" s="6" t="n"/>
    </row>
    <row r="669">
      <c r="A669" s="2" t="n"/>
      <c r="B669" s="2" t="n"/>
      <c r="C669" s="2" t="n"/>
      <c r="D669" s="12" t="n"/>
      <c r="E669" s="13" t="n"/>
      <c r="F669" s="2" t="n"/>
      <c r="G669" s="2" t="n"/>
      <c r="H669" s="2" t="n"/>
    </row>
    <row r="670">
      <c r="A670" s="6" t="n"/>
      <c r="B670" s="6" t="n"/>
      <c r="C670" s="6" t="n"/>
      <c r="D670" s="14" t="n"/>
      <c r="E670" s="15" t="n"/>
      <c r="F670" s="6" t="n"/>
      <c r="G670" s="6" t="n"/>
      <c r="H670" s="6" t="n"/>
    </row>
    <row r="671">
      <c r="A671" s="2" t="n"/>
      <c r="B671" s="2" t="n"/>
      <c r="C671" s="2" t="n"/>
      <c r="D671" s="12" t="n"/>
      <c r="E671" s="13" t="n"/>
      <c r="F671" s="2" t="n"/>
      <c r="G671" s="2" t="n"/>
      <c r="H671" s="2" t="n"/>
    </row>
    <row r="672">
      <c r="A672" s="6" t="n"/>
      <c r="B672" s="6" t="n"/>
      <c r="C672" s="6" t="n"/>
      <c r="D672" s="14" t="n"/>
      <c r="E672" s="15" t="n"/>
      <c r="F672" s="6" t="n"/>
      <c r="G672" s="6" t="n"/>
      <c r="H672" s="6" t="n"/>
    </row>
    <row r="673">
      <c r="A673" s="2" t="n"/>
      <c r="B673" s="2" t="n"/>
      <c r="C673" s="2" t="n"/>
      <c r="D673" s="12" t="n"/>
      <c r="E673" s="13" t="n"/>
      <c r="F673" s="2" t="n"/>
      <c r="G673" s="2" t="n"/>
      <c r="H673" s="2" t="n"/>
    </row>
    <row r="674">
      <c r="A674" s="6" t="n"/>
      <c r="B674" s="6" t="n"/>
      <c r="C674" s="6" t="n"/>
      <c r="D674" s="14" t="n"/>
      <c r="E674" s="15" t="n"/>
      <c r="F674" s="6" t="n"/>
      <c r="G674" s="6" t="n"/>
      <c r="H674" s="6" t="n"/>
    </row>
    <row r="675">
      <c r="A675" s="2" t="n"/>
      <c r="B675" s="2" t="n"/>
      <c r="C675" s="2" t="n"/>
      <c r="D675" s="12" t="n"/>
      <c r="E675" s="13" t="n"/>
      <c r="F675" s="2" t="n"/>
      <c r="G675" s="2" t="n"/>
      <c r="H675" s="2" t="n"/>
    </row>
    <row r="676">
      <c r="A676" s="6" t="n"/>
      <c r="B676" s="6" t="n"/>
      <c r="C676" s="6" t="n"/>
      <c r="D676" s="14" t="n"/>
      <c r="E676" s="15" t="n"/>
      <c r="F676" s="6" t="n"/>
      <c r="G676" s="6" t="n"/>
      <c r="H676" s="6" t="n"/>
    </row>
    <row r="677">
      <c r="A677" s="2" t="n"/>
      <c r="B677" s="2" t="n"/>
      <c r="C677" s="2" t="n"/>
      <c r="D677" s="12" t="n"/>
      <c r="E677" s="13" t="n"/>
      <c r="F677" s="2" t="n"/>
      <c r="G677" s="2" t="n"/>
      <c r="H677" s="2" t="n"/>
    </row>
    <row r="678">
      <c r="A678" s="6" t="n"/>
      <c r="B678" s="6" t="n"/>
      <c r="C678" s="6" t="n"/>
      <c r="D678" s="14" t="n"/>
      <c r="E678" s="15" t="n"/>
      <c r="F678" s="6" t="n"/>
      <c r="G678" s="6" t="n"/>
      <c r="H678" s="6" t="n"/>
    </row>
    <row r="679">
      <c r="A679" s="2" t="n"/>
      <c r="B679" s="2" t="n"/>
      <c r="C679" s="2" t="n"/>
      <c r="D679" s="12" t="n"/>
      <c r="E679" s="13" t="n"/>
      <c r="F679" s="2" t="n"/>
      <c r="G679" s="2" t="n"/>
      <c r="H679" s="2" t="n"/>
    </row>
    <row r="680">
      <c r="A680" s="6" t="n"/>
      <c r="B680" s="6" t="n"/>
      <c r="C680" s="6" t="n"/>
      <c r="D680" s="14" t="n"/>
      <c r="E680" s="15" t="n"/>
      <c r="F680" s="6" t="n"/>
      <c r="G680" s="6" t="n"/>
      <c r="H680" s="6" t="n"/>
    </row>
    <row r="681">
      <c r="A681" s="2" t="n"/>
      <c r="B681" s="2" t="n"/>
      <c r="C681" s="2" t="n"/>
      <c r="D681" s="12" t="n"/>
      <c r="E681" s="13" t="n"/>
      <c r="F681" s="2" t="n"/>
      <c r="G681" s="2" t="n"/>
      <c r="H681" s="2" t="n"/>
    </row>
    <row r="682">
      <c r="A682" s="6" t="n"/>
      <c r="B682" s="6" t="n"/>
      <c r="C682" s="6" t="n"/>
      <c r="D682" s="14" t="n"/>
      <c r="E682" s="15" t="n"/>
      <c r="F682" s="6" t="n"/>
      <c r="G682" s="6" t="n"/>
      <c r="H682" s="6" t="n"/>
    </row>
    <row r="683">
      <c r="A683" s="2" t="n"/>
      <c r="B683" s="2" t="n"/>
      <c r="C683" s="2" t="n"/>
      <c r="D683" s="12" t="n"/>
      <c r="E683" s="13" t="n"/>
      <c r="F683" s="2" t="n"/>
      <c r="G683" s="2" t="n"/>
      <c r="H683" s="2" t="n"/>
    </row>
    <row r="684">
      <c r="A684" s="6" t="n"/>
      <c r="B684" s="6" t="n"/>
      <c r="C684" s="6" t="n"/>
      <c r="D684" s="14" t="n"/>
      <c r="E684" s="15" t="n"/>
      <c r="F684" s="6" t="n"/>
      <c r="G684" s="6" t="n"/>
      <c r="H684" s="6" t="n"/>
    </row>
    <row r="685">
      <c r="A685" s="2" t="n"/>
      <c r="B685" s="2" t="n"/>
      <c r="C685" s="2" t="n"/>
      <c r="D685" s="12" t="n"/>
      <c r="E685" s="13" t="n"/>
      <c r="F685" s="2" t="n"/>
      <c r="G685" s="2" t="n"/>
      <c r="H685" s="2" t="n"/>
    </row>
    <row r="686">
      <c r="A686" s="6" t="n"/>
      <c r="B686" s="6" t="n"/>
      <c r="C686" s="6" t="n"/>
      <c r="D686" s="14" t="n"/>
      <c r="E686" s="15" t="n"/>
      <c r="F686" s="6" t="n"/>
      <c r="G686" s="6" t="n"/>
      <c r="H686" s="6" t="n"/>
    </row>
    <row r="687">
      <c r="A687" s="2" t="n"/>
      <c r="B687" s="2" t="n"/>
      <c r="C687" s="2" t="n"/>
      <c r="D687" s="12" t="n"/>
      <c r="E687" s="13" t="n"/>
      <c r="F687" s="2" t="n"/>
      <c r="G687" s="2" t="n"/>
      <c r="H687" s="2" t="n"/>
    </row>
    <row r="688">
      <c r="A688" s="6" t="n"/>
      <c r="B688" s="6" t="n"/>
      <c r="C688" s="6" t="n"/>
      <c r="D688" s="14" t="n"/>
      <c r="E688" s="15" t="n"/>
      <c r="F688" s="6" t="n"/>
      <c r="G688" s="6" t="n"/>
      <c r="H688" s="6" t="n"/>
    </row>
    <row r="689">
      <c r="A689" s="2" t="n"/>
      <c r="B689" s="2" t="n"/>
      <c r="C689" s="2" t="n"/>
      <c r="D689" s="12" t="n"/>
      <c r="E689" s="13" t="n"/>
      <c r="F689" s="2" t="n"/>
      <c r="G689" s="2" t="n"/>
      <c r="H689" s="2" t="n"/>
    </row>
    <row r="690">
      <c r="A690" s="6" t="n"/>
      <c r="B690" s="6" t="n"/>
      <c r="C690" s="6" t="n"/>
      <c r="D690" s="14" t="n"/>
      <c r="E690" s="15" t="n"/>
      <c r="F690" s="6" t="n"/>
      <c r="G690" s="6" t="n"/>
      <c r="H690" s="6" t="n"/>
    </row>
    <row r="691">
      <c r="A691" s="2" t="n"/>
      <c r="B691" s="2" t="n"/>
      <c r="C691" s="2" t="n"/>
      <c r="D691" s="12" t="n"/>
      <c r="E691" s="13" t="n"/>
      <c r="F691" s="2" t="n"/>
      <c r="G691" s="2" t="n"/>
      <c r="H691" s="2" t="n"/>
    </row>
    <row r="692">
      <c r="A692" s="6" t="n"/>
      <c r="B692" s="6" t="n"/>
      <c r="C692" s="6" t="n"/>
      <c r="D692" s="14" t="n"/>
      <c r="E692" s="15" t="n"/>
      <c r="F692" s="6" t="n"/>
      <c r="G692" s="6" t="n"/>
      <c r="H692" s="6" t="n"/>
    </row>
    <row r="693">
      <c r="A693" s="2" t="n"/>
      <c r="B693" s="2" t="n"/>
      <c r="C693" s="2" t="n"/>
      <c r="D693" s="12" t="n"/>
      <c r="E693" s="13" t="n"/>
      <c r="F693" s="2" t="n"/>
      <c r="G693" s="2" t="n"/>
      <c r="H693" s="2" t="n"/>
    </row>
    <row r="694">
      <c r="A694" s="6" t="n"/>
      <c r="B694" s="6" t="n"/>
      <c r="C694" s="6" t="n"/>
      <c r="D694" s="14" t="n"/>
      <c r="E694" s="15" t="n"/>
      <c r="F694" s="6" t="n"/>
      <c r="G694" s="6" t="n"/>
      <c r="H694" s="6" t="n"/>
    </row>
    <row r="695">
      <c r="A695" s="2" t="n"/>
      <c r="B695" s="2" t="n"/>
      <c r="C695" s="2" t="n"/>
      <c r="D695" s="12" t="n"/>
      <c r="E695" s="13" t="n"/>
      <c r="F695" s="2" t="n"/>
      <c r="G695" s="2" t="n"/>
      <c r="H695" s="2" t="n"/>
    </row>
    <row r="696">
      <c r="A696" s="6" t="n"/>
      <c r="B696" s="6" t="n"/>
      <c r="C696" s="6" t="n"/>
      <c r="D696" s="14" t="n"/>
      <c r="E696" s="15" t="n"/>
      <c r="F696" s="6" t="n"/>
      <c r="G696" s="6" t="n"/>
      <c r="H696" s="6" t="n"/>
    </row>
    <row r="697">
      <c r="A697" s="2" t="n"/>
      <c r="B697" s="2" t="n"/>
      <c r="C697" s="2" t="n"/>
      <c r="D697" s="12" t="n"/>
      <c r="E697" s="13" t="n"/>
      <c r="F697" s="2" t="n"/>
      <c r="G697" s="2" t="n"/>
      <c r="H697" s="2" t="n"/>
    </row>
    <row r="698">
      <c r="A698" s="6" t="n"/>
      <c r="B698" s="6" t="n"/>
      <c r="C698" s="6" t="n"/>
      <c r="D698" s="14" t="n"/>
      <c r="E698" s="15" t="n"/>
      <c r="F698" s="6" t="n"/>
      <c r="G698" s="6" t="n"/>
      <c r="H698" s="6" t="n"/>
    </row>
    <row r="699">
      <c r="A699" s="2" t="n"/>
      <c r="B699" s="2" t="n"/>
      <c r="C699" s="2" t="n"/>
      <c r="D699" s="12" t="n"/>
      <c r="E699" s="13" t="n"/>
      <c r="F699" s="2" t="n"/>
      <c r="G699" s="2" t="n"/>
      <c r="H699" s="2" t="n"/>
    </row>
    <row r="700">
      <c r="A700" s="6" t="n"/>
      <c r="B700" s="6" t="n"/>
      <c r="C700" s="6" t="n"/>
      <c r="D700" s="14" t="n"/>
      <c r="E700" s="15" t="n"/>
      <c r="F700" s="6" t="n"/>
      <c r="G700" s="6" t="n"/>
      <c r="H700" s="6" t="n"/>
    </row>
    <row r="701">
      <c r="A701" s="2" t="n"/>
      <c r="B701" s="2" t="n"/>
      <c r="C701" s="2" t="n"/>
      <c r="D701" s="12" t="n"/>
      <c r="E701" s="13" t="n"/>
      <c r="F701" s="2" t="n"/>
      <c r="G701" s="2" t="n"/>
      <c r="H701" s="2" t="n"/>
    </row>
    <row r="702">
      <c r="A702" s="6" t="n"/>
      <c r="B702" s="6" t="n"/>
      <c r="C702" s="6" t="n"/>
      <c r="D702" s="14" t="n"/>
      <c r="E702" s="15" t="n"/>
      <c r="F702" s="6" t="n"/>
      <c r="G702" s="6" t="n"/>
      <c r="H702" s="6" t="n"/>
    </row>
    <row r="703">
      <c r="A703" s="2" t="n"/>
      <c r="B703" s="2" t="n"/>
      <c r="C703" s="2" t="n"/>
      <c r="D703" s="12" t="n"/>
      <c r="E703" s="13" t="n"/>
      <c r="F703" s="2" t="n"/>
      <c r="G703" s="2" t="n"/>
      <c r="H703" s="2" t="n"/>
    </row>
    <row r="704">
      <c r="A704" s="6" t="n"/>
      <c r="B704" s="6" t="n"/>
      <c r="C704" s="6" t="n"/>
      <c r="D704" s="14" t="n"/>
      <c r="E704" s="15" t="n"/>
      <c r="F704" s="6" t="n"/>
      <c r="G704" s="6" t="n"/>
      <c r="H704" s="6" t="n"/>
    </row>
    <row r="705">
      <c r="A705" s="2" t="n"/>
      <c r="B705" s="2" t="n"/>
      <c r="C705" s="2" t="n"/>
      <c r="D705" s="12" t="n"/>
      <c r="E705" s="13" t="n"/>
      <c r="F705" s="2" t="n"/>
      <c r="G705" s="2" t="n"/>
      <c r="H705" s="2" t="n"/>
    </row>
    <row r="706">
      <c r="A706" s="6" t="n"/>
      <c r="B706" s="6" t="n"/>
      <c r="C706" s="6" t="n"/>
      <c r="D706" s="14" t="n"/>
      <c r="E706" s="15" t="n"/>
      <c r="F706" s="6" t="n"/>
      <c r="G706" s="6" t="n"/>
      <c r="H706" s="6" t="n"/>
    </row>
    <row r="707">
      <c r="A707" s="2" t="n"/>
      <c r="B707" s="2" t="n"/>
      <c r="C707" s="2" t="n"/>
      <c r="D707" s="12" t="n"/>
      <c r="E707" s="13" t="n"/>
      <c r="F707" s="2" t="n"/>
      <c r="G707" s="2" t="n"/>
      <c r="H707" s="2" t="n"/>
    </row>
    <row r="708">
      <c r="A708" s="6" t="n"/>
      <c r="B708" s="6" t="n"/>
      <c r="C708" s="6" t="n"/>
      <c r="D708" s="14" t="n"/>
      <c r="E708" s="15" t="n"/>
      <c r="F708" s="6" t="n"/>
      <c r="G708" s="6" t="n"/>
      <c r="H708" s="6" t="n"/>
    </row>
    <row r="709">
      <c r="A709" s="2" t="n"/>
      <c r="B709" s="2" t="n"/>
      <c r="C709" s="2" t="n"/>
      <c r="D709" s="12" t="n"/>
      <c r="E709" s="13" t="n"/>
      <c r="F709" s="2" t="n"/>
      <c r="G709" s="2" t="n"/>
      <c r="H709" s="2" t="n"/>
    </row>
    <row r="710">
      <c r="A710" s="6" t="n"/>
      <c r="B710" s="6" t="n"/>
      <c r="C710" s="6" t="n"/>
      <c r="D710" s="14" t="n"/>
      <c r="E710" s="15" t="n"/>
      <c r="F710" s="6" t="n"/>
      <c r="G710" s="6" t="n"/>
      <c r="H710" s="6" t="n"/>
    </row>
    <row r="711">
      <c r="A711" s="2" t="n"/>
      <c r="B711" s="2" t="n"/>
      <c r="C711" s="2" t="n"/>
      <c r="D711" s="12" t="n"/>
      <c r="E711" s="13" t="n"/>
      <c r="F711" s="2" t="n"/>
      <c r="G711" s="2" t="n"/>
      <c r="H711" s="2" t="n"/>
    </row>
    <row r="712">
      <c r="A712" s="6" t="n"/>
      <c r="B712" s="6" t="n"/>
      <c r="C712" s="6" t="n"/>
      <c r="D712" s="14" t="n"/>
      <c r="E712" s="15" t="n"/>
      <c r="F712" s="6" t="n"/>
      <c r="G712" s="6" t="n"/>
      <c r="H712" s="6" t="n"/>
    </row>
    <row r="713">
      <c r="A713" s="2" t="n"/>
      <c r="B713" s="2" t="n"/>
      <c r="C713" s="2" t="n"/>
      <c r="D713" s="12" t="n"/>
      <c r="E713" s="13" t="n"/>
      <c r="F713" s="2" t="n"/>
      <c r="G713" s="2" t="n"/>
      <c r="H713" s="2" t="n"/>
    </row>
    <row r="714">
      <c r="A714" s="6" t="n"/>
      <c r="B714" s="6" t="n"/>
      <c r="C714" s="6" t="n"/>
      <c r="D714" s="14" t="n"/>
      <c r="E714" s="15" t="n"/>
      <c r="F714" s="6" t="n"/>
      <c r="G714" s="6" t="n"/>
      <c r="H714" s="6" t="n"/>
    </row>
    <row r="715">
      <c r="A715" s="2" t="n"/>
      <c r="B715" s="2" t="n"/>
      <c r="C715" s="2" t="n"/>
      <c r="D715" s="12" t="n"/>
      <c r="E715" s="13" t="n"/>
      <c r="F715" s="2" t="n"/>
      <c r="G715" s="2" t="n"/>
      <c r="H715" s="2" t="n"/>
    </row>
    <row r="716">
      <c r="A716" s="6" t="n"/>
      <c r="B716" s="6" t="n"/>
      <c r="C716" s="6" t="n"/>
      <c r="D716" s="14" t="n"/>
      <c r="E716" s="15" t="n"/>
      <c r="F716" s="6" t="n"/>
      <c r="G716" s="6" t="n"/>
      <c r="H716" s="6" t="n"/>
    </row>
    <row r="717">
      <c r="A717" s="2" t="n"/>
      <c r="B717" s="2" t="n"/>
      <c r="C717" s="2" t="n"/>
      <c r="D717" s="12" t="n"/>
      <c r="E717" s="13" t="n"/>
      <c r="F717" s="2" t="n"/>
      <c r="G717" s="2" t="n"/>
      <c r="H717" s="2" t="n"/>
    </row>
    <row r="718">
      <c r="A718" s="6" t="n"/>
      <c r="B718" s="6" t="n"/>
      <c r="C718" s="6" t="n"/>
      <c r="D718" s="14" t="n"/>
      <c r="E718" s="15" t="n"/>
      <c r="F718" s="6" t="n"/>
      <c r="G718" s="6" t="n"/>
      <c r="H718" s="6" t="n"/>
    </row>
    <row r="719">
      <c r="A719" s="2" t="n"/>
      <c r="B719" s="2" t="n"/>
      <c r="C719" s="2" t="n"/>
      <c r="D719" s="12" t="n"/>
      <c r="E719" s="13" t="n"/>
      <c r="F719" s="2" t="n"/>
      <c r="G719" s="2" t="n"/>
      <c r="H719" s="2" t="n"/>
    </row>
    <row r="720">
      <c r="A720" s="6" t="n"/>
      <c r="B720" s="6" t="n"/>
      <c r="C720" s="6" t="n"/>
      <c r="D720" s="14" t="n"/>
      <c r="E720" s="15" t="n"/>
      <c r="F720" s="6" t="n"/>
      <c r="G720" s="6" t="n"/>
      <c r="H720" s="6" t="n"/>
    </row>
    <row r="721">
      <c r="A721" s="2" t="n"/>
      <c r="B721" s="2" t="n"/>
      <c r="C721" s="2" t="n"/>
      <c r="D721" s="12" t="n"/>
      <c r="E721" s="13" t="n"/>
      <c r="F721" s="2" t="n"/>
      <c r="G721" s="2" t="n"/>
      <c r="H721" s="2" t="n"/>
    </row>
    <row r="722">
      <c r="A722" s="6" t="n"/>
      <c r="B722" s="6" t="n"/>
      <c r="C722" s="6" t="n"/>
      <c r="D722" s="14" t="n"/>
      <c r="E722" s="15" t="n"/>
      <c r="F722" s="6" t="n"/>
      <c r="G722" s="6" t="n"/>
      <c r="H722" s="6" t="n"/>
    </row>
    <row r="723">
      <c r="A723" s="2" t="n"/>
      <c r="B723" s="2" t="n"/>
      <c r="C723" s="2" t="n"/>
      <c r="D723" s="12" t="n"/>
      <c r="E723" s="13" t="n"/>
      <c r="F723" s="2" t="n"/>
      <c r="G723" s="2" t="n"/>
      <c r="H723" s="2" t="n"/>
    </row>
    <row r="724">
      <c r="A724" s="6" t="n"/>
      <c r="B724" s="6" t="n"/>
      <c r="C724" s="6" t="n"/>
      <c r="D724" s="14" t="n"/>
      <c r="E724" s="15" t="n"/>
      <c r="F724" s="6" t="n"/>
      <c r="G724" s="6" t="n"/>
      <c r="H724" s="6" t="n"/>
    </row>
    <row r="725">
      <c r="A725" s="2" t="n"/>
      <c r="B725" s="2" t="n"/>
      <c r="C725" s="2" t="n"/>
      <c r="D725" s="12" t="n"/>
      <c r="E725" s="13" t="n"/>
      <c r="F725" s="2" t="n"/>
      <c r="G725" s="2" t="n"/>
      <c r="H725" s="2" t="n"/>
    </row>
    <row r="726">
      <c r="A726" s="6" t="n"/>
      <c r="B726" s="6" t="n"/>
      <c r="C726" s="6" t="n"/>
      <c r="D726" s="14" t="n"/>
      <c r="E726" s="15" t="n"/>
      <c r="F726" s="6" t="n"/>
      <c r="G726" s="6" t="n"/>
      <c r="H726" s="6" t="n"/>
    </row>
    <row r="727">
      <c r="A727" s="2" t="n"/>
      <c r="B727" s="2" t="n"/>
      <c r="C727" s="2" t="n"/>
      <c r="D727" s="12" t="n"/>
      <c r="E727" s="13" t="n"/>
      <c r="F727" s="2" t="n"/>
      <c r="G727" s="2" t="n"/>
      <c r="H727" s="2" t="n"/>
    </row>
    <row r="728">
      <c r="A728" s="6" t="n"/>
      <c r="B728" s="6" t="n"/>
      <c r="C728" s="6" t="n"/>
      <c r="D728" s="14" t="n"/>
      <c r="E728" s="15" t="n"/>
      <c r="F728" s="6" t="n"/>
      <c r="G728" s="6" t="n"/>
      <c r="H728" s="6" t="n"/>
    </row>
    <row r="729">
      <c r="A729" s="2" t="n"/>
      <c r="B729" s="2" t="n"/>
      <c r="C729" s="2" t="n"/>
      <c r="D729" s="12" t="n"/>
      <c r="E729" s="13" t="n"/>
      <c r="F729" s="2" t="n"/>
      <c r="G729" s="2" t="n"/>
      <c r="H729" s="2" t="n"/>
    </row>
    <row r="730">
      <c r="A730" s="6" t="n"/>
      <c r="B730" s="6" t="n"/>
      <c r="C730" s="6" t="n"/>
      <c r="D730" s="14" t="n"/>
      <c r="E730" s="15" t="n"/>
      <c r="F730" s="6" t="n"/>
      <c r="G730" s="6" t="n"/>
      <c r="H730" s="6" t="n"/>
    </row>
    <row r="731">
      <c r="A731" s="2" t="n"/>
      <c r="B731" s="2" t="n"/>
      <c r="C731" s="2" t="n"/>
      <c r="D731" s="12" t="n"/>
      <c r="E731" s="13" t="n"/>
      <c r="F731" s="2" t="n"/>
      <c r="G731" s="2" t="n"/>
      <c r="H731" s="2" t="n"/>
    </row>
    <row r="732">
      <c r="A732" s="6" t="n"/>
      <c r="B732" s="6" t="n"/>
      <c r="C732" s="6" t="n"/>
      <c r="D732" s="14" t="n"/>
      <c r="E732" s="15" t="n"/>
      <c r="F732" s="6" t="n"/>
      <c r="G732" s="6" t="n"/>
      <c r="H732" s="6" t="n"/>
    </row>
    <row r="733">
      <c r="A733" s="2" t="n"/>
      <c r="B733" s="2" t="n"/>
      <c r="C733" s="2" t="n"/>
      <c r="D733" s="12" t="n"/>
      <c r="E733" s="13" t="n"/>
      <c r="F733" s="2" t="n"/>
      <c r="G733" s="2" t="n"/>
      <c r="H733" s="2" t="n"/>
    </row>
    <row r="734">
      <c r="A734" s="6" t="n"/>
      <c r="B734" s="6" t="n"/>
      <c r="C734" s="6" t="n"/>
      <c r="D734" s="14" t="n"/>
      <c r="E734" s="15" t="n"/>
      <c r="F734" s="6" t="n"/>
      <c r="G734" s="6" t="n"/>
      <c r="H734" s="6" t="n"/>
    </row>
    <row r="735">
      <c r="A735" s="2" t="n"/>
      <c r="B735" s="2" t="n"/>
      <c r="C735" s="2" t="n"/>
      <c r="D735" s="12" t="n"/>
      <c r="E735" s="13" t="n"/>
      <c r="F735" s="2" t="n"/>
      <c r="G735" s="2" t="n"/>
      <c r="H735" s="2" t="n"/>
    </row>
    <row r="736">
      <c r="A736" s="6" t="n"/>
      <c r="B736" s="6" t="n"/>
      <c r="C736" s="6" t="n"/>
      <c r="D736" s="14" t="n"/>
      <c r="E736" s="15" t="n"/>
      <c r="F736" s="6" t="n"/>
      <c r="G736" s="6" t="n"/>
      <c r="H736" s="6" t="n"/>
    </row>
    <row r="737">
      <c r="A737" s="2" t="n"/>
      <c r="B737" s="2" t="n"/>
      <c r="C737" s="2" t="n"/>
      <c r="D737" s="12" t="n"/>
      <c r="E737" s="13" t="n"/>
      <c r="F737" s="2" t="n"/>
      <c r="G737" s="2" t="n"/>
      <c r="H737" s="2" t="n"/>
    </row>
    <row r="738">
      <c r="A738" s="6" t="n"/>
      <c r="B738" s="6" t="n"/>
      <c r="C738" s="6" t="n"/>
      <c r="D738" s="14" t="n"/>
      <c r="E738" s="15" t="n"/>
      <c r="F738" s="6" t="n"/>
      <c r="G738" s="6" t="n"/>
      <c r="H738" s="6" t="n"/>
    </row>
    <row r="739">
      <c r="A739" s="2" t="n"/>
      <c r="B739" s="2" t="n"/>
      <c r="C739" s="2" t="n"/>
      <c r="D739" s="12" t="n"/>
      <c r="E739" s="13" t="n"/>
      <c r="F739" s="2" t="n"/>
      <c r="G739" s="2" t="n"/>
      <c r="H739" s="2" t="n"/>
    </row>
    <row r="740">
      <c r="A740" s="6" t="n"/>
      <c r="B740" s="6" t="n"/>
      <c r="C740" s="6" t="n"/>
      <c r="D740" s="14" t="n"/>
      <c r="E740" s="15" t="n"/>
      <c r="F740" s="6" t="n"/>
      <c r="G740" s="6" t="n"/>
      <c r="H740" s="6" t="n"/>
    </row>
    <row r="741">
      <c r="A741" s="2" t="n"/>
      <c r="B741" s="2" t="n"/>
      <c r="C741" s="2" t="n"/>
      <c r="D741" s="12" t="n"/>
      <c r="E741" s="13" t="n"/>
      <c r="F741" s="2" t="n"/>
      <c r="G741" s="2" t="n"/>
      <c r="H741" s="2" t="n"/>
    </row>
    <row r="742">
      <c r="A742" s="6" t="n"/>
      <c r="B742" s="6" t="n"/>
      <c r="C742" s="6" t="n"/>
      <c r="D742" s="14" t="n"/>
      <c r="E742" s="15" t="n"/>
      <c r="F742" s="6" t="n"/>
      <c r="G742" s="6" t="n"/>
      <c r="H742" s="6" t="n"/>
    </row>
    <row r="743">
      <c r="A743" s="2" t="n"/>
      <c r="B743" s="2" t="n"/>
      <c r="C743" s="2" t="n"/>
      <c r="D743" s="12" t="n"/>
      <c r="E743" s="13" t="n"/>
      <c r="F743" s="2" t="n"/>
      <c r="G743" s="2" t="n"/>
      <c r="H743" s="2" t="n"/>
    </row>
    <row r="744">
      <c r="A744" s="6" t="n"/>
      <c r="B744" s="6" t="n"/>
      <c r="C744" s="6" t="n"/>
      <c r="D744" s="14" t="n"/>
      <c r="E744" s="15" t="n"/>
      <c r="F744" s="6" t="n"/>
      <c r="G744" s="6" t="n"/>
      <c r="H744" s="6" t="n"/>
    </row>
    <row r="745">
      <c r="A745" s="2" t="n"/>
      <c r="B745" s="2" t="n"/>
      <c r="C745" s="2" t="n"/>
      <c r="D745" s="12" t="n"/>
      <c r="E745" s="13" t="n"/>
      <c r="F745" s="2" t="n"/>
      <c r="G745" s="2" t="n"/>
      <c r="H745" s="2" t="n"/>
    </row>
    <row r="746">
      <c r="A746" s="6" t="n"/>
      <c r="B746" s="6" t="n"/>
      <c r="C746" s="6" t="n"/>
      <c r="D746" s="14" t="n"/>
      <c r="E746" s="15" t="n"/>
      <c r="F746" s="6" t="n"/>
      <c r="G746" s="6" t="n"/>
      <c r="H746" s="6" t="n"/>
    </row>
    <row r="747">
      <c r="A747" s="2" t="n"/>
      <c r="B747" s="2" t="n"/>
      <c r="C747" s="2" t="n"/>
      <c r="D747" s="12" t="n"/>
      <c r="E747" s="13" t="n"/>
      <c r="F747" s="2" t="n"/>
      <c r="G747" s="2" t="n"/>
      <c r="H747" s="2" t="n"/>
    </row>
    <row r="748">
      <c r="A748" s="6" t="n"/>
      <c r="B748" s="6" t="n"/>
      <c r="C748" s="6" t="n"/>
      <c r="D748" s="14" t="n"/>
      <c r="E748" s="15" t="n"/>
      <c r="F748" s="6" t="n"/>
      <c r="G748" s="6" t="n"/>
      <c r="H748" s="6" t="n"/>
    </row>
    <row r="749">
      <c r="A749" s="2" t="n"/>
      <c r="B749" s="2" t="n"/>
      <c r="C749" s="2" t="n"/>
      <c r="D749" s="12" t="n"/>
      <c r="E749" s="13" t="n"/>
      <c r="F749" s="2" t="n"/>
      <c r="G749" s="2" t="n"/>
      <c r="H749" s="2" t="n"/>
    </row>
    <row r="750">
      <c r="A750" s="6" t="n"/>
      <c r="B750" s="6" t="n"/>
      <c r="C750" s="6" t="n"/>
      <c r="D750" s="14" t="n"/>
      <c r="E750" s="15" t="n"/>
      <c r="F750" s="6" t="n"/>
      <c r="G750" s="6" t="n"/>
      <c r="H750" s="6" t="n"/>
    </row>
    <row r="751">
      <c r="A751" s="2" t="n"/>
      <c r="B751" s="2" t="n"/>
      <c r="C751" s="2" t="n"/>
      <c r="D751" s="12" t="n"/>
      <c r="E751" s="13" t="n"/>
      <c r="F751" s="2" t="n"/>
      <c r="G751" s="2" t="n"/>
      <c r="H751" s="2" t="n"/>
    </row>
    <row r="752">
      <c r="A752" s="6" t="n"/>
      <c r="B752" s="6" t="n"/>
      <c r="C752" s="6" t="n"/>
      <c r="D752" s="14" t="n"/>
      <c r="E752" s="15" t="n"/>
      <c r="F752" s="6" t="n"/>
      <c r="G752" s="6" t="n"/>
      <c r="H752" s="6" t="n"/>
    </row>
    <row r="753">
      <c r="A753" s="2" t="n"/>
      <c r="B753" s="2" t="n"/>
      <c r="C753" s="2" t="n"/>
      <c r="D753" s="12" t="n"/>
      <c r="E753" s="13" t="n"/>
      <c r="F753" s="2" t="n"/>
      <c r="G753" s="2" t="n"/>
      <c r="H753" s="2" t="n"/>
    </row>
    <row r="754">
      <c r="A754" s="6" t="n"/>
      <c r="B754" s="6" t="n"/>
      <c r="C754" s="6" t="n"/>
      <c r="D754" s="14" t="n"/>
      <c r="E754" s="15" t="n"/>
      <c r="F754" s="6" t="n"/>
      <c r="G754" s="6" t="n"/>
      <c r="H754" s="6" t="n"/>
    </row>
    <row r="755">
      <c r="A755" s="2" t="n"/>
      <c r="B755" s="2" t="n"/>
      <c r="C755" s="2" t="n"/>
      <c r="D755" s="12" t="n"/>
      <c r="E755" s="13" t="n"/>
      <c r="F755" s="2" t="n"/>
      <c r="G755" s="2" t="n"/>
      <c r="H755" s="2" t="n"/>
    </row>
    <row r="756">
      <c r="A756" s="6" t="n"/>
      <c r="B756" s="6" t="n"/>
      <c r="C756" s="6" t="n"/>
      <c r="D756" s="14" t="n"/>
      <c r="E756" s="15" t="n"/>
      <c r="F756" s="6" t="n"/>
      <c r="G756" s="6" t="n"/>
      <c r="H756" s="6" t="n"/>
    </row>
    <row r="757">
      <c r="A757" s="2" t="n"/>
      <c r="B757" s="2" t="n"/>
      <c r="C757" s="2" t="n"/>
      <c r="D757" s="12" t="n"/>
      <c r="E757" s="13" t="n"/>
      <c r="F757" s="2" t="n"/>
      <c r="G757" s="2" t="n"/>
      <c r="H757" s="2" t="n"/>
    </row>
    <row r="758">
      <c r="A758" s="6" t="n"/>
      <c r="B758" s="6" t="n"/>
      <c r="C758" s="6" t="n"/>
      <c r="D758" s="14" t="n"/>
      <c r="E758" s="15" t="n"/>
      <c r="F758" s="6" t="n"/>
      <c r="G758" s="6" t="n"/>
      <c r="H758" s="6" t="n"/>
    </row>
    <row r="759">
      <c r="A759" s="2" t="n"/>
      <c r="B759" s="2" t="n"/>
      <c r="C759" s="2" t="n"/>
      <c r="D759" s="12" t="n"/>
      <c r="E759" s="13" t="n"/>
      <c r="F759" s="2" t="n"/>
      <c r="G759" s="2" t="n"/>
      <c r="H759" s="2" t="n"/>
    </row>
    <row r="760">
      <c r="A760" s="6" t="n"/>
      <c r="B760" s="6" t="n"/>
      <c r="C760" s="6" t="n"/>
      <c r="D760" s="14" t="n"/>
      <c r="E760" s="15" t="n"/>
      <c r="F760" s="6" t="n"/>
      <c r="G760" s="6" t="n"/>
      <c r="H760" s="6" t="n"/>
    </row>
    <row r="761">
      <c r="A761" s="2" t="n"/>
      <c r="B761" s="2" t="n"/>
      <c r="C761" s="2" t="n"/>
      <c r="D761" s="12" t="n"/>
      <c r="E761" s="13" t="n"/>
      <c r="F761" s="2" t="n"/>
      <c r="G761" s="2" t="n"/>
      <c r="H761" s="2" t="n"/>
    </row>
    <row r="762">
      <c r="A762" s="6" t="n"/>
      <c r="B762" s="6" t="n"/>
      <c r="C762" s="6" t="n"/>
      <c r="D762" s="14" t="n"/>
      <c r="E762" s="15" t="n"/>
      <c r="F762" s="6" t="n"/>
      <c r="G762" s="6" t="n"/>
      <c r="H762" s="6" t="n"/>
    </row>
    <row r="763">
      <c r="A763" s="2" t="n"/>
      <c r="B763" s="2" t="n"/>
      <c r="C763" s="2" t="n"/>
      <c r="D763" s="12" t="n"/>
      <c r="E763" s="13" t="n"/>
      <c r="F763" s="2" t="n"/>
      <c r="G763" s="2" t="n"/>
      <c r="H763" s="2" t="n"/>
    </row>
    <row r="764">
      <c r="A764" s="6" t="n"/>
      <c r="B764" s="6" t="n"/>
      <c r="C764" s="6" t="n"/>
      <c r="D764" s="14" t="n"/>
      <c r="E764" s="15" t="n"/>
      <c r="F764" s="6" t="n"/>
      <c r="G764" s="6" t="n"/>
      <c r="H764" s="6" t="n"/>
    </row>
    <row r="765">
      <c r="A765" s="2" t="n"/>
      <c r="B765" s="2" t="n"/>
      <c r="C765" s="2" t="n"/>
      <c r="D765" s="12" t="n"/>
      <c r="E765" s="13" t="n"/>
      <c r="F765" s="2" t="n"/>
      <c r="G765" s="2" t="n"/>
      <c r="H765" s="2" t="n"/>
    </row>
    <row r="766">
      <c r="A766" s="6" t="n"/>
      <c r="B766" s="6" t="n"/>
      <c r="C766" s="6" t="n"/>
      <c r="D766" s="14" t="n"/>
      <c r="E766" s="15" t="n"/>
      <c r="F766" s="6" t="n"/>
      <c r="G766" s="6" t="n"/>
      <c r="H766" s="6" t="n"/>
    </row>
    <row r="767">
      <c r="A767" s="2" t="n"/>
      <c r="B767" s="2" t="n"/>
      <c r="C767" s="2" t="n"/>
      <c r="D767" s="12" t="n"/>
      <c r="E767" s="13" t="n"/>
      <c r="F767" s="2" t="n"/>
      <c r="G767" s="2" t="n"/>
      <c r="H767" s="2" t="n"/>
    </row>
    <row r="768">
      <c r="A768" s="6" t="n"/>
      <c r="B768" s="6" t="n"/>
      <c r="C768" s="6" t="n"/>
      <c r="D768" s="14" t="n"/>
      <c r="E768" s="15" t="n"/>
      <c r="F768" s="6" t="n"/>
      <c r="G768" s="6" t="n"/>
      <c r="H768" s="6" t="n"/>
    </row>
    <row r="769">
      <c r="A769" s="2" t="n"/>
      <c r="B769" s="2" t="n"/>
      <c r="C769" s="2" t="n"/>
      <c r="D769" s="12" t="n"/>
      <c r="E769" s="13" t="n"/>
      <c r="F769" s="2" t="n"/>
      <c r="G769" s="2" t="n"/>
      <c r="H769" s="2" t="n"/>
    </row>
    <row r="770">
      <c r="A770" s="6" t="n"/>
      <c r="B770" s="6" t="n"/>
      <c r="C770" s="6" t="n"/>
      <c r="D770" s="14" t="n"/>
      <c r="E770" s="15" t="n"/>
      <c r="F770" s="6" t="n"/>
      <c r="G770" s="6" t="n"/>
      <c r="H770" s="6" t="n"/>
    </row>
    <row r="771">
      <c r="A771" s="2" t="n"/>
      <c r="B771" s="2" t="n"/>
      <c r="C771" s="2" t="n"/>
      <c r="D771" s="12" t="n"/>
      <c r="E771" s="13" t="n"/>
      <c r="F771" s="2" t="n"/>
      <c r="G771" s="2" t="n"/>
      <c r="H771" s="2" t="n"/>
    </row>
    <row r="772">
      <c r="A772" s="6" t="n"/>
      <c r="B772" s="6" t="n"/>
      <c r="C772" s="6" t="n"/>
      <c r="D772" s="14" t="n"/>
      <c r="E772" s="15" t="n"/>
      <c r="F772" s="6" t="n"/>
      <c r="G772" s="6" t="n"/>
      <c r="H772" s="6" t="n"/>
    </row>
    <row r="773">
      <c r="A773" s="2" t="n"/>
      <c r="B773" s="2" t="n"/>
      <c r="C773" s="2" t="n"/>
      <c r="D773" s="12" t="n"/>
      <c r="E773" s="13" t="n"/>
      <c r="F773" s="2" t="n"/>
      <c r="G773" s="2" t="n"/>
      <c r="H773" s="2" t="n"/>
    </row>
    <row r="774">
      <c r="A774" s="6" t="n"/>
      <c r="B774" s="6" t="n"/>
      <c r="C774" s="6" t="n"/>
      <c r="D774" s="14" t="n"/>
      <c r="E774" s="15" t="n"/>
      <c r="F774" s="6" t="n"/>
      <c r="G774" s="6" t="n"/>
      <c r="H774" s="6" t="n"/>
    </row>
    <row r="775">
      <c r="A775" s="2" t="n"/>
      <c r="B775" s="2" t="n"/>
      <c r="C775" s="2" t="n"/>
      <c r="D775" s="12" t="n"/>
      <c r="E775" s="13" t="n"/>
      <c r="F775" s="2" t="n"/>
      <c r="G775" s="2" t="n"/>
      <c r="H775" s="2" t="n"/>
    </row>
    <row r="776">
      <c r="A776" s="6" t="n"/>
      <c r="B776" s="6" t="n"/>
      <c r="C776" s="6" t="n"/>
      <c r="D776" s="14" t="n"/>
      <c r="E776" s="15" t="n"/>
      <c r="F776" s="6" t="n"/>
      <c r="G776" s="6" t="n"/>
      <c r="H776" s="6" t="n"/>
    </row>
    <row r="777">
      <c r="A777" s="2" t="n"/>
      <c r="B777" s="2" t="n"/>
      <c r="C777" s="2" t="n"/>
      <c r="D777" s="12" t="n"/>
      <c r="E777" s="13" t="n"/>
      <c r="F777" s="2" t="n"/>
      <c r="G777" s="2" t="n"/>
      <c r="H777" s="2" t="n"/>
    </row>
    <row r="778">
      <c r="A778" s="6" t="n"/>
      <c r="B778" s="6" t="n"/>
      <c r="C778" s="6" t="n"/>
      <c r="D778" s="14" t="n"/>
      <c r="E778" s="15" t="n"/>
      <c r="F778" s="6" t="n"/>
      <c r="G778" s="6" t="n"/>
      <c r="H778" s="6" t="n"/>
    </row>
    <row r="779">
      <c r="A779" s="2" t="n"/>
      <c r="B779" s="2" t="n"/>
      <c r="C779" s="2" t="n"/>
      <c r="D779" s="12" t="n"/>
      <c r="E779" s="13" t="n"/>
      <c r="F779" s="2" t="n"/>
      <c r="G779" s="2" t="n"/>
      <c r="H779" s="2" t="n"/>
    </row>
    <row r="780">
      <c r="A780" s="6" t="n"/>
      <c r="B780" s="6" t="n"/>
      <c r="C780" s="6" t="n"/>
      <c r="D780" s="14" t="n"/>
      <c r="E780" s="15" t="n"/>
      <c r="F780" s="6" t="n"/>
      <c r="G780" s="6" t="n"/>
      <c r="H780" s="6" t="n"/>
    </row>
    <row r="781">
      <c r="A781" s="2" t="n"/>
      <c r="B781" s="2" t="n"/>
      <c r="C781" s="2" t="n"/>
      <c r="D781" s="12" t="n"/>
      <c r="E781" s="13" t="n"/>
      <c r="F781" s="2" t="n"/>
      <c r="G781" s="2" t="n"/>
      <c r="H781" s="2" t="n"/>
    </row>
    <row r="782">
      <c r="A782" s="6" t="n"/>
      <c r="B782" s="6" t="n"/>
      <c r="C782" s="6" t="n"/>
      <c r="D782" s="14" t="n"/>
      <c r="E782" s="15" t="n"/>
      <c r="F782" s="6" t="n"/>
      <c r="G782" s="6" t="n"/>
      <c r="H782" s="6" t="n"/>
    </row>
    <row r="783">
      <c r="A783" s="2" t="n"/>
      <c r="B783" s="2" t="n"/>
      <c r="C783" s="2" t="n"/>
      <c r="D783" s="12" t="n"/>
      <c r="E783" s="13" t="n"/>
      <c r="F783" s="2" t="n"/>
      <c r="G783" s="2" t="n"/>
      <c r="H783" s="2" t="n"/>
    </row>
    <row r="784">
      <c r="A784" s="6" t="n"/>
      <c r="B784" s="6" t="n"/>
      <c r="C784" s="6" t="n"/>
      <c r="D784" s="14" t="n"/>
      <c r="E784" s="15" t="n"/>
      <c r="F784" s="6" t="n"/>
      <c r="G784" s="6" t="n"/>
      <c r="H784" s="6" t="n"/>
    </row>
    <row r="785">
      <c r="A785" s="2" t="n"/>
      <c r="B785" s="2" t="n"/>
      <c r="C785" s="2" t="n"/>
      <c r="D785" s="12" t="n"/>
      <c r="E785" s="13" t="n"/>
      <c r="F785" s="2" t="n"/>
      <c r="G785" s="2" t="n"/>
      <c r="H785" s="2" t="n"/>
    </row>
    <row r="786">
      <c r="A786" s="6" t="n"/>
      <c r="B786" s="6" t="n"/>
      <c r="C786" s="6" t="n"/>
      <c r="D786" s="14" t="n"/>
      <c r="E786" s="15" t="n"/>
      <c r="F786" s="6" t="n"/>
      <c r="G786" s="6" t="n"/>
      <c r="H786" s="6" t="n"/>
    </row>
    <row r="787">
      <c r="A787" s="2" t="n"/>
      <c r="B787" s="2" t="n"/>
      <c r="C787" s="2" t="n"/>
      <c r="D787" s="12" t="n"/>
      <c r="E787" s="13" t="n"/>
      <c r="F787" s="2" t="n"/>
      <c r="G787" s="2" t="n"/>
      <c r="H787" s="2" t="n"/>
    </row>
    <row r="788">
      <c r="A788" s="6" t="n"/>
      <c r="B788" s="6" t="n"/>
      <c r="C788" s="6" t="n"/>
      <c r="D788" s="14" t="n"/>
      <c r="E788" s="15" t="n"/>
      <c r="F788" s="6" t="n"/>
      <c r="G788" s="6" t="n"/>
      <c r="H788" s="6" t="n"/>
    </row>
    <row r="789">
      <c r="A789" s="2" t="n"/>
      <c r="B789" s="2" t="n"/>
      <c r="C789" s="2" t="n"/>
      <c r="D789" s="12" t="n"/>
      <c r="E789" s="13" t="n"/>
      <c r="F789" s="2" t="n"/>
      <c r="G789" s="2" t="n"/>
      <c r="H789" s="2" t="n"/>
    </row>
    <row r="790">
      <c r="A790" s="6" t="n"/>
      <c r="B790" s="6" t="n"/>
      <c r="C790" s="6" t="n"/>
      <c r="D790" s="14" t="n"/>
      <c r="E790" s="15" t="n"/>
      <c r="F790" s="6" t="n"/>
      <c r="G790" s="6" t="n"/>
      <c r="H790" s="6" t="n"/>
    </row>
    <row r="791">
      <c r="A791" s="2" t="n"/>
      <c r="B791" s="2" t="n"/>
      <c r="C791" s="2" t="n"/>
      <c r="D791" s="12" t="n"/>
      <c r="E791" s="13" t="n"/>
      <c r="F791" s="2" t="n"/>
      <c r="G791" s="2" t="n"/>
      <c r="H791" s="2" t="n"/>
    </row>
    <row r="792">
      <c r="A792" s="6" t="n"/>
      <c r="B792" s="6" t="n"/>
      <c r="C792" s="6" t="n"/>
      <c r="D792" s="14" t="n"/>
      <c r="E792" s="15" t="n"/>
      <c r="F792" s="6" t="n"/>
      <c r="G792" s="6" t="n"/>
      <c r="H792" s="6" t="n"/>
    </row>
    <row r="793">
      <c r="A793" s="2" t="n"/>
      <c r="B793" s="2" t="n"/>
      <c r="C793" s="2" t="n"/>
      <c r="D793" s="12" t="n"/>
      <c r="E793" s="13" t="n"/>
      <c r="F793" s="2" t="n"/>
      <c r="G793" s="2" t="n"/>
      <c r="H793" s="2" t="n"/>
    </row>
    <row r="794">
      <c r="A794" s="6" t="n"/>
      <c r="B794" s="6" t="n"/>
      <c r="C794" s="6" t="n"/>
      <c r="D794" s="14" t="n"/>
      <c r="E794" s="15" t="n"/>
      <c r="F794" s="6" t="n"/>
      <c r="G794" s="6" t="n"/>
      <c r="H794" s="6" t="n"/>
    </row>
    <row r="795">
      <c r="A795" s="2" t="n"/>
      <c r="B795" s="2" t="n"/>
      <c r="C795" s="2" t="n"/>
      <c r="D795" s="12" t="n"/>
      <c r="E795" s="13" t="n"/>
      <c r="F795" s="2" t="n"/>
      <c r="G795" s="2" t="n"/>
      <c r="H795" s="2" t="n"/>
    </row>
    <row r="796">
      <c r="A796" s="6" t="n"/>
      <c r="B796" s="6" t="n"/>
      <c r="C796" s="6" t="n"/>
      <c r="D796" s="14" t="n"/>
      <c r="E796" s="15" t="n"/>
      <c r="F796" s="6" t="n"/>
      <c r="G796" s="6" t="n"/>
      <c r="H796" s="6" t="n"/>
    </row>
    <row r="797">
      <c r="A797" s="2" t="n"/>
      <c r="B797" s="2" t="n"/>
      <c r="C797" s="2" t="n"/>
      <c r="D797" s="12" t="n"/>
      <c r="E797" s="13" t="n"/>
      <c r="F797" s="2" t="n"/>
      <c r="G797" s="2" t="n"/>
      <c r="H797" s="2" t="n"/>
    </row>
    <row r="798">
      <c r="A798" s="6" t="n"/>
      <c r="B798" s="6" t="n"/>
      <c r="C798" s="6" t="n"/>
      <c r="D798" s="14" t="n"/>
      <c r="E798" s="15" t="n"/>
      <c r="F798" s="6" t="n"/>
      <c r="G798" s="6" t="n"/>
      <c r="H798" s="6" t="n"/>
    </row>
    <row r="799">
      <c r="A799" s="2" t="n"/>
      <c r="B799" s="2" t="n"/>
      <c r="C799" s="2" t="n"/>
      <c r="D799" s="12" t="n"/>
      <c r="E799" s="13" t="n"/>
      <c r="F799" s="2" t="n"/>
      <c r="G799" s="2" t="n"/>
      <c r="H799" s="2" t="n"/>
    </row>
    <row r="800">
      <c r="A800" s="6" t="n"/>
      <c r="B800" s="6" t="n"/>
      <c r="C800" s="6" t="n"/>
      <c r="D800" s="14" t="n"/>
      <c r="E800" s="15" t="n"/>
      <c r="F800" s="6" t="n"/>
      <c r="G800" s="6" t="n"/>
      <c r="H800" s="6" t="n"/>
    </row>
    <row r="801">
      <c r="A801" s="2" t="n"/>
      <c r="B801" s="2" t="n"/>
      <c r="C801" s="2" t="n"/>
      <c r="D801" s="12" t="n"/>
      <c r="E801" s="13" t="n"/>
      <c r="F801" s="2" t="n"/>
      <c r="G801" s="2" t="n"/>
      <c r="H801" s="2" t="n"/>
    </row>
    <row r="802">
      <c r="A802" s="6" t="n"/>
      <c r="B802" s="6" t="n"/>
      <c r="C802" s="6" t="n"/>
      <c r="D802" s="14" t="n"/>
      <c r="E802" s="15" t="n"/>
      <c r="F802" s="6" t="n"/>
      <c r="G802" s="6" t="n"/>
      <c r="H802" s="6" t="n"/>
    </row>
    <row r="803">
      <c r="A803" s="2" t="n"/>
      <c r="B803" s="2" t="n"/>
      <c r="C803" s="2" t="n"/>
      <c r="D803" s="12" t="n"/>
      <c r="E803" s="13" t="n"/>
      <c r="F803" s="2" t="n"/>
      <c r="G803" s="2" t="n"/>
      <c r="H803" s="2" t="n"/>
    </row>
    <row r="804">
      <c r="A804" s="6" t="n"/>
      <c r="B804" s="6" t="n"/>
      <c r="C804" s="6" t="n"/>
      <c r="D804" s="14" t="n"/>
      <c r="E804" s="15" t="n"/>
      <c r="F804" s="6" t="n"/>
      <c r="G804" s="6" t="n"/>
      <c r="H804" s="6" t="n"/>
    </row>
    <row r="805">
      <c r="A805" s="2" t="n"/>
      <c r="B805" s="2" t="n"/>
      <c r="C805" s="2" t="n"/>
      <c r="D805" s="12" t="n"/>
      <c r="E805" s="13" t="n"/>
      <c r="F805" s="2" t="n"/>
      <c r="G805" s="2" t="n"/>
      <c r="H805" s="2" t="n"/>
    </row>
    <row r="806">
      <c r="A806" s="6" t="n"/>
      <c r="B806" s="6" t="n"/>
      <c r="C806" s="6" t="n"/>
      <c r="D806" s="14" t="n"/>
      <c r="E806" s="15" t="n"/>
      <c r="F806" s="6" t="n"/>
      <c r="G806" s="6" t="n"/>
      <c r="H806" s="6" t="n"/>
    </row>
    <row r="807">
      <c r="A807" s="2" t="n"/>
      <c r="B807" s="2" t="n"/>
      <c r="C807" s="2" t="n"/>
      <c r="D807" s="12" t="n"/>
      <c r="E807" s="13" t="n"/>
      <c r="F807" s="2" t="n"/>
      <c r="G807" s="2" t="n"/>
      <c r="H807" s="2" t="n"/>
    </row>
    <row r="808">
      <c r="A808" s="6" t="n"/>
      <c r="B808" s="6" t="n"/>
      <c r="C808" s="6" t="n"/>
      <c r="D808" s="14" t="n"/>
      <c r="E808" s="15" t="n"/>
      <c r="F808" s="6" t="n"/>
      <c r="G808" s="6" t="n"/>
      <c r="H808" s="6" t="n"/>
    </row>
    <row r="809">
      <c r="A809" s="2" t="n"/>
      <c r="B809" s="2" t="n"/>
      <c r="C809" s="2" t="n"/>
      <c r="D809" s="12" t="n"/>
      <c r="E809" s="13" t="n"/>
      <c r="F809" s="2" t="n"/>
      <c r="G809" s="2" t="n"/>
      <c r="H809" s="2" t="n"/>
    </row>
    <row r="810">
      <c r="A810" s="6" t="n"/>
      <c r="B810" s="6" t="n"/>
      <c r="C810" s="6" t="n"/>
      <c r="D810" s="14" t="n"/>
      <c r="E810" s="15" t="n"/>
      <c r="F810" s="6" t="n"/>
      <c r="G810" s="6" t="n"/>
      <c r="H810" s="6" t="n"/>
    </row>
    <row r="811">
      <c r="A811" s="2" t="n"/>
      <c r="B811" s="2" t="n"/>
      <c r="C811" s="2" t="n"/>
      <c r="D811" s="12" t="n"/>
      <c r="E811" s="13" t="n"/>
      <c r="F811" s="2" t="n"/>
      <c r="G811" s="2" t="n"/>
      <c r="H811" s="2" t="n"/>
    </row>
    <row r="812">
      <c r="A812" s="6" t="n"/>
      <c r="B812" s="6" t="n"/>
      <c r="C812" s="6" t="n"/>
      <c r="D812" s="14" t="n"/>
      <c r="E812" s="15" t="n"/>
      <c r="F812" s="6" t="n"/>
      <c r="G812" s="6" t="n"/>
      <c r="H812" s="6" t="n"/>
    </row>
    <row r="813">
      <c r="A813" s="2" t="n"/>
      <c r="B813" s="2" t="n"/>
      <c r="C813" s="2" t="n"/>
      <c r="D813" s="12" t="n"/>
      <c r="E813" s="13" t="n"/>
      <c r="F813" s="2" t="n"/>
      <c r="G813" s="2" t="n"/>
      <c r="H813" s="2" t="n"/>
    </row>
    <row r="814">
      <c r="A814" s="6" t="n"/>
      <c r="B814" s="6" t="n"/>
      <c r="C814" s="6" t="n"/>
      <c r="D814" s="14" t="n"/>
      <c r="E814" s="15" t="n"/>
      <c r="F814" s="6" t="n"/>
      <c r="G814" s="6" t="n"/>
      <c r="H814" s="6" t="n"/>
    </row>
    <row r="815">
      <c r="A815" s="2" t="n"/>
      <c r="B815" s="2" t="n"/>
      <c r="C815" s="2" t="n"/>
      <c r="D815" s="12" t="n"/>
      <c r="E815" s="13" t="n"/>
      <c r="F815" s="2" t="n"/>
      <c r="G815" s="2" t="n"/>
      <c r="H815" s="2" t="n"/>
    </row>
    <row r="816">
      <c r="A816" s="6" t="n"/>
      <c r="B816" s="6" t="n"/>
      <c r="C816" s="6" t="n"/>
      <c r="D816" s="14" t="n"/>
      <c r="E816" s="15" t="n"/>
      <c r="F816" s="6" t="n"/>
      <c r="G816" s="6" t="n"/>
      <c r="H816" s="6" t="n"/>
    </row>
    <row r="817">
      <c r="A817" s="2" t="n"/>
      <c r="B817" s="2" t="n"/>
      <c r="C817" s="2" t="n"/>
      <c r="D817" s="12" t="n"/>
      <c r="E817" s="13" t="n"/>
      <c r="F817" s="2" t="n"/>
      <c r="G817" s="2" t="n"/>
      <c r="H817" s="2" t="n"/>
    </row>
    <row r="818">
      <c r="A818" s="6" t="n"/>
      <c r="B818" s="6" t="n"/>
      <c r="C818" s="6" t="n"/>
      <c r="D818" s="14" t="n"/>
      <c r="E818" s="15" t="n"/>
      <c r="F818" s="6" t="n"/>
      <c r="G818" s="6" t="n"/>
      <c r="H818" s="6" t="n"/>
    </row>
    <row r="819">
      <c r="A819" s="2" t="n"/>
      <c r="B819" s="2" t="n"/>
      <c r="C819" s="2" t="n"/>
      <c r="D819" s="12" t="n"/>
      <c r="E819" s="13" t="n"/>
      <c r="F819" s="2" t="n"/>
      <c r="G819" s="2" t="n"/>
      <c r="H819" s="2" t="n"/>
    </row>
    <row r="820">
      <c r="A820" s="6" t="n"/>
      <c r="B820" s="6" t="n"/>
      <c r="C820" s="6" t="n"/>
      <c r="D820" s="14" t="n"/>
      <c r="E820" s="15" t="n"/>
      <c r="F820" s="6" t="n"/>
      <c r="G820" s="6" t="n"/>
      <c r="H820" s="6" t="n"/>
    </row>
    <row r="821">
      <c r="A821" s="2" t="n"/>
      <c r="B821" s="2" t="n"/>
      <c r="C821" s="2" t="n"/>
      <c r="D821" s="12" t="n"/>
      <c r="E821" s="13" t="n"/>
      <c r="F821" s="2" t="n"/>
      <c r="G821" s="2" t="n"/>
      <c r="H821" s="2" t="n"/>
    </row>
    <row r="822">
      <c r="A822" s="6" t="n"/>
      <c r="B822" s="6" t="n"/>
      <c r="C822" s="6" t="n"/>
      <c r="D822" s="14" t="n"/>
      <c r="E822" s="15" t="n"/>
      <c r="F822" s="6" t="n"/>
      <c r="G822" s="6" t="n"/>
      <c r="H822" s="6" t="n"/>
    </row>
    <row r="823">
      <c r="A823" s="2" t="n"/>
      <c r="B823" s="2" t="n"/>
      <c r="C823" s="2" t="n"/>
      <c r="D823" s="12" t="n"/>
      <c r="E823" s="13" t="n"/>
      <c r="F823" s="2" t="n"/>
      <c r="G823" s="2" t="n"/>
      <c r="H823" s="2" t="n"/>
    </row>
    <row r="824">
      <c r="A824" s="6" t="n"/>
      <c r="B824" s="6" t="n"/>
      <c r="C824" s="6" t="n"/>
      <c r="D824" s="14" t="n"/>
      <c r="E824" s="15" t="n"/>
      <c r="F824" s="6" t="n"/>
      <c r="G824" s="6" t="n"/>
      <c r="H824" s="6" t="n"/>
    </row>
    <row r="825">
      <c r="A825" s="2" t="n"/>
      <c r="B825" s="2" t="n"/>
      <c r="C825" s="2" t="n"/>
      <c r="D825" s="12" t="n"/>
      <c r="E825" s="13" t="n"/>
      <c r="F825" s="2" t="n"/>
      <c r="G825" s="2" t="n"/>
      <c r="H825" s="2" t="n"/>
    </row>
    <row r="826">
      <c r="A826" s="6" t="n"/>
      <c r="B826" s="6" t="n"/>
      <c r="C826" s="6" t="n"/>
      <c r="D826" s="14" t="n"/>
      <c r="E826" s="15" t="n"/>
      <c r="F826" s="6" t="n"/>
      <c r="G826" s="6" t="n"/>
      <c r="H826" s="6" t="n"/>
    </row>
    <row r="827">
      <c r="A827" s="2" t="n"/>
      <c r="B827" s="2" t="n"/>
      <c r="C827" s="2" t="n"/>
      <c r="D827" s="12" t="n"/>
      <c r="E827" s="13" t="n"/>
      <c r="F827" s="2" t="n"/>
      <c r="G827" s="2" t="n"/>
      <c r="H827" s="2" t="n"/>
    </row>
    <row r="828">
      <c r="A828" s="6" t="n"/>
      <c r="B828" s="6" t="n"/>
      <c r="C828" s="6" t="n"/>
      <c r="D828" s="14" t="n"/>
      <c r="E828" s="15" t="n"/>
      <c r="F828" s="6" t="n"/>
      <c r="G828" s="6" t="n"/>
      <c r="H828" s="6" t="n"/>
    </row>
    <row r="829">
      <c r="A829" s="2" t="n"/>
      <c r="B829" s="2" t="n"/>
      <c r="C829" s="2" t="n"/>
      <c r="D829" s="12" t="n"/>
      <c r="E829" s="13" t="n"/>
      <c r="F829" s="2" t="n"/>
      <c r="G829" s="2" t="n"/>
      <c r="H829" s="2" t="n"/>
    </row>
    <row r="830">
      <c r="A830" s="6" t="n"/>
      <c r="B830" s="6" t="n"/>
      <c r="C830" s="6" t="n"/>
      <c r="D830" s="14" t="n"/>
      <c r="E830" s="15" t="n"/>
      <c r="F830" s="6" t="n"/>
      <c r="G830" s="6" t="n"/>
      <c r="H830" s="6" t="n"/>
    </row>
    <row r="831">
      <c r="A831" s="2" t="n"/>
      <c r="B831" s="2" t="n"/>
      <c r="C831" s="2" t="n"/>
      <c r="D831" s="12" t="n"/>
      <c r="E831" s="13" t="n"/>
      <c r="F831" s="2" t="n"/>
      <c r="G831" s="2" t="n"/>
      <c r="H831" s="2" t="n"/>
    </row>
    <row r="832">
      <c r="A832" s="6" t="n"/>
      <c r="B832" s="6" t="n"/>
      <c r="C832" s="6" t="n"/>
      <c r="D832" s="14" t="n"/>
      <c r="E832" s="15" t="n"/>
      <c r="F832" s="6" t="n"/>
      <c r="G832" s="6" t="n"/>
      <c r="H832" s="6" t="n"/>
    </row>
    <row r="833">
      <c r="A833" s="2" t="n"/>
      <c r="B833" s="2" t="n"/>
      <c r="C833" s="2" t="n"/>
      <c r="D833" s="12" t="n"/>
      <c r="E833" s="13" t="n"/>
      <c r="F833" s="2" t="n"/>
      <c r="G833" s="2" t="n"/>
      <c r="H833" s="2" t="n"/>
    </row>
    <row r="834">
      <c r="A834" s="6" t="n"/>
      <c r="B834" s="6" t="n"/>
      <c r="C834" s="6" t="n"/>
      <c r="D834" s="14" t="n"/>
      <c r="E834" s="15" t="n"/>
      <c r="F834" s="6" t="n"/>
      <c r="G834" s="6" t="n"/>
      <c r="H834" s="6" t="n"/>
    </row>
    <row r="835">
      <c r="A835" s="2" t="n"/>
      <c r="B835" s="2" t="n"/>
      <c r="C835" s="2" t="n"/>
      <c r="D835" s="12" t="n"/>
      <c r="E835" s="13" t="n"/>
      <c r="F835" s="2" t="n"/>
      <c r="G835" s="2" t="n"/>
      <c r="H835" s="2" t="n"/>
    </row>
    <row r="836">
      <c r="A836" s="6" t="n"/>
      <c r="B836" s="6" t="n"/>
      <c r="C836" s="6" t="n"/>
      <c r="D836" s="14" t="n"/>
      <c r="E836" s="15" t="n"/>
      <c r="F836" s="6" t="n"/>
      <c r="G836" s="6" t="n"/>
      <c r="H836" s="6" t="n"/>
    </row>
    <row r="837">
      <c r="A837" s="2" t="n"/>
      <c r="B837" s="2" t="n"/>
      <c r="C837" s="2" t="n"/>
      <c r="D837" s="12" t="n"/>
      <c r="E837" s="13" t="n"/>
      <c r="F837" s="2" t="n"/>
      <c r="G837" s="2" t="n"/>
      <c r="H837" s="2" t="n"/>
    </row>
    <row r="838">
      <c r="A838" s="6" t="n"/>
      <c r="B838" s="6" t="n"/>
      <c r="C838" s="6" t="n"/>
      <c r="D838" s="14" t="n"/>
      <c r="E838" s="15" t="n"/>
      <c r="F838" s="6" t="n"/>
      <c r="G838" s="6" t="n"/>
      <c r="H838" s="6" t="n"/>
    </row>
    <row r="839">
      <c r="A839" s="2" t="n"/>
      <c r="B839" s="2" t="n"/>
      <c r="C839" s="2" t="n"/>
      <c r="D839" s="12" t="n"/>
      <c r="E839" s="13" t="n"/>
      <c r="F839" s="2" t="n"/>
      <c r="G839" s="2" t="n"/>
      <c r="H839" s="2" t="n"/>
    </row>
    <row r="840">
      <c r="A840" s="6" t="n"/>
      <c r="B840" s="6" t="n"/>
      <c r="C840" s="6" t="n"/>
      <c r="D840" s="14" t="n"/>
      <c r="E840" s="15" t="n"/>
      <c r="F840" s="6" t="n"/>
      <c r="G840" s="6" t="n"/>
      <c r="H840" s="6" t="n"/>
    </row>
    <row r="841">
      <c r="A841" s="2" t="n"/>
      <c r="B841" s="2" t="n"/>
      <c r="C841" s="2" t="n"/>
      <c r="D841" s="12" t="n"/>
      <c r="E841" s="13" t="n"/>
      <c r="F841" s="2" t="n"/>
      <c r="G841" s="2" t="n"/>
      <c r="H841" s="2" t="n"/>
    </row>
    <row r="842">
      <c r="A842" s="6" t="n"/>
      <c r="B842" s="6" t="n"/>
      <c r="C842" s="6" t="n"/>
      <c r="D842" s="14" t="n"/>
      <c r="E842" s="15" t="n"/>
      <c r="F842" s="6" t="n"/>
      <c r="G842" s="6" t="n"/>
      <c r="H842" s="6" t="n"/>
    </row>
    <row r="843">
      <c r="A843" s="2" t="n"/>
      <c r="B843" s="2" t="n"/>
      <c r="C843" s="2" t="n"/>
      <c r="D843" s="12" t="n"/>
      <c r="E843" s="13" t="n"/>
      <c r="F843" s="2" t="n"/>
      <c r="G843" s="2" t="n"/>
      <c r="H843" s="2" t="n"/>
    </row>
    <row r="844">
      <c r="A844" s="6" t="n"/>
      <c r="B844" s="6" t="n"/>
      <c r="C844" s="6" t="n"/>
      <c r="D844" s="14" t="n"/>
      <c r="E844" s="15" t="n"/>
      <c r="F844" s="6" t="n"/>
      <c r="G844" s="6" t="n"/>
      <c r="H844" s="6" t="n"/>
    </row>
    <row r="845">
      <c r="A845" s="2" t="n"/>
      <c r="B845" s="2" t="n"/>
      <c r="C845" s="2" t="n"/>
      <c r="D845" s="12" t="n"/>
      <c r="E845" s="13" t="n"/>
      <c r="F845" s="2" t="n"/>
      <c r="G845" s="2" t="n"/>
      <c r="H845" s="2" t="n"/>
    </row>
    <row r="846">
      <c r="A846" s="6" t="n"/>
      <c r="B846" s="6" t="n"/>
      <c r="C846" s="6" t="n"/>
      <c r="D846" s="14" t="n"/>
      <c r="E846" s="15" t="n"/>
      <c r="F846" s="6" t="n"/>
      <c r="G846" s="6" t="n"/>
      <c r="H846" s="6" t="n"/>
    </row>
    <row r="847">
      <c r="A847" s="2" t="n"/>
      <c r="B847" s="2" t="n"/>
      <c r="C847" s="2" t="n"/>
      <c r="D847" s="12" t="n"/>
      <c r="E847" s="13" t="n"/>
      <c r="F847" s="2" t="n"/>
      <c r="G847" s="2" t="n"/>
      <c r="H847" s="2" t="n"/>
    </row>
    <row r="848">
      <c r="A848" s="6" t="n"/>
      <c r="B848" s="6" t="n"/>
      <c r="C848" s="6" t="n"/>
      <c r="D848" s="14" t="n"/>
      <c r="E848" s="15" t="n"/>
      <c r="F848" s="6" t="n"/>
      <c r="G848" s="6" t="n"/>
      <c r="H848" s="6" t="n"/>
    </row>
    <row r="849">
      <c r="A849" s="2" t="n"/>
      <c r="B849" s="2" t="n"/>
      <c r="C849" s="2" t="n"/>
      <c r="D849" s="12" t="n"/>
      <c r="E849" s="13" t="n"/>
      <c r="F849" s="2" t="n"/>
      <c r="G849" s="2" t="n"/>
      <c r="H849" s="2" t="n"/>
    </row>
    <row r="850">
      <c r="A850" s="6" t="n"/>
      <c r="B850" s="6" t="n"/>
      <c r="C850" s="6" t="n"/>
      <c r="D850" s="14" t="n"/>
      <c r="E850" s="15" t="n"/>
      <c r="F850" s="6" t="n"/>
      <c r="G850" s="6" t="n"/>
      <c r="H850" s="6" t="n"/>
    </row>
    <row r="851">
      <c r="A851" s="2" t="n"/>
      <c r="B851" s="2" t="n"/>
      <c r="C851" s="2" t="n"/>
      <c r="D851" s="12" t="n"/>
      <c r="E851" s="13" t="n"/>
      <c r="F851" s="2" t="n"/>
      <c r="G851" s="2" t="n"/>
      <c r="H851" s="2" t="n"/>
    </row>
    <row r="852">
      <c r="A852" s="6" t="n"/>
      <c r="B852" s="6" t="n"/>
      <c r="C852" s="6" t="n"/>
      <c r="D852" s="14" t="n"/>
      <c r="E852" s="15" t="n"/>
      <c r="F852" s="6" t="n"/>
      <c r="G852" s="6" t="n"/>
      <c r="H852" s="6" t="n"/>
    </row>
    <row r="853">
      <c r="A853" s="2" t="n"/>
      <c r="B853" s="2" t="n"/>
      <c r="C853" s="2" t="n"/>
      <c r="D853" s="12" t="n"/>
      <c r="E853" s="13" t="n"/>
      <c r="F853" s="2" t="n"/>
      <c r="G853" s="2" t="n"/>
      <c r="H853" s="2" t="n"/>
    </row>
    <row r="854">
      <c r="A854" s="6" t="n"/>
      <c r="B854" s="6" t="n"/>
      <c r="C854" s="6" t="n"/>
      <c r="D854" s="14" t="n"/>
      <c r="E854" s="15" t="n"/>
      <c r="F854" s="6" t="n"/>
      <c r="G854" s="6" t="n"/>
      <c r="H854" s="6" t="n"/>
    </row>
    <row r="855">
      <c r="A855" s="2" t="n"/>
      <c r="B855" s="2" t="n"/>
      <c r="C855" s="2" t="n"/>
      <c r="D855" s="12" t="n"/>
      <c r="E855" s="13" t="n"/>
      <c r="F855" s="2" t="n"/>
      <c r="G855" s="2" t="n"/>
      <c r="H855" s="2" t="n"/>
    </row>
    <row r="856">
      <c r="A856" s="6" t="n"/>
      <c r="B856" s="6" t="n"/>
      <c r="C856" s="6" t="n"/>
      <c r="D856" s="14" t="n"/>
      <c r="E856" s="15" t="n"/>
      <c r="F856" s="6" t="n"/>
      <c r="G856" s="6" t="n"/>
      <c r="H856" s="6" t="n"/>
    </row>
    <row r="857">
      <c r="A857" s="2" t="n"/>
      <c r="B857" s="2" t="n"/>
      <c r="C857" s="2" t="n"/>
      <c r="D857" s="12" t="n"/>
      <c r="E857" s="13" t="n"/>
      <c r="F857" s="2" t="n"/>
      <c r="G857" s="2" t="n"/>
      <c r="H857" s="2" t="n"/>
    </row>
    <row r="858">
      <c r="A858" s="6" t="n"/>
      <c r="B858" s="6" t="n"/>
      <c r="C858" s="6" t="n"/>
      <c r="D858" s="14" t="n"/>
      <c r="E858" s="15" t="n"/>
      <c r="F858" s="6" t="n"/>
      <c r="G858" s="6" t="n"/>
      <c r="H858" s="6" t="n"/>
    </row>
    <row r="859">
      <c r="A859" s="2" t="n"/>
      <c r="B859" s="2" t="n"/>
      <c r="C859" s="2" t="n"/>
      <c r="D859" s="12" t="n"/>
      <c r="E859" s="13" t="n"/>
      <c r="F859" s="2" t="n"/>
      <c r="G859" s="2" t="n"/>
      <c r="H859" s="2" t="n"/>
    </row>
    <row r="860">
      <c r="A860" s="6" t="n"/>
      <c r="B860" s="6" t="n"/>
      <c r="C860" s="6" t="n"/>
      <c r="D860" s="14" t="n"/>
      <c r="E860" s="15" t="n"/>
      <c r="F860" s="6" t="n"/>
      <c r="G860" s="6" t="n"/>
      <c r="H860" s="6" t="n"/>
    </row>
    <row r="861">
      <c r="A861" s="2" t="n"/>
      <c r="B861" s="2" t="n"/>
      <c r="C861" s="2" t="n"/>
      <c r="D861" s="12" t="n"/>
      <c r="E861" s="13" t="n"/>
      <c r="F861" s="2" t="n"/>
      <c r="G861" s="2" t="n"/>
      <c r="H861" s="2" t="n"/>
    </row>
    <row r="862">
      <c r="A862" s="6" t="n"/>
      <c r="B862" s="6" t="n"/>
      <c r="C862" s="6" t="n"/>
      <c r="D862" s="14" t="n"/>
      <c r="E862" s="15" t="n"/>
      <c r="F862" s="6" t="n"/>
      <c r="G862" s="6" t="n"/>
      <c r="H862" s="6" t="n"/>
    </row>
    <row r="863">
      <c r="A863" s="2" t="n"/>
      <c r="B863" s="2" t="n"/>
      <c r="C863" s="2" t="n"/>
      <c r="D863" s="12" t="n"/>
      <c r="E863" s="13" t="n"/>
      <c r="F863" s="2" t="n"/>
      <c r="G863" s="2" t="n"/>
      <c r="H863" s="2" t="n"/>
    </row>
    <row r="864">
      <c r="A864" s="6" t="n"/>
      <c r="B864" s="6" t="n"/>
      <c r="C864" s="6" t="n"/>
      <c r="D864" s="14" t="n"/>
      <c r="E864" s="15" t="n"/>
      <c r="F864" s="6" t="n"/>
      <c r="G864" s="6" t="n"/>
      <c r="H864" s="6" t="n"/>
    </row>
    <row r="865">
      <c r="A865" s="2" t="n"/>
      <c r="B865" s="2" t="n"/>
      <c r="C865" s="2" t="n"/>
      <c r="D865" s="12" t="n"/>
      <c r="E865" s="13" t="n"/>
      <c r="F865" s="2" t="n"/>
      <c r="G865" s="2" t="n"/>
      <c r="H865" s="2" t="n"/>
    </row>
    <row r="866">
      <c r="A866" s="6" t="n"/>
      <c r="B866" s="6" t="n"/>
      <c r="C866" s="6" t="n"/>
      <c r="D866" s="14" t="n"/>
      <c r="E866" s="15" t="n"/>
      <c r="F866" s="6" t="n"/>
      <c r="G866" s="6" t="n"/>
      <c r="H866" s="6" t="n"/>
    </row>
    <row r="867">
      <c r="A867" s="2" t="n"/>
      <c r="B867" s="2" t="n"/>
      <c r="C867" s="2" t="n"/>
      <c r="D867" s="12" t="n"/>
      <c r="E867" s="13" t="n"/>
      <c r="F867" s="2" t="n"/>
      <c r="G867" s="2" t="n"/>
      <c r="H867" s="2" t="n"/>
    </row>
    <row r="868">
      <c r="A868" s="6" t="n"/>
      <c r="B868" s="6" t="n"/>
      <c r="C868" s="6" t="n"/>
      <c r="D868" s="14" t="n"/>
      <c r="E868" s="15" t="n"/>
      <c r="F868" s="6" t="n"/>
      <c r="G868" s="6" t="n"/>
      <c r="H868" s="6" t="n"/>
    </row>
    <row r="869">
      <c r="A869" s="2" t="n"/>
      <c r="B869" s="2" t="n"/>
      <c r="C869" s="2" t="n"/>
      <c r="D869" s="12" t="n"/>
      <c r="E869" s="13" t="n"/>
      <c r="F869" s="2" t="n"/>
      <c r="G869" s="2" t="n"/>
      <c r="H869" s="2" t="n"/>
    </row>
    <row r="870">
      <c r="A870" s="6" t="n"/>
      <c r="B870" s="6" t="n"/>
      <c r="C870" s="6" t="n"/>
      <c r="D870" s="14" t="n"/>
      <c r="E870" s="15" t="n"/>
      <c r="F870" s="6" t="n"/>
      <c r="G870" s="6" t="n"/>
      <c r="H870" s="6" t="n"/>
    </row>
    <row r="871">
      <c r="A871" s="2" t="n"/>
      <c r="B871" s="2" t="n"/>
      <c r="C871" s="2" t="n"/>
      <c r="D871" s="12" t="n"/>
      <c r="E871" s="13" t="n"/>
      <c r="F871" s="2" t="n"/>
      <c r="G871" s="2" t="n"/>
      <c r="H871" s="2" t="n"/>
    </row>
    <row r="872">
      <c r="A872" s="6" t="n"/>
      <c r="B872" s="6" t="n"/>
      <c r="C872" s="6" t="n"/>
      <c r="D872" s="14" t="n"/>
      <c r="E872" s="15" t="n"/>
      <c r="F872" s="6" t="n"/>
      <c r="G872" s="6" t="n"/>
      <c r="H872" s="6" t="n"/>
    </row>
    <row r="873">
      <c r="A873" s="2" t="n"/>
      <c r="B873" s="2" t="n"/>
      <c r="C873" s="2" t="n"/>
      <c r="D873" s="12" t="n"/>
      <c r="E873" s="13" t="n"/>
      <c r="F873" s="2" t="n"/>
      <c r="G873" s="2" t="n"/>
      <c r="H873" s="2" t="n"/>
    </row>
    <row r="874">
      <c r="A874" s="6" t="n"/>
      <c r="B874" s="6" t="n"/>
      <c r="C874" s="6" t="n"/>
      <c r="D874" s="14" t="n"/>
      <c r="E874" s="15" t="n"/>
      <c r="F874" s="6" t="n"/>
      <c r="G874" s="6" t="n"/>
      <c r="H874" s="6" t="n"/>
    </row>
    <row r="875">
      <c r="A875" s="2" t="n"/>
      <c r="B875" s="2" t="n"/>
      <c r="C875" s="2" t="n"/>
      <c r="D875" s="12" t="n"/>
      <c r="E875" s="13" t="n"/>
      <c r="F875" s="2" t="n"/>
      <c r="G875" s="2" t="n"/>
      <c r="H875" s="2" t="n"/>
    </row>
    <row r="876">
      <c r="A876" s="6" t="n"/>
      <c r="B876" s="6" t="n"/>
      <c r="C876" s="6" t="n"/>
      <c r="D876" s="14" t="n"/>
      <c r="E876" s="15" t="n"/>
      <c r="F876" s="6" t="n"/>
      <c r="G876" s="6" t="n"/>
      <c r="H876" s="6" t="n"/>
    </row>
    <row r="877">
      <c r="A877" s="2" t="n"/>
      <c r="B877" s="2" t="n"/>
      <c r="C877" s="2" t="n"/>
      <c r="D877" s="12" t="n"/>
      <c r="E877" s="13" t="n"/>
      <c r="F877" s="2" t="n"/>
      <c r="G877" s="2" t="n"/>
      <c r="H877" s="2" t="n"/>
    </row>
    <row r="878">
      <c r="A878" s="6" t="n"/>
      <c r="B878" s="6" t="n"/>
      <c r="C878" s="6" t="n"/>
      <c r="D878" s="14" t="n"/>
      <c r="E878" s="15" t="n"/>
      <c r="F878" s="6" t="n"/>
      <c r="G878" s="6" t="n"/>
      <c r="H878" s="6" t="n"/>
    </row>
    <row r="879">
      <c r="A879" s="2" t="n"/>
      <c r="B879" s="2" t="n"/>
      <c r="C879" s="2" t="n"/>
      <c r="D879" s="12" t="n"/>
      <c r="E879" s="13" t="n"/>
      <c r="F879" s="2" t="n"/>
      <c r="G879" s="2" t="n"/>
      <c r="H879" s="2" t="n"/>
    </row>
    <row r="880">
      <c r="A880" s="6" t="n"/>
      <c r="B880" s="6" t="n"/>
      <c r="C880" s="6" t="n"/>
      <c r="D880" s="14" t="n"/>
      <c r="E880" s="15" t="n"/>
      <c r="F880" s="6" t="n"/>
      <c r="G880" s="6" t="n"/>
      <c r="H880" s="6" t="n"/>
    </row>
    <row r="881">
      <c r="A881" s="2" t="n"/>
      <c r="B881" s="2" t="n"/>
      <c r="C881" s="2" t="n"/>
      <c r="D881" s="12" t="n"/>
      <c r="E881" s="13" t="n"/>
      <c r="F881" s="2" t="n"/>
      <c r="G881" s="2" t="n"/>
      <c r="H881" s="2" t="n"/>
    </row>
    <row r="882">
      <c r="A882" s="6" t="n"/>
      <c r="B882" s="6" t="n"/>
      <c r="C882" s="6" t="n"/>
      <c r="D882" s="14" t="n"/>
      <c r="E882" s="15" t="n"/>
      <c r="F882" s="6" t="n"/>
      <c r="G882" s="6" t="n"/>
      <c r="H882" s="6" t="n"/>
    </row>
    <row r="883">
      <c r="A883" s="2" t="n"/>
      <c r="B883" s="2" t="n"/>
      <c r="C883" s="2" t="n"/>
      <c r="D883" s="12" t="n"/>
      <c r="E883" s="13" t="n"/>
      <c r="F883" s="2" t="n"/>
      <c r="G883" s="2" t="n"/>
      <c r="H883" s="2" t="n"/>
    </row>
    <row r="884">
      <c r="A884" s="6" t="n"/>
      <c r="B884" s="6" t="n"/>
      <c r="C884" s="6" t="n"/>
      <c r="D884" s="14" t="n"/>
      <c r="E884" s="15" t="n"/>
      <c r="F884" s="6" t="n"/>
      <c r="G884" s="6" t="n"/>
      <c r="H884" s="6" t="n"/>
    </row>
    <row r="885">
      <c r="A885" s="2" t="n"/>
      <c r="B885" s="2" t="n"/>
      <c r="C885" s="2" t="n"/>
      <c r="D885" s="12" t="n"/>
      <c r="E885" s="13" t="n"/>
      <c r="F885" s="2" t="n"/>
      <c r="G885" s="2" t="n"/>
      <c r="H885" s="2" t="n"/>
    </row>
    <row r="886">
      <c r="A886" s="6" t="n"/>
      <c r="B886" s="6" t="n"/>
      <c r="C886" s="6" t="n"/>
      <c r="D886" s="14" t="n"/>
      <c r="E886" s="15" t="n"/>
      <c r="F886" s="6" t="n"/>
      <c r="G886" s="6" t="n"/>
      <c r="H886" s="6" t="n"/>
    </row>
    <row r="887">
      <c r="A887" s="2" t="n"/>
      <c r="B887" s="2" t="n"/>
      <c r="C887" s="2" t="n"/>
      <c r="D887" s="12" t="n"/>
      <c r="E887" s="13" t="n"/>
      <c r="F887" s="2" t="n"/>
      <c r="G887" s="2" t="n"/>
      <c r="H887" s="2" t="n"/>
    </row>
    <row r="888">
      <c r="A888" s="6" t="n"/>
      <c r="B888" s="6" t="n"/>
      <c r="C888" s="6" t="n"/>
      <c r="D888" s="14" t="n"/>
      <c r="E888" s="15" t="n"/>
      <c r="F888" s="6" t="n"/>
      <c r="G888" s="6" t="n"/>
      <c r="H888" s="6" t="n"/>
    </row>
    <row r="889">
      <c r="A889" s="2" t="n"/>
      <c r="B889" s="2" t="n"/>
      <c r="C889" s="2" t="n"/>
      <c r="D889" s="12" t="n"/>
      <c r="E889" s="13" t="n"/>
      <c r="F889" s="2" t="n"/>
      <c r="G889" s="2" t="n"/>
      <c r="H889" s="2" t="n"/>
    </row>
    <row r="890">
      <c r="A890" s="6" t="n"/>
      <c r="B890" s="6" t="n"/>
      <c r="C890" s="6" t="n"/>
      <c r="D890" s="14" t="n"/>
      <c r="E890" s="15" t="n"/>
      <c r="F890" s="6" t="n"/>
      <c r="G890" s="6" t="n"/>
      <c r="H890" s="6" t="n"/>
    </row>
    <row r="891">
      <c r="A891" s="2" t="n"/>
      <c r="B891" s="2" t="n"/>
      <c r="C891" s="2" t="n"/>
      <c r="D891" s="12" t="n"/>
      <c r="E891" s="13" t="n"/>
      <c r="F891" s="2" t="n"/>
      <c r="G891" s="2" t="n"/>
      <c r="H891" s="2" t="n"/>
    </row>
    <row r="892">
      <c r="A892" s="6" t="n"/>
      <c r="B892" s="6" t="n"/>
      <c r="C892" s="6" t="n"/>
      <c r="D892" s="14" t="n"/>
      <c r="E892" s="15" t="n"/>
      <c r="F892" s="6" t="n"/>
      <c r="G892" s="6" t="n"/>
      <c r="H892" s="6" t="n"/>
    </row>
    <row r="893">
      <c r="A893" s="2" t="n"/>
      <c r="B893" s="2" t="n"/>
      <c r="C893" s="2" t="n"/>
      <c r="D893" s="12" t="n"/>
      <c r="E893" s="13" t="n"/>
      <c r="F893" s="2" t="n"/>
      <c r="G893" s="2" t="n"/>
      <c r="H893" s="2" t="n"/>
    </row>
    <row r="894">
      <c r="A894" s="6" t="n"/>
      <c r="B894" s="6" t="n"/>
      <c r="C894" s="6" t="n"/>
      <c r="D894" s="14" t="n"/>
      <c r="E894" s="15" t="n"/>
      <c r="F894" s="6" t="n"/>
      <c r="G894" s="6" t="n"/>
      <c r="H894" s="6" t="n"/>
    </row>
    <row r="895">
      <c r="A895" s="2" t="n"/>
      <c r="B895" s="2" t="n"/>
      <c r="C895" s="2" t="n"/>
      <c r="D895" s="12" t="n"/>
      <c r="E895" s="13" t="n"/>
      <c r="F895" s="2" t="n"/>
      <c r="G895" s="2" t="n"/>
      <c r="H895" s="2" t="n"/>
    </row>
    <row r="896">
      <c r="A896" s="6" t="n"/>
      <c r="B896" s="6" t="n"/>
      <c r="C896" s="6" t="n"/>
      <c r="D896" s="14" t="n"/>
      <c r="E896" s="15" t="n"/>
      <c r="F896" s="6" t="n"/>
      <c r="G896" s="6" t="n"/>
      <c r="H896" s="6" t="n"/>
    </row>
    <row r="897">
      <c r="A897" s="2" t="n"/>
      <c r="B897" s="2" t="n"/>
      <c r="C897" s="2" t="n"/>
      <c r="D897" s="12" t="n"/>
      <c r="E897" s="13" t="n"/>
      <c r="F897" s="2" t="n"/>
      <c r="G897" s="2" t="n"/>
      <c r="H897" s="2" t="n"/>
    </row>
    <row r="898">
      <c r="A898" s="6" t="n"/>
      <c r="B898" s="6" t="n"/>
      <c r="C898" s="6" t="n"/>
      <c r="D898" s="14" t="n"/>
      <c r="E898" s="15" t="n"/>
      <c r="F898" s="6" t="n"/>
      <c r="G898" s="6" t="n"/>
      <c r="H898" s="6" t="n"/>
    </row>
    <row r="899">
      <c r="A899" s="2" t="n"/>
      <c r="B899" s="2" t="n"/>
      <c r="C899" s="2" t="n"/>
      <c r="D899" s="12" t="n"/>
      <c r="E899" s="13" t="n"/>
      <c r="F899" s="2" t="n"/>
      <c r="G899" s="2" t="n"/>
      <c r="H899" s="2" t="n"/>
    </row>
    <row r="900">
      <c r="A900" s="6" t="n"/>
      <c r="B900" s="6" t="n"/>
      <c r="C900" s="6" t="n"/>
      <c r="D900" s="14" t="n"/>
      <c r="E900" s="15" t="n"/>
      <c r="F900" s="6" t="n"/>
      <c r="G900" s="6" t="n"/>
      <c r="H900" s="6" t="n"/>
    </row>
    <row r="901">
      <c r="A901" s="2" t="n"/>
      <c r="B901" s="2" t="n"/>
      <c r="C901" s="2" t="n"/>
      <c r="D901" s="12" t="n"/>
      <c r="E901" s="13" t="n"/>
      <c r="F901" s="2" t="n"/>
      <c r="G901" s="2" t="n"/>
      <c r="H901" s="2" t="n"/>
    </row>
    <row r="902">
      <c r="A902" s="6" t="n"/>
      <c r="B902" s="6" t="n"/>
      <c r="C902" s="6" t="n"/>
      <c r="D902" s="14" t="n"/>
      <c r="E902" s="15" t="n"/>
      <c r="F902" s="6" t="n"/>
      <c r="G902" s="6" t="n"/>
      <c r="H902" s="6" t="n"/>
    </row>
    <row r="903">
      <c r="A903" s="2" t="n"/>
      <c r="B903" s="2" t="n"/>
      <c r="C903" s="2" t="n"/>
      <c r="D903" s="12" t="n"/>
      <c r="E903" s="13" t="n"/>
      <c r="F903" s="2" t="n"/>
      <c r="G903" s="2" t="n"/>
      <c r="H903" s="2" t="n"/>
    </row>
    <row r="904">
      <c r="A904" s="6" t="n"/>
      <c r="B904" s="6" t="n"/>
      <c r="C904" s="6" t="n"/>
      <c r="D904" s="14" t="n"/>
      <c r="E904" s="15" t="n"/>
      <c r="F904" s="6" t="n"/>
      <c r="G904" s="6" t="n"/>
      <c r="H904" s="6" t="n"/>
    </row>
    <row r="905">
      <c r="A905" s="2" t="n"/>
      <c r="B905" s="2" t="n"/>
      <c r="C905" s="2" t="n"/>
      <c r="D905" s="12" t="n"/>
      <c r="E905" s="13" t="n"/>
      <c r="F905" s="2" t="n"/>
      <c r="G905" s="2" t="n"/>
      <c r="H905" s="2" t="n"/>
    </row>
    <row r="906">
      <c r="A906" s="6" t="n"/>
      <c r="B906" s="6" t="n"/>
      <c r="C906" s="6" t="n"/>
      <c r="D906" s="14" t="n"/>
      <c r="E906" s="15" t="n"/>
      <c r="F906" s="6" t="n"/>
      <c r="G906" s="6" t="n"/>
      <c r="H906" s="6" t="n"/>
    </row>
    <row r="907">
      <c r="A907" s="2" t="n"/>
      <c r="B907" s="2" t="n"/>
      <c r="C907" s="2" t="n"/>
      <c r="D907" s="12" t="n"/>
      <c r="E907" s="13" t="n"/>
      <c r="F907" s="2" t="n"/>
      <c r="G907" s="2" t="n"/>
      <c r="H907" s="2" t="n"/>
    </row>
    <row r="908">
      <c r="A908" s="6" t="n"/>
      <c r="B908" s="6" t="n"/>
      <c r="C908" s="6" t="n"/>
      <c r="D908" s="14" t="n"/>
      <c r="E908" s="15" t="n"/>
      <c r="F908" s="6" t="n"/>
      <c r="G908" s="6" t="n"/>
      <c r="H908" s="6" t="n"/>
    </row>
    <row r="909">
      <c r="A909" s="2" t="n"/>
      <c r="B909" s="2" t="n"/>
      <c r="C909" s="2" t="n"/>
      <c r="D909" s="12" t="n"/>
      <c r="E909" s="13" t="n"/>
      <c r="F909" s="2" t="n"/>
      <c r="G909" s="2" t="n"/>
      <c r="H909" s="2" t="n"/>
    </row>
    <row r="910">
      <c r="A910" s="6" t="n"/>
      <c r="B910" s="6" t="n"/>
      <c r="C910" s="6" t="n"/>
      <c r="D910" s="14" t="n"/>
      <c r="E910" s="15" t="n"/>
      <c r="F910" s="6" t="n"/>
      <c r="G910" s="6" t="n"/>
      <c r="H910" s="6" t="n"/>
    </row>
    <row r="911">
      <c r="A911" s="2" t="n"/>
      <c r="B911" s="2" t="n"/>
      <c r="C911" s="2" t="n"/>
      <c r="D911" s="12" t="n"/>
      <c r="E911" s="13" t="n"/>
      <c r="F911" s="2" t="n"/>
      <c r="G911" s="2" t="n"/>
      <c r="H911" s="2" t="n"/>
    </row>
    <row r="912">
      <c r="A912" s="6" t="n"/>
      <c r="B912" s="6" t="n"/>
      <c r="C912" s="6" t="n"/>
      <c r="D912" s="14" t="n"/>
      <c r="E912" s="15" t="n"/>
      <c r="F912" s="6" t="n"/>
      <c r="G912" s="6" t="n"/>
      <c r="H912" s="6" t="n"/>
    </row>
    <row r="913">
      <c r="A913" s="2" t="n"/>
      <c r="B913" s="2" t="n"/>
      <c r="C913" s="2" t="n"/>
      <c r="D913" s="12" t="n"/>
      <c r="E913" s="13" t="n"/>
      <c r="F913" s="2" t="n"/>
      <c r="G913" s="2" t="n"/>
      <c r="H913" s="2" t="n"/>
    </row>
    <row r="914">
      <c r="A914" s="6" t="n"/>
      <c r="B914" s="6" t="n"/>
      <c r="C914" s="6" t="n"/>
      <c r="D914" s="14" t="n"/>
      <c r="E914" s="15" t="n"/>
      <c r="F914" s="6" t="n"/>
      <c r="G914" s="6" t="n"/>
      <c r="H914" s="6" t="n"/>
    </row>
    <row r="915">
      <c r="A915" s="2" t="n"/>
      <c r="B915" s="2" t="n"/>
      <c r="C915" s="2" t="n"/>
      <c r="D915" s="12" t="n"/>
      <c r="E915" s="13" t="n"/>
      <c r="F915" s="2" t="n"/>
      <c r="G915" s="2" t="n"/>
      <c r="H915" s="2" t="n"/>
    </row>
    <row r="916">
      <c r="A916" s="6" t="n"/>
      <c r="B916" s="6" t="n"/>
      <c r="C916" s="6" t="n"/>
      <c r="D916" s="14" t="n"/>
      <c r="E916" s="15" t="n"/>
      <c r="F916" s="6" t="n"/>
      <c r="G916" s="6" t="n"/>
      <c r="H916" s="6" t="n"/>
    </row>
    <row r="917">
      <c r="A917" s="2" t="n"/>
      <c r="B917" s="2" t="n"/>
      <c r="C917" s="2" t="n"/>
      <c r="D917" s="12" t="n"/>
      <c r="E917" s="13" t="n"/>
      <c r="F917" s="2" t="n"/>
      <c r="G917" s="2" t="n"/>
      <c r="H917" s="2" t="n"/>
    </row>
    <row r="918">
      <c r="A918" s="6" t="n"/>
      <c r="B918" s="6" t="n"/>
      <c r="C918" s="6" t="n"/>
      <c r="D918" s="14" t="n"/>
      <c r="E918" s="15" t="n"/>
      <c r="F918" s="6" t="n"/>
      <c r="G918" s="6" t="n"/>
      <c r="H918" s="6" t="n"/>
    </row>
    <row r="919">
      <c r="A919" s="2" t="n"/>
      <c r="B919" s="2" t="n"/>
      <c r="C919" s="2" t="n"/>
      <c r="D919" s="12" t="n"/>
      <c r="E919" s="13" t="n"/>
      <c r="F919" s="2" t="n"/>
      <c r="G919" s="2" t="n"/>
      <c r="H919" s="2" t="n"/>
    </row>
    <row r="920">
      <c r="A920" s="6" t="n"/>
      <c r="B920" s="6" t="n"/>
      <c r="C920" s="6" t="n"/>
      <c r="D920" s="14" t="n"/>
      <c r="E920" s="15" t="n"/>
      <c r="F920" s="6" t="n"/>
      <c r="G920" s="6" t="n"/>
      <c r="H920" s="6" t="n"/>
    </row>
    <row r="921">
      <c r="A921" s="2" t="n"/>
      <c r="B921" s="2" t="n"/>
      <c r="C921" s="2" t="n"/>
      <c r="D921" s="12" t="n"/>
      <c r="E921" s="13" t="n"/>
      <c r="F921" s="2" t="n"/>
      <c r="G921" s="2" t="n"/>
      <c r="H921" s="2" t="n"/>
    </row>
    <row r="922">
      <c r="A922" s="6" t="n"/>
      <c r="B922" s="6" t="n"/>
      <c r="C922" s="6" t="n"/>
      <c r="D922" s="14" t="n"/>
      <c r="E922" s="15" t="n"/>
      <c r="F922" s="6" t="n"/>
      <c r="G922" s="6" t="n"/>
      <c r="H922" s="6" t="n"/>
    </row>
    <row r="923">
      <c r="A923" s="2" t="n"/>
      <c r="B923" s="2" t="n"/>
      <c r="C923" s="2" t="n"/>
      <c r="D923" s="12" t="n"/>
      <c r="E923" s="13" t="n"/>
      <c r="F923" s="2" t="n"/>
      <c r="G923" s="2" t="n"/>
      <c r="H923" s="2" t="n"/>
    </row>
    <row r="924">
      <c r="A924" s="6" t="n"/>
      <c r="B924" s="6" t="n"/>
      <c r="C924" s="6" t="n"/>
      <c r="D924" s="14" t="n"/>
      <c r="E924" s="15" t="n"/>
      <c r="F924" s="6" t="n"/>
      <c r="G924" s="6" t="n"/>
      <c r="H924" s="6" t="n"/>
    </row>
    <row r="925">
      <c r="A925" s="2" t="n"/>
      <c r="B925" s="2" t="n"/>
      <c r="C925" s="2" t="n"/>
      <c r="D925" s="12" t="n"/>
      <c r="E925" s="13" t="n"/>
      <c r="F925" s="2" t="n"/>
      <c r="G925" s="2" t="n"/>
      <c r="H925" s="2" t="n"/>
    </row>
    <row r="926">
      <c r="A926" s="6" t="n"/>
      <c r="B926" s="6" t="n"/>
      <c r="C926" s="6" t="n"/>
      <c r="D926" s="14" t="n"/>
      <c r="E926" s="15" t="n"/>
      <c r="F926" s="6" t="n"/>
      <c r="G926" s="6" t="n"/>
      <c r="H926" s="6" t="n"/>
    </row>
    <row r="927">
      <c r="A927" s="2" t="n"/>
      <c r="B927" s="2" t="n"/>
      <c r="C927" s="2" t="n"/>
      <c r="D927" s="12" t="n"/>
      <c r="E927" s="13" t="n"/>
      <c r="F927" s="2" t="n"/>
      <c r="G927" s="2" t="n"/>
      <c r="H927" s="2" t="n"/>
    </row>
    <row r="928">
      <c r="A928" s="6" t="n"/>
      <c r="B928" s="6" t="n"/>
      <c r="C928" s="6" t="n"/>
      <c r="D928" s="14" t="n"/>
      <c r="E928" s="15" t="n"/>
      <c r="F928" s="6" t="n"/>
      <c r="G928" s="6" t="n"/>
      <c r="H928" s="6" t="n"/>
    </row>
    <row r="929">
      <c r="A929" s="2" t="n"/>
      <c r="B929" s="2" t="n"/>
      <c r="C929" s="2" t="n"/>
      <c r="D929" s="12" t="n"/>
      <c r="E929" s="13" t="n"/>
      <c r="F929" s="2" t="n"/>
      <c r="G929" s="2" t="n"/>
      <c r="H929" s="2" t="n"/>
    </row>
    <row r="930">
      <c r="A930" s="6" t="n"/>
      <c r="B930" s="6" t="n"/>
      <c r="C930" s="6" t="n"/>
      <c r="D930" s="14" t="n"/>
      <c r="E930" s="15" t="n"/>
      <c r="F930" s="6" t="n"/>
      <c r="G930" s="6" t="n"/>
      <c r="H930" s="6" t="n"/>
    </row>
    <row r="931">
      <c r="A931" s="2" t="n"/>
      <c r="B931" s="2" t="n"/>
      <c r="C931" s="2" t="n"/>
      <c r="D931" s="12" t="n"/>
      <c r="E931" s="13" t="n"/>
      <c r="F931" s="2" t="n"/>
      <c r="G931" s="2" t="n"/>
      <c r="H931" s="2" t="n"/>
    </row>
    <row r="932">
      <c r="A932" s="6" t="n"/>
      <c r="B932" s="6" t="n"/>
      <c r="C932" s="6" t="n"/>
      <c r="D932" s="14" t="n"/>
      <c r="E932" s="15" t="n"/>
      <c r="F932" s="6" t="n"/>
      <c r="G932" s="6" t="n"/>
      <c r="H932" s="6" t="n"/>
    </row>
    <row r="933">
      <c r="A933" s="2" t="n"/>
      <c r="B933" s="2" t="n"/>
      <c r="C933" s="2" t="n"/>
      <c r="D933" s="12" t="n"/>
      <c r="E933" s="13" t="n"/>
      <c r="F933" s="2" t="n"/>
      <c r="G933" s="2" t="n"/>
      <c r="H933" s="2" t="n"/>
    </row>
    <row r="934">
      <c r="A934" s="6" t="n"/>
      <c r="B934" s="6" t="n"/>
      <c r="C934" s="6" t="n"/>
      <c r="D934" s="14" t="n"/>
      <c r="E934" s="15" t="n"/>
      <c r="F934" s="6" t="n"/>
      <c r="G934" s="6" t="n"/>
      <c r="H934" s="6" t="n"/>
    </row>
    <row r="935">
      <c r="A935" s="2" t="n"/>
      <c r="B935" s="2" t="n"/>
      <c r="C935" s="2" t="n"/>
      <c r="D935" s="12" t="n"/>
      <c r="E935" s="13" t="n"/>
      <c r="F935" s="2" t="n"/>
      <c r="G935" s="2" t="n"/>
      <c r="H935" s="2" t="n"/>
    </row>
    <row r="936">
      <c r="A936" s="6" t="n"/>
      <c r="B936" s="6" t="n"/>
      <c r="C936" s="6" t="n"/>
      <c r="D936" s="14" t="n"/>
      <c r="E936" s="15" t="n"/>
      <c r="F936" s="6" t="n"/>
      <c r="G936" s="6" t="n"/>
      <c r="H936" s="6" t="n"/>
    </row>
    <row r="937">
      <c r="A937" s="2" t="n"/>
      <c r="B937" s="2" t="n"/>
      <c r="C937" s="2" t="n"/>
      <c r="D937" s="12" t="n"/>
      <c r="E937" s="13" t="n"/>
      <c r="F937" s="2" t="n"/>
      <c r="G937" s="2" t="n"/>
      <c r="H937" s="2" t="n"/>
    </row>
    <row r="938">
      <c r="A938" s="6" t="n"/>
      <c r="B938" s="6" t="n"/>
      <c r="C938" s="6" t="n"/>
      <c r="D938" s="14" t="n"/>
      <c r="E938" s="15" t="n"/>
      <c r="F938" s="6" t="n"/>
      <c r="G938" s="6" t="n"/>
      <c r="H938" s="6" t="n"/>
    </row>
    <row r="939">
      <c r="A939" s="2" t="n"/>
      <c r="B939" s="2" t="n"/>
      <c r="C939" s="2" t="n"/>
      <c r="D939" s="12" t="n"/>
      <c r="E939" s="13" t="n"/>
      <c r="F939" s="2" t="n"/>
      <c r="G939" s="2" t="n"/>
      <c r="H939" s="2" t="n"/>
    </row>
    <row r="940">
      <c r="A940" s="6" t="n"/>
      <c r="B940" s="6" t="n"/>
      <c r="C940" s="6" t="n"/>
      <c r="D940" s="14" t="n"/>
      <c r="E940" s="15" t="n"/>
      <c r="F940" s="6" t="n"/>
      <c r="G940" s="6" t="n"/>
      <c r="H940" s="6" t="n"/>
    </row>
    <row r="941">
      <c r="A941" s="2" t="n"/>
      <c r="B941" s="2" t="n"/>
      <c r="C941" s="2" t="n"/>
      <c r="D941" s="12" t="n"/>
      <c r="E941" s="13" t="n"/>
      <c r="F941" s="2" t="n"/>
      <c r="G941" s="2" t="n"/>
      <c r="H941" s="2" t="n"/>
    </row>
    <row r="942">
      <c r="A942" s="6" t="n"/>
      <c r="B942" s="6" t="n"/>
      <c r="C942" s="6" t="n"/>
      <c r="D942" s="14" t="n"/>
      <c r="E942" s="15" t="n"/>
      <c r="F942" s="6" t="n"/>
      <c r="G942" s="6" t="n"/>
      <c r="H942" s="6" t="n"/>
    </row>
    <row r="943">
      <c r="A943" s="2" t="n"/>
      <c r="B943" s="2" t="n"/>
      <c r="C943" s="2" t="n"/>
      <c r="D943" s="12" t="n"/>
      <c r="E943" s="13" t="n"/>
      <c r="F943" s="2" t="n"/>
      <c r="G943" s="2" t="n"/>
      <c r="H943" s="2" t="n"/>
    </row>
    <row r="944">
      <c r="A944" s="6" t="n"/>
      <c r="B944" s="6" t="n"/>
      <c r="C944" s="6" t="n"/>
      <c r="D944" s="14" t="n"/>
      <c r="E944" s="15" t="n"/>
      <c r="F944" s="6" t="n"/>
      <c r="G944" s="6" t="n"/>
      <c r="H944" s="6" t="n"/>
    </row>
    <row r="945">
      <c r="A945" s="2" t="n"/>
      <c r="B945" s="2" t="n"/>
      <c r="C945" s="2" t="n"/>
      <c r="D945" s="12" t="n"/>
      <c r="E945" s="13" t="n"/>
      <c r="F945" s="2" t="n"/>
      <c r="G945" s="2" t="n"/>
      <c r="H945" s="2" t="n"/>
    </row>
    <row r="946">
      <c r="A946" s="6" t="n"/>
      <c r="B946" s="6" t="n"/>
      <c r="C946" s="6" t="n"/>
      <c r="D946" s="14" t="n"/>
      <c r="E946" s="15" t="n"/>
      <c r="F946" s="6" t="n"/>
      <c r="G946" s="6" t="n"/>
      <c r="H946" s="6" t="n"/>
    </row>
    <row r="947">
      <c r="A947" s="2" t="n"/>
      <c r="B947" s="2" t="n"/>
      <c r="C947" s="2" t="n"/>
      <c r="D947" s="12" t="n"/>
      <c r="E947" s="13" t="n"/>
      <c r="F947" s="2" t="n"/>
      <c r="G947" s="2" t="n"/>
      <c r="H947" s="2" t="n"/>
    </row>
    <row r="948">
      <c r="A948" s="6" t="n"/>
      <c r="B948" s="6" t="n"/>
      <c r="C948" s="6" t="n"/>
      <c r="D948" s="14" t="n"/>
      <c r="E948" s="15" t="n"/>
      <c r="F948" s="6" t="n"/>
      <c r="G948" s="6" t="n"/>
      <c r="H948" s="6" t="n"/>
    </row>
    <row r="949">
      <c r="A949" s="2" t="n"/>
      <c r="B949" s="2" t="n"/>
      <c r="C949" s="2" t="n"/>
      <c r="D949" s="12" t="n"/>
      <c r="E949" s="13" t="n"/>
      <c r="F949" s="2" t="n"/>
      <c r="G949" s="2" t="n"/>
      <c r="H949" s="2" t="n"/>
    </row>
    <row r="950">
      <c r="A950" s="6" t="n"/>
      <c r="B950" s="6" t="n"/>
      <c r="C950" s="6" t="n"/>
      <c r="D950" s="14" t="n"/>
      <c r="E950" s="15" t="n"/>
      <c r="F950" s="6" t="n"/>
      <c r="G950" s="6" t="n"/>
      <c r="H950" s="6" t="n"/>
    </row>
    <row r="951">
      <c r="A951" s="2" t="n"/>
      <c r="B951" s="2" t="n"/>
      <c r="C951" s="2" t="n"/>
      <c r="D951" s="12" t="n"/>
      <c r="E951" s="13" t="n"/>
      <c r="F951" s="2" t="n"/>
      <c r="G951" s="2" t="n"/>
      <c r="H951" s="2" t="n"/>
    </row>
    <row r="952">
      <c r="A952" s="6" t="n"/>
      <c r="B952" s="6" t="n"/>
      <c r="C952" s="6" t="n"/>
      <c r="D952" s="14" t="n"/>
      <c r="E952" s="15" t="n"/>
      <c r="F952" s="6" t="n"/>
      <c r="G952" s="6" t="n"/>
      <c r="H952" s="6" t="n"/>
    </row>
    <row r="953">
      <c r="A953" s="2" t="n"/>
      <c r="B953" s="2" t="n"/>
      <c r="C953" s="2" t="n"/>
      <c r="D953" s="12" t="n"/>
      <c r="E953" s="13" t="n"/>
      <c r="F953" s="2" t="n"/>
      <c r="G953" s="2" t="n"/>
      <c r="H953" s="2" t="n"/>
    </row>
    <row r="954">
      <c r="A954" s="6" t="n"/>
      <c r="B954" s="6" t="n"/>
      <c r="C954" s="6" t="n"/>
      <c r="D954" s="14" t="n"/>
      <c r="E954" s="15" t="n"/>
      <c r="F954" s="6" t="n"/>
      <c r="G954" s="6" t="n"/>
      <c r="H954" s="6" t="n"/>
    </row>
    <row r="955">
      <c r="A955" s="2" t="n"/>
      <c r="B955" s="2" t="n"/>
      <c r="C955" s="2" t="n"/>
      <c r="D955" s="12" t="n"/>
      <c r="E955" s="13" t="n"/>
      <c r="F955" s="2" t="n"/>
      <c r="G955" s="2" t="n"/>
      <c r="H955" s="2" t="n"/>
    </row>
    <row r="956">
      <c r="A956" s="6" t="n"/>
      <c r="B956" s="6" t="n"/>
      <c r="C956" s="6" t="n"/>
      <c r="D956" s="14" t="n"/>
      <c r="E956" s="15" t="n"/>
      <c r="F956" s="6" t="n"/>
      <c r="G956" s="6" t="n"/>
      <c r="H956" s="6" t="n"/>
    </row>
    <row r="957">
      <c r="A957" s="2" t="n"/>
      <c r="B957" s="2" t="n"/>
      <c r="C957" s="2" t="n"/>
      <c r="D957" s="12" t="n"/>
      <c r="E957" s="13" t="n"/>
      <c r="F957" s="2" t="n"/>
      <c r="G957" s="2" t="n"/>
      <c r="H957" s="2" t="n"/>
    </row>
    <row r="958">
      <c r="A958" s="6" t="n"/>
      <c r="B958" s="6" t="n"/>
      <c r="C958" s="6" t="n"/>
      <c r="D958" s="14" t="n"/>
      <c r="E958" s="15" t="n"/>
      <c r="F958" s="6" t="n"/>
      <c r="G958" s="6" t="n"/>
      <c r="H958" s="6" t="n"/>
    </row>
    <row r="959">
      <c r="A959" s="2" t="n"/>
      <c r="B959" s="2" t="n"/>
      <c r="C959" s="2" t="n"/>
      <c r="D959" s="12" t="n"/>
      <c r="E959" s="13" t="n"/>
      <c r="F959" s="2" t="n"/>
      <c r="G959" s="2" t="n"/>
      <c r="H959" s="2" t="n"/>
    </row>
    <row r="960">
      <c r="A960" s="6" t="n"/>
      <c r="B960" s="6" t="n"/>
      <c r="C960" s="6" t="n"/>
      <c r="D960" s="14" t="n"/>
      <c r="E960" s="15" t="n"/>
      <c r="F960" s="6" t="n"/>
      <c r="G960" s="6" t="n"/>
      <c r="H960" s="6" t="n"/>
    </row>
    <row r="961">
      <c r="A961" s="2" t="n"/>
      <c r="B961" s="2" t="n"/>
      <c r="C961" s="2" t="n"/>
      <c r="D961" s="12" t="n"/>
      <c r="E961" s="13" t="n"/>
      <c r="F961" s="2" t="n"/>
      <c r="G961" s="2" t="n"/>
      <c r="H961" s="2" t="n"/>
    </row>
    <row r="962">
      <c r="A962" s="6" t="n"/>
      <c r="B962" s="6" t="n"/>
      <c r="C962" s="6" t="n"/>
      <c r="D962" s="14" t="n"/>
      <c r="E962" s="15" t="n"/>
      <c r="F962" s="6" t="n"/>
      <c r="G962" s="6" t="n"/>
      <c r="H962" s="6" t="n"/>
    </row>
    <row r="963">
      <c r="A963" s="2" t="n"/>
      <c r="B963" s="2" t="n"/>
      <c r="C963" s="2" t="n"/>
      <c r="D963" s="12" t="n"/>
      <c r="E963" s="13" t="n"/>
      <c r="F963" s="2" t="n"/>
      <c r="G963" s="2" t="n"/>
      <c r="H963" s="2" t="n"/>
    </row>
    <row r="964">
      <c r="A964" s="6" t="n"/>
      <c r="B964" s="6" t="n"/>
      <c r="C964" s="6" t="n"/>
      <c r="D964" s="14" t="n"/>
      <c r="E964" s="15" t="n"/>
      <c r="F964" s="6" t="n"/>
      <c r="G964" s="6" t="n"/>
      <c r="H964" s="6" t="n"/>
    </row>
    <row r="965">
      <c r="A965" s="2" t="n"/>
      <c r="B965" s="2" t="n"/>
      <c r="C965" s="2" t="n"/>
      <c r="D965" s="12" t="n"/>
      <c r="E965" s="13" t="n"/>
      <c r="F965" s="2" t="n"/>
      <c r="G965" s="2" t="n"/>
      <c r="H965" s="2" t="n"/>
    </row>
    <row r="966">
      <c r="A966" s="6" t="n"/>
      <c r="B966" s="6" t="n"/>
      <c r="C966" s="6" t="n"/>
      <c r="D966" s="14" t="n"/>
      <c r="E966" s="15" t="n"/>
      <c r="F966" s="6" t="n"/>
      <c r="G966" s="6" t="n"/>
      <c r="H966" s="6" t="n"/>
    </row>
    <row r="967">
      <c r="A967" s="2" t="n"/>
      <c r="B967" s="2" t="n"/>
      <c r="C967" s="2" t="n"/>
      <c r="D967" s="12" t="n"/>
      <c r="E967" s="13" t="n"/>
      <c r="F967" s="2" t="n"/>
      <c r="G967" s="2" t="n"/>
      <c r="H967" s="2" t="n"/>
    </row>
    <row r="968">
      <c r="A968" s="6" t="n"/>
      <c r="B968" s="6" t="n"/>
      <c r="C968" s="6" t="n"/>
      <c r="D968" s="14" t="n"/>
      <c r="E968" s="15" t="n"/>
      <c r="F968" s="6" t="n"/>
      <c r="G968" s="6" t="n"/>
      <c r="H968" s="6" t="n"/>
    </row>
    <row r="969">
      <c r="A969" s="2" t="n"/>
      <c r="B969" s="2" t="n"/>
      <c r="C969" s="2" t="n"/>
      <c r="D969" s="12" t="n"/>
      <c r="E969" s="13" t="n"/>
      <c r="F969" s="2" t="n"/>
      <c r="G969" s="2" t="n"/>
      <c r="H969" s="2" t="n"/>
    </row>
    <row r="970">
      <c r="A970" s="6" t="n"/>
      <c r="B970" s="6" t="n"/>
      <c r="C970" s="6" t="n"/>
      <c r="D970" s="14" t="n"/>
      <c r="E970" s="15" t="n"/>
      <c r="F970" s="6" t="n"/>
      <c r="G970" s="6" t="n"/>
      <c r="H970" s="6" t="n"/>
    </row>
    <row r="971">
      <c r="A971" s="2" t="n"/>
      <c r="B971" s="2" t="n"/>
      <c r="C971" s="2" t="n"/>
      <c r="D971" s="12" t="n"/>
      <c r="E971" s="13" t="n"/>
      <c r="F971" s="2" t="n"/>
      <c r="G971" s="2" t="n"/>
      <c r="H971" s="2" t="n"/>
    </row>
    <row r="972">
      <c r="A972" s="6" t="n"/>
      <c r="B972" s="6" t="n"/>
      <c r="C972" s="6" t="n"/>
      <c r="D972" s="14" t="n"/>
      <c r="E972" s="15" t="n"/>
      <c r="F972" s="6" t="n"/>
      <c r="G972" s="6" t="n"/>
      <c r="H972" s="6" t="n"/>
    </row>
    <row r="973">
      <c r="A973" s="2" t="n"/>
      <c r="B973" s="2" t="n"/>
      <c r="C973" s="2" t="n"/>
      <c r="D973" s="12" t="n"/>
      <c r="E973" s="13" t="n"/>
      <c r="F973" s="2" t="n"/>
      <c r="G973" s="2" t="n"/>
      <c r="H973" s="2" t="n"/>
    </row>
    <row r="974">
      <c r="A974" s="6" t="n"/>
      <c r="B974" s="6" t="n"/>
      <c r="C974" s="6" t="n"/>
      <c r="D974" s="14" t="n"/>
      <c r="E974" s="15" t="n"/>
      <c r="F974" s="6" t="n"/>
      <c r="G974" s="6" t="n"/>
      <c r="H974" s="6" t="n"/>
    </row>
    <row r="975">
      <c r="A975" s="2" t="n"/>
      <c r="B975" s="2" t="n"/>
      <c r="C975" s="2" t="n"/>
      <c r="D975" s="12" t="n"/>
      <c r="E975" s="13" t="n"/>
      <c r="F975" s="2" t="n"/>
      <c r="G975" s="2" t="n"/>
      <c r="H975" s="2" t="n"/>
    </row>
    <row r="976">
      <c r="A976" s="6" t="n"/>
      <c r="B976" s="6" t="n"/>
      <c r="C976" s="6" t="n"/>
      <c r="D976" s="14" t="n"/>
      <c r="E976" s="15" t="n"/>
      <c r="F976" s="6" t="n"/>
      <c r="G976" s="6" t="n"/>
      <c r="H976" s="6" t="n"/>
    </row>
    <row r="977">
      <c r="A977" s="2" t="n"/>
      <c r="B977" s="2" t="n"/>
      <c r="C977" s="2" t="n"/>
      <c r="D977" s="12" t="n"/>
      <c r="E977" s="13" t="n"/>
      <c r="F977" s="2" t="n"/>
      <c r="G977" s="2" t="n"/>
      <c r="H977" s="2" t="n"/>
    </row>
    <row r="978">
      <c r="A978" s="6" t="n"/>
      <c r="B978" s="6" t="n"/>
      <c r="C978" s="6" t="n"/>
      <c r="D978" s="14" t="n"/>
      <c r="E978" s="15" t="n"/>
      <c r="F978" s="6" t="n"/>
      <c r="G978" s="6" t="n"/>
      <c r="H978" s="6" t="n"/>
    </row>
    <row r="979">
      <c r="A979" s="2" t="n"/>
      <c r="B979" s="2" t="n"/>
      <c r="C979" s="2" t="n"/>
      <c r="D979" s="12" t="n"/>
      <c r="E979" s="13" t="n"/>
      <c r="F979" s="2" t="n"/>
      <c r="G979" s="2" t="n"/>
      <c r="H979" s="2" t="n"/>
    </row>
    <row r="980">
      <c r="A980" s="6" t="n"/>
      <c r="B980" s="6" t="n"/>
      <c r="C980" s="6" t="n"/>
      <c r="D980" s="14" t="n"/>
      <c r="E980" s="15" t="n"/>
      <c r="F980" s="6" t="n"/>
      <c r="G980" s="6" t="n"/>
      <c r="H980" s="6" t="n"/>
    </row>
    <row r="981">
      <c r="A981" s="2" t="n"/>
      <c r="B981" s="2" t="n"/>
      <c r="C981" s="2" t="n"/>
      <c r="D981" s="12" t="n"/>
      <c r="E981" s="13" t="n"/>
      <c r="F981" s="2" t="n"/>
      <c r="G981" s="2" t="n"/>
      <c r="H981" s="2" t="n"/>
    </row>
    <row r="982">
      <c r="A982" s="6" t="n"/>
      <c r="B982" s="6" t="n"/>
      <c r="C982" s="6" t="n"/>
      <c r="D982" s="14" t="n"/>
      <c r="E982" s="15" t="n"/>
      <c r="F982" s="6" t="n"/>
      <c r="G982" s="6" t="n"/>
      <c r="H982" s="6" t="n"/>
    </row>
    <row r="983">
      <c r="A983" s="2" t="n"/>
      <c r="B983" s="2" t="n"/>
      <c r="C983" s="2" t="n"/>
      <c r="D983" s="12" t="n"/>
      <c r="E983" s="13" t="n"/>
      <c r="F983" s="2" t="n"/>
      <c r="G983" s="2" t="n"/>
      <c r="H983" s="2" t="n"/>
    </row>
    <row r="984">
      <c r="A984" s="6" t="n"/>
      <c r="B984" s="6" t="n"/>
      <c r="C984" s="6" t="n"/>
      <c r="D984" s="14" t="n"/>
      <c r="E984" s="15" t="n"/>
      <c r="F984" s="6" t="n"/>
      <c r="G984" s="6" t="n"/>
      <c r="H984" s="6" t="n"/>
    </row>
    <row r="985">
      <c r="A985" s="2" t="n"/>
      <c r="B985" s="2" t="n"/>
      <c r="C985" s="2" t="n"/>
      <c r="D985" s="12" t="n"/>
      <c r="E985" s="13" t="n"/>
      <c r="F985" s="2" t="n"/>
      <c r="G985" s="2" t="n"/>
      <c r="H985" s="2" t="n"/>
    </row>
    <row r="986">
      <c r="A986" s="6" t="n"/>
      <c r="B986" s="6" t="n"/>
      <c r="C986" s="6" t="n"/>
      <c r="D986" s="14" t="n"/>
      <c r="E986" s="15" t="n"/>
      <c r="F986" s="6" t="n"/>
      <c r="G986" s="6" t="n"/>
      <c r="H986" s="6" t="n"/>
    </row>
    <row r="987">
      <c r="A987" s="2" t="n"/>
      <c r="B987" s="2" t="n"/>
      <c r="C987" s="2" t="n"/>
      <c r="D987" s="12" t="n"/>
      <c r="E987" s="13" t="n"/>
      <c r="F987" s="2" t="n"/>
      <c r="G987" s="2" t="n"/>
      <c r="H987" s="2" t="n"/>
    </row>
    <row r="988">
      <c r="A988" s="6" t="n"/>
      <c r="B988" s="6" t="n"/>
      <c r="C988" s="6" t="n"/>
      <c r="D988" s="14" t="n"/>
      <c r="E988" s="15" t="n"/>
      <c r="F988" s="6" t="n"/>
      <c r="G988" s="6" t="n"/>
      <c r="H988" s="6" t="n"/>
    </row>
    <row r="989">
      <c r="A989" s="2" t="n"/>
      <c r="B989" s="2" t="n"/>
      <c r="C989" s="2" t="n"/>
      <c r="D989" s="12" t="n"/>
      <c r="E989" s="13" t="n"/>
      <c r="F989" s="2" t="n"/>
      <c r="G989" s="2" t="n"/>
      <c r="H989" s="2" t="n"/>
    </row>
    <row r="990">
      <c r="A990" s="6" t="n"/>
      <c r="B990" s="6" t="n"/>
      <c r="C990" s="6" t="n"/>
      <c r="D990" s="14" t="n"/>
      <c r="E990" s="15" t="n"/>
      <c r="F990" s="6" t="n"/>
      <c r="G990" s="6" t="n"/>
      <c r="H990" s="6" t="n"/>
    </row>
    <row r="991">
      <c r="A991" s="2" t="n"/>
      <c r="B991" s="2" t="n"/>
      <c r="C991" s="2" t="n"/>
      <c r="D991" s="12" t="n"/>
      <c r="E991" s="13" t="n"/>
      <c r="F991" s="2" t="n"/>
      <c r="G991" s="2" t="n"/>
      <c r="H991" s="2" t="n"/>
    </row>
    <row r="992">
      <c r="A992" s="6" t="n"/>
      <c r="B992" s="6" t="n"/>
      <c r="C992" s="6" t="n"/>
      <c r="D992" s="14" t="n"/>
      <c r="E992" s="15" t="n"/>
      <c r="F992" s="6" t="n"/>
      <c r="G992" s="6" t="n"/>
      <c r="H992" s="6" t="n"/>
    </row>
    <row r="993">
      <c r="A993" s="2" t="n"/>
      <c r="B993" s="2" t="n"/>
      <c r="C993" s="2" t="n"/>
      <c r="D993" s="12" t="n"/>
      <c r="E993" s="13" t="n"/>
      <c r="F993" s="2" t="n"/>
      <c r="G993" s="2" t="n"/>
      <c r="H993" s="2" t="n"/>
    </row>
    <row r="994">
      <c r="A994" s="6" t="n"/>
      <c r="B994" s="6" t="n"/>
      <c r="C994" s="6" t="n"/>
      <c r="D994" s="14" t="n"/>
      <c r="E994" s="15" t="n"/>
      <c r="F994" s="6" t="n"/>
      <c r="G994" s="6" t="n"/>
      <c r="H994" s="6" t="n"/>
    </row>
    <row r="995">
      <c r="A995" s="2" t="n"/>
      <c r="B995" s="2" t="n"/>
      <c r="C995" s="2" t="n"/>
      <c r="D995" s="12" t="n"/>
      <c r="E995" s="13" t="n"/>
      <c r="F995" s="2" t="n"/>
      <c r="G995" s="2" t="n"/>
      <c r="H995" s="2" t="n"/>
    </row>
    <row r="996">
      <c r="A996" s="6" t="n"/>
      <c r="B996" s="6" t="n"/>
      <c r="C996" s="6" t="n"/>
      <c r="D996" s="14" t="n"/>
      <c r="E996" s="15" t="n"/>
      <c r="F996" s="6" t="n"/>
      <c r="G996" s="6" t="n"/>
      <c r="H996" s="6" t="n"/>
    </row>
    <row r="997">
      <c r="A997" s="2" t="n"/>
      <c r="B997" s="2" t="n"/>
      <c r="C997" s="2" t="n"/>
      <c r="D997" s="12" t="n"/>
      <c r="E997" s="13" t="n"/>
      <c r="F997" s="2" t="n"/>
      <c r="G997" s="2" t="n"/>
      <c r="H997" s="2" t="n"/>
    </row>
    <row r="998">
      <c r="A998" s="6" t="n"/>
      <c r="B998" s="6" t="n"/>
      <c r="C998" s="6" t="n"/>
      <c r="D998" s="14" t="n"/>
      <c r="E998" s="15" t="n"/>
      <c r="F998" s="6" t="n"/>
      <c r="G998" s="6" t="n"/>
      <c r="H998" s="6" t="n"/>
    </row>
    <row r="999">
      <c r="A999" s="2" t="n"/>
      <c r="B999" s="2" t="n"/>
      <c r="C999" s="2" t="n"/>
      <c r="D999" s="12" t="n"/>
      <c r="E999" s="13" t="n"/>
      <c r="F999" s="2" t="n"/>
      <c r="G999" s="2" t="n"/>
      <c r="H999" s="2" t="n"/>
    </row>
    <row r="1000">
      <c r="A1000" s="6" t="n"/>
      <c r="B1000" s="6" t="n"/>
      <c r="C1000" s="6" t="n"/>
      <c r="D1000" s="14" t="n"/>
      <c r="E1000" s="15" t="n"/>
      <c r="F1000" s="6" t="n"/>
      <c r="G1000" s="6" t="n"/>
      <c r="H1000" s="6" t="n"/>
    </row>
    <row r="1001">
      <c r="A1001" s="2" t="n"/>
      <c r="B1001" s="2" t="n"/>
      <c r="C1001" s="2" t="n"/>
      <c r="D1001" s="12" t="n"/>
      <c r="E1001" s="13" t="n"/>
      <c r="F1001" s="2" t="n"/>
      <c r="G1001" s="2" t="n"/>
      <c r="H1001" s="2" t="n"/>
    </row>
    <row r="1002">
      <c r="A1002" s="6" t="n"/>
      <c r="B1002" s="6" t="n"/>
      <c r="C1002" s="6" t="n"/>
      <c r="D1002" s="14" t="n"/>
      <c r="E1002" s="15" t="n"/>
      <c r="F1002" s="6" t="n"/>
      <c r="G1002" s="6" t="n"/>
      <c r="H1002" s="6" t="n"/>
    </row>
    <row r="1003">
      <c r="A1003" s="2" t="n"/>
      <c r="B1003" s="2" t="n"/>
      <c r="C1003" s="2" t="n"/>
      <c r="D1003" s="12" t="n"/>
      <c r="E1003" s="13" t="n"/>
      <c r="F1003" s="2" t="n"/>
      <c r="G1003" s="2" t="n"/>
      <c r="H1003" s="2" t="n"/>
    </row>
    <row r="1004">
      <c r="A1004" s="6" t="n"/>
      <c r="B1004" s="6" t="n"/>
      <c r="C1004" s="6" t="n"/>
      <c r="D1004" s="14" t="n"/>
      <c r="E1004" s="15" t="n"/>
      <c r="F1004" s="6" t="n"/>
      <c r="G1004" s="6" t="n"/>
      <c r="H1004" s="6" t="n"/>
    </row>
  </sheetData>
  <autoFilter ref="A4:H504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Invoice Template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Invoice No.</t>
        </is>
      </c>
      <c r="B3" s="8" t="inlineStr">
        <is>
          <t>INV-2026-Q1-0001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16">
        <f>Setup!$B$4</f>
        <v/>
      </c>
      <c r="B5" s="2" t="n"/>
      <c r="C5" s="2" t="n"/>
      <c r="D5" s="2" t="n"/>
    </row>
    <row r="6">
      <c r="A6" s="6" t="n"/>
      <c r="B6" s="6" t="n"/>
      <c r="C6" s="6" t="n"/>
      <c r="D6" s="6" t="n"/>
    </row>
    <row r="7">
      <c r="A7" s="7" t="inlineStr">
        <is>
          <t>Owner</t>
        </is>
      </c>
      <c r="B7" s="2">
        <f>IFERROR(INDEX(Quarterly_Billing_Run!$F:$F,MATCH($B$3,Quarterly_Billing_Run!$A:$A,0)),"")</f>
        <v/>
      </c>
      <c r="C7" s="2" t="n"/>
      <c r="D7" s="2" t="n"/>
    </row>
    <row r="8">
      <c r="A8" s="7" t="inlineStr">
        <is>
          <t>Unit</t>
        </is>
      </c>
      <c r="B8" s="2">
        <f>IFERROR(INDEX(Quarterly_Billing_Run!$E:$E,MATCH($B$3,Quarterly_Billing_Run!$A:$A,0)),"")</f>
        <v/>
      </c>
      <c r="C8" s="6" t="n"/>
      <c r="D8" s="6" t="n"/>
    </row>
    <row r="9">
      <c r="A9" s="7" t="inlineStr">
        <is>
          <t>Email</t>
        </is>
      </c>
      <c r="B9" s="2">
        <f>IFERROR(INDEX(Quarterly_Billing_Run!$G:$G,MATCH($B$3,Quarterly_Billing_Run!$A:$A,0)),"")</f>
        <v/>
      </c>
      <c r="C9" s="2" t="n"/>
      <c r="D9" s="2" t="n"/>
    </row>
    <row r="10">
      <c r="A10" s="7" t="inlineStr">
        <is>
          <t>Billing Year</t>
        </is>
      </c>
      <c r="B10" s="2">
        <f>IFERROR(INDEX(Quarterly_Billing_Run!$B:$B,MATCH($B$3,Quarterly_Billing_Run!$A:$A,0)),"")</f>
        <v/>
      </c>
      <c r="C10" s="6" t="n"/>
      <c r="D10" s="6" t="n"/>
    </row>
    <row r="11">
      <c r="A11" s="7" t="inlineStr">
        <is>
          <t>Quarter</t>
        </is>
      </c>
      <c r="B11" s="2">
        <f>IFERROR(INDEX(Quarterly_Billing_Run!$C:$C,MATCH($B$3,Quarterly_Billing_Run!$A:$A,0)),"")</f>
        <v/>
      </c>
      <c r="C11" s="2" t="n"/>
      <c r="D11" s="2" t="n"/>
    </row>
    <row r="12">
      <c r="A12" s="7" t="inlineStr">
        <is>
          <t>Charge Date</t>
        </is>
      </c>
      <c r="B12" s="2">
        <f>IFERROR(INDEX(Quarterly_Billing_Run!$H:$H,MATCH($B$3,Quarterly_Billing_Run!$A:$A,0)),"")</f>
        <v/>
      </c>
      <c r="C12" s="6" t="n"/>
      <c r="D12" s="6" t="n"/>
    </row>
    <row r="13">
      <c r="A13" s="7" t="inlineStr">
        <is>
          <t>Due Date</t>
        </is>
      </c>
      <c r="B13" s="2">
        <f>IFERROR(INDEX(Quarterly_Billing_Run!$I:$I,MATCH($B$3,Quarterly_Billing_Run!$A:$A,0)),"")</f>
        <v/>
      </c>
      <c r="C13" s="2" t="n"/>
      <c r="D13" s="2" t="n"/>
    </row>
    <row r="14">
      <c r="A14" s="6" t="n"/>
      <c r="B14" s="6" t="n"/>
      <c r="C14" s="6" t="n"/>
      <c r="D14" s="6" t="n"/>
    </row>
    <row r="15">
      <c r="A15" s="2" t="n"/>
      <c r="B15" s="2" t="n"/>
      <c r="C15" s="2" t="n"/>
      <c r="D15" s="2" t="n"/>
    </row>
    <row r="16">
      <c r="A16" s="11" t="inlineStr">
        <is>
          <t>Description</t>
        </is>
      </c>
      <c r="B16" s="11" t="inlineStr">
        <is>
          <t>Amount</t>
        </is>
      </c>
      <c r="C16" s="6" t="n"/>
      <c r="D16" s="6" t="n"/>
    </row>
    <row r="17">
      <c r="A17" s="2" t="inlineStr">
        <is>
          <t>Prior Balance</t>
        </is>
      </c>
      <c r="B17" s="17">
        <f>IFERROR(INDEX(Quarterly_Billing_Run!$J:$J,MATCH($B$3,Quarterly_Billing_Run!$A:$A,0)),0)</f>
        <v/>
      </c>
      <c r="C17" s="2" t="n"/>
      <c r="D17" s="2" t="n"/>
    </row>
    <row r="18">
      <c r="A18" s="2" t="inlineStr">
        <is>
          <t>Quarterly Dues</t>
        </is>
      </c>
      <c r="B18" s="17">
        <f>IFERROR(INDEX(Quarterly_Billing_Run!$K:$K,MATCH($B$3,Quarterly_Billing_Run!$A:$A,0)),0)</f>
        <v/>
      </c>
      <c r="C18" s="6" t="n"/>
      <c r="D18" s="6" t="n"/>
    </row>
    <row r="19">
      <c r="A19" s="2" t="inlineStr">
        <is>
          <t>Special Assessment</t>
        </is>
      </c>
      <c r="B19" s="17">
        <f>IFERROR(INDEX(Quarterly_Billing_Run!$L:$L,MATCH($B$3,Quarterly_Billing_Run!$A:$A,0)),0)</f>
        <v/>
      </c>
      <c r="C19" s="2" t="n"/>
      <c r="D19" s="2" t="n"/>
    </row>
    <row r="20">
      <c r="A20" s="2" t="inlineStr">
        <is>
          <t>Late Fee</t>
        </is>
      </c>
      <c r="B20" s="17">
        <f>IFERROR(INDEX(Quarterly_Billing_Run!$M:$M,MATCH($B$3,Quarterly_Billing_Run!$A:$A,0)),0)</f>
        <v/>
      </c>
      <c r="C20" s="6" t="n"/>
      <c r="D20" s="6" t="n"/>
    </row>
    <row r="21">
      <c r="A21" s="2" t="inlineStr">
        <is>
          <t>Payments Applied</t>
        </is>
      </c>
      <c r="B21" s="17">
        <f>-IFERROR(INDEX(Quarterly_Billing_Run!$O:$O,MATCH($B$3,Quarterly_Billing_Run!$A:$A,0)),0)</f>
        <v/>
      </c>
      <c r="C21" s="2" t="n"/>
      <c r="D21" s="2" t="n"/>
    </row>
    <row r="22">
      <c r="A22" s="2" t="inlineStr">
        <is>
          <t>Balance Due</t>
        </is>
      </c>
      <c r="B22" s="17">
        <f>IFERROR(INDEX(Quarterly_Billing_Run!$P:$P,MATCH($B$3,Quarterly_Billing_Run!$A:$A,0)),0)</f>
        <v/>
      </c>
      <c r="C22" s="6" t="n"/>
      <c r="D22" s="6" t="n"/>
    </row>
    <row r="23">
      <c r="A23" s="2" t="n"/>
      <c r="B23" s="2" t="n"/>
      <c r="C23" s="2" t="n"/>
      <c r="D23" s="2" t="n"/>
    </row>
    <row r="24">
      <c r="A24" s="7" t="inlineStr">
        <is>
          <t>Payment Instructions</t>
        </is>
      </c>
      <c r="B24" s="6" t="n"/>
      <c r="C24" s="6" t="n"/>
      <c r="D24" s="6" t="n"/>
    </row>
    <row r="25">
      <c r="A25" s="2">
        <f>Setup!$B$13</f>
        <v/>
      </c>
      <c r="B25" s="2" t="n"/>
      <c r="C25" s="2" t="n"/>
      <c r="D25" s="2" t="n"/>
    </row>
    <row r="26">
      <c r="A26" s="6" t="n"/>
      <c r="B26" s="6" t="n"/>
      <c r="C26" s="6" t="n"/>
      <c r="D26" s="6" t="n"/>
    </row>
    <row r="27">
      <c r="A27" s="7" t="inlineStr">
        <is>
          <t>Invoice Memo</t>
        </is>
      </c>
      <c r="B27" s="2" t="n"/>
      <c r="C27" s="2" t="n"/>
      <c r="D27" s="2" t="n"/>
    </row>
    <row r="28">
      <c r="A28" s="2">
        <f>Setup!$B$14</f>
        <v/>
      </c>
      <c r="B28" s="6" t="n"/>
      <c r="C28" s="6" t="n"/>
      <c r="D28" s="6" t="n"/>
    </row>
    <row r="29">
      <c r="A29" s="2" t="n"/>
      <c r="B29" s="2" t="n"/>
      <c r="C29" s="2" t="n"/>
      <c r="D29" s="2" t="n"/>
    </row>
    <row r="30">
      <c r="A30" s="6" t="n"/>
      <c r="B30" s="6" t="n"/>
      <c r="C30" s="6" t="n"/>
      <c r="D30" s="6" t="n"/>
    </row>
  </sheetData>
  <mergeCells count="2">
    <mergeCell ref="A28:D30"/>
    <mergeCell ref="A25:D25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1" t="inlineStr">
        <is>
          <t>Owner Statement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Unit ID</t>
        </is>
      </c>
      <c r="B3" s="8" t="inlineStr">
        <is>
          <t>U-001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inlineStr">
        <is>
          <t>Owner</t>
        </is>
      </c>
      <c r="B5" s="2">
        <f>IFERROR(INDEX(Units_Owners!$C:$C,MATCH($B$3,Units_Owners!$A:$A,0)),"")</f>
        <v/>
      </c>
      <c r="C5" s="2" t="n"/>
      <c r="D5" s="2" t="n"/>
      <c r="E5" s="2" t="n"/>
      <c r="F5" s="2" t="n"/>
      <c r="G5" s="2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11" t="inlineStr">
        <is>
          <t>Date</t>
        </is>
      </c>
      <c r="B8" s="11" t="inlineStr">
        <is>
          <t>Type</t>
        </is>
      </c>
      <c r="C8" s="11" t="inlineStr">
        <is>
          <t>Invoice No.</t>
        </is>
      </c>
      <c r="D8" s="11" t="inlineStr">
        <is>
          <t>Debit</t>
        </is>
      </c>
      <c r="E8" s="11" t="inlineStr">
        <is>
          <t>Credit</t>
        </is>
      </c>
      <c r="F8" s="11" t="inlineStr">
        <is>
          <t>Balance</t>
        </is>
      </c>
      <c r="G8" s="11" t="inlineStr">
        <is>
          <t>Notes</t>
        </is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>
        <is>
          <t>Use Ledger filters by Unit ID for detailed statement history, or add a macro to populate this section automatically.</t>
        </is>
      </c>
      <c r="B10" s="6" t="n"/>
      <c r="C10" s="6" t="n"/>
      <c r="D10" s="6" t="n"/>
      <c r="E10" s="6" t="n"/>
      <c r="F10" s="6" t="n"/>
      <c r="G10" s="6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6" t="n"/>
      <c r="B30" s="6" t="n"/>
      <c r="C30" s="6" t="n"/>
      <c r="D30" s="6" t="n"/>
      <c r="E30" s="6" t="n"/>
      <c r="F30" s="6" t="n"/>
      <c r="G30" s="6" t="n"/>
    </row>
  </sheetData>
  <mergeCells count="1">
    <mergeCell ref="A10:G10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0" customWidth="1" min="4" max="4"/>
    <col width="18" customWidth="1" min="5" max="5"/>
    <col width="20" customWidth="1" min="6" max="6"/>
    <col width="40" customWidth="1" min="7" max="7"/>
    <col width="40" customWidth="1" min="8" max="8"/>
  </cols>
  <sheetData>
    <row r="1">
      <c r="A1" s="1" t="inlineStr">
        <is>
          <t>Print and Email 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1" t="inlineStr">
        <is>
          <t>Invoice No.</t>
        </is>
      </c>
      <c r="B4" s="11" t="inlineStr">
        <is>
          <t>Unit ID</t>
        </is>
      </c>
      <c r="C4" s="11" t="inlineStr">
        <is>
          <t>Owner Name</t>
        </is>
      </c>
      <c r="D4" s="11" t="inlineStr">
        <is>
          <t>Delivery Method</t>
        </is>
      </c>
      <c r="E4" s="11" t="inlineStr">
        <is>
          <t>Delivery Status</t>
        </is>
      </c>
      <c r="F4" s="11" t="inlineStr">
        <is>
          <t>Sent/Printed Date</t>
        </is>
      </c>
      <c r="G4" s="11" t="inlineStr">
        <is>
          <t>File Name or Email Reference</t>
        </is>
      </c>
      <c r="H4" s="11" t="inlineStr">
        <is>
          <t>Notes</t>
        </is>
      </c>
    </row>
    <row r="5">
      <c r="A5" s="2" t="n"/>
      <c r="B5" s="2" t="n"/>
      <c r="C5" s="2" t="n"/>
      <c r="D5" s="2" t="n"/>
      <c r="E5" s="2" t="n"/>
      <c r="F5" s="12" t="n"/>
      <c r="G5" s="2" t="n"/>
      <c r="H5" s="2" t="n"/>
    </row>
    <row r="6">
      <c r="A6" s="6" t="n"/>
      <c r="B6" s="6" t="n"/>
      <c r="C6" s="6" t="n"/>
      <c r="D6" s="6" t="n"/>
      <c r="E6" s="6" t="n"/>
      <c r="F6" s="14" t="n"/>
      <c r="G6" s="6" t="n"/>
      <c r="H6" s="6" t="n"/>
    </row>
    <row r="7">
      <c r="A7" s="2" t="n"/>
      <c r="B7" s="2" t="n"/>
      <c r="C7" s="2" t="n"/>
      <c r="D7" s="2" t="n"/>
      <c r="E7" s="2" t="n"/>
      <c r="F7" s="12" t="n"/>
      <c r="G7" s="2" t="n"/>
      <c r="H7" s="2" t="n"/>
    </row>
    <row r="8">
      <c r="A8" s="6" t="n"/>
      <c r="B8" s="6" t="n"/>
      <c r="C8" s="6" t="n"/>
      <c r="D8" s="6" t="n"/>
      <c r="E8" s="6" t="n"/>
      <c r="F8" s="14" t="n"/>
      <c r="G8" s="6" t="n"/>
      <c r="H8" s="6" t="n"/>
    </row>
    <row r="9">
      <c r="A9" s="2" t="n"/>
      <c r="B9" s="2" t="n"/>
      <c r="C9" s="2" t="n"/>
      <c r="D9" s="2" t="n"/>
      <c r="E9" s="2" t="n"/>
      <c r="F9" s="12" t="n"/>
      <c r="G9" s="2" t="n"/>
      <c r="H9" s="2" t="n"/>
    </row>
    <row r="10">
      <c r="A10" s="6" t="n"/>
      <c r="B10" s="6" t="n"/>
      <c r="C10" s="6" t="n"/>
      <c r="D10" s="6" t="n"/>
      <c r="E10" s="6" t="n"/>
      <c r="F10" s="14" t="n"/>
      <c r="G10" s="6" t="n"/>
      <c r="H10" s="6" t="n"/>
    </row>
    <row r="11">
      <c r="A11" s="2" t="n"/>
      <c r="B11" s="2" t="n"/>
      <c r="C11" s="2" t="n"/>
      <c r="D11" s="2" t="n"/>
      <c r="E11" s="2" t="n"/>
      <c r="F11" s="12" t="n"/>
      <c r="G11" s="2" t="n"/>
      <c r="H11" s="2" t="n"/>
    </row>
    <row r="12">
      <c r="A12" s="6" t="n"/>
      <c r="B12" s="6" t="n"/>
      <c r="C12" s="6" t="n"/>
      <c r="D12" s="6" t="n"/>
      <c r="E12" s="6" t="n"/>
      <c r="F12" s="14" t="n"/>
      <c r="G12" s="6" t="n"/>
      <c r="H12" s="6" t="n"/>
    </row>
    <row r="13">
      <c r="A13" s="2" t="n"/>
      <c r="B13" s="2" t="n"/>
      <c r="C13" s="2" t="n"/>
      <c r="D13" s="2" t="n"/>
      <c r="E13" s="2" t="n"/>
      <c r="F13" s="12" t="n"/>
      <c r="G13" s="2" t="n"/>
      <c r="H13" s="2" t="n"/>
    </row>
    <row r="14">
      <c r="A14" s="6" t="n"/>
      <c r="B14" s="6" t="n"/>
      <c r="C14" s="6" t="n"/>
      <c r="D14" s="6" t="n"/>
      <c r="E14" s="6" t="n"/>
      <c r="F14" s="14" t="n"/>
      <c r="G14" s="6" t="n"/>
      <c r="H14" s="6" t="n"/>
    </row>
    <row r="15">
      <c r="A15" s="2" t="n"/>
      <c r="B15" s="2" t="n"/>
      <c r="C15" s="2" t="n"/>
      <c r="D15" s="2" t="n"/>
      <c r="E15" s="2" t="n"/>
      <c r="F15" s="12" t="n"/>
      <c r="G15" s="2" t="n"/>
      <c r="H15" s="2" t="n"/>
    </row>
    <row r="16">
      <c r="A16" s="6" t="n"/>
      <c r="B16" s="6" t="n"/>
      <c r="C16" s="6" t="n"/>
      <c r="D16" s="6" t="n"/>
      <c r="E16" s="6" t="n"/>
      <c r="F16" s="14" t="n"/>
      <c r="G16" s="6" t="n"/>
      <c r="H16" s="6" t="n"/>
    </row>
    <row r="17">
      <c r="A17" s="2" t="n"/>
      <c r="B17" s="2" t="n"/>
      <c r="C17" s="2" t="n"/>
      <c r="D17" s="2" t="n"/>
      <c r="E17" s="2" t="n"/>
      <c r="F17" s="12" t="n"/>
      <c r="G17" s="2" t="n"/>
      <c r="H17" s="2" t="n"/>
    </row>
    <row r="18">
      <c r="A18" s="6" t="n"/>
      <c r="B18" s="6" t="n"/>
      <c r="C18" s="6" t="n"/>
      <c r="D18" s="6" t="n"/>
      <c r="E18" s="6" t="n"/>
      <c r="F18" s="14" t="n"/>
      <c r="G18" s="6" t="n"/>
      <c r="H18" s="6" t="n"/>
    </row>
    <row r="19">
      <c r="A19" s="2" t="n"/>
      <c r="B19" s="2" t="n"/>
      <c r="C19" s="2" t="n"/>
      <c r="D19" s="2" t="n"/>
      <c r="E19" s="2" t="n"/>
      <c r="F19" s="12" t="n"/>
      <c r="G19" s="2" t="n"/>
      <c r="H19" s="2" t="n"/>
    </row>
    <row r="20">
      <c r="A20" s="6" t="n"/>
      <c r="B20" s="6" t="n"/>
      <c r="C20" s="6" t="n"/>
      <c r="D20" s="6" t="n"/>
      <c r="E20" s="6" t="n"/>
      <c r="F20" s="14" t="n"/>
      <c r="G20" s="6" t="n"/>
      <c r="H20" s="6" t="n"/>
    </row>
    <row r="21">
      <c r="A21" s="2" t="n"/>
      <c r="B21" s="2" t="n"/>
      <c r="C21" s="2" t="n"/>
      <c r="D21" s="2" t="n"/>
      <c r="E21" s="2" t="n"/>
      <c r="F21" s="12" t="n"/>
      <c r="G21" s="2" t="n"/>
      <c r="H21" s="2" t="n"/>
    </row>
    <row r="22">
      <c r="A22" s="6" t="n"/>
      <c r="B22" s="6" t="n"/>
      <c r="C22" s="6" t="n"/>
      <c r="D22" s="6" t="n"/>
      <c r="E22" s="6" t="n"/>
      <c r="F22" s="14" t="n"/>
      <c r="G22" s="6" t="n"/>
      <c r="H22" s="6" t="n"/>
    </row>
    <row r="23">
      <c r="A23" s="2" t="n"/>
      <c r="B23" s="2" t="n"/>
      <c r="C23" s="2" t="n"/>
      <c r="D23" s="2" t="n"/>
      <c r="E23" s="2" t="n"/>
      <c r="F23" s="12" t="n"/>
      <c r="G23" s="2" t="n"/>
      <c r="H23" s="2" t="n"/>
    </row>
    <row r="24">
      <c r="A24" s="6" t="n"/>
      <c r="B24" s="6" t="n"/>
      <c r="C24" s="6" t="n"/>
      <c r="D24" s="6" t="n"/>
      <c r="E24" s="6" t="n"/>
      <c r="F24" s="14" t="n"/>
      <c r="G24" s="6" t="n"/>
      <c r="H24" s="6" t="n"/>
    </row>
    <row r="25">
      <c r="A25" s="2" t="n"/>
      <c r="B25" s="2" t="n"/>
      <c r="C25" s="2" t="n"/>
      <c r="D25" s="2" t="n"/>
      <c r="E25" s="2" t="n"/>
      <c r="F25" s="12" t="n"/>
      <c r="G25" s="2" t="n"/>
      <c r="H25" s="2" t="n"/>
    </row>
    <row r="26">
      <c r="A26" s="6" t="n"/>
      <c r="B26" s="6" t="n"/>
      <c r="C26" s="6" t="n"/>
      <c r="D26" s="6" t="n"/>
      <c r="E26" s="6" t="n"/>
      <c r="F26" s="14" t="n"/>
      <c r="G26" s="6" t="n"/>
      <c r="H26" s="6" t="n"/>
    </row>
    <row r="27">
      <c r="A27" s="2" t="n"/>
      <c r="B27" s="2" t="n"/>
      <c r="C27" s="2" t="n"/>
      <c r="D27" s="2" t="n"/>
      <c r="E27" s="2" t="n"/>
      <c r="F27" s="12" t="n"/>
      <c r="G27" s="2" t="n"/>
      <c r="H27" s="2" t="n"/>
    </row>
    <row r="28">
      <c r="A28" s="6" t="n"/>
      <c r="B28" s="6" t="n"/>
      <c r="C28" s="6" t="n"/>
      <c r="D28" s="6" t="n"/>
      <c r="E28" s="6" t="n"/>
      <c r="F28" s="14" t="n"/>
      <c r="G28" s="6" t="n"/>
      <c r="H28" s="6" t="n"/>
    </row>
    <row r="29">
      <c r="A29" s="2" t="n"/>
      <c r="B29" s="2" t="n"/>
      <c r="C29" s="2" t="n"/>
      <c r="D29" s="2" t="n"/>
      <c r="E29" s="2" t="n"/>
      <c r="F29" s="12" t="n"/>
      <c r="G29" s="2" t="n"/>
      <c r="H29" s="2" t="n"/>
    </row>
    <row r="30">
      <c r="A30" s="6" t="n"/>
      <c r="B30" s="6" t="n"/>
      <c r="C30" s="6" t="n"/>
      <c r="D30" s="6" t="n"/>
      <c r="E30" s="6" t="n"/>
      <c r="F30" s="14" t="n"/>
      <c r="G30" s="6" t="n"/>
      <c r="H30" s="6" t="n"/>
    </row>
    <row r="31">
      <c r="A31" s="2" t="n"/>
      <c r="B31" s="2" t="n"/>
      <c r="C31" s="2" t="n"/>
      <c r="D31" s="2" t="n"/>
      <c r="E31" s="2" t="n"/>
      <c r="F31" s="12" t="n"/>
      <c r="G31" s="2" t="n"/>
      <c r="H31" s="2" t="n"/>
    </row>
    <row r="32">
      <c r="A32" s="6" t="n"/>
      <c r="B32" s="6" t="n"/>
      <c r="C32" s="6" t="n"/>
      <c r="D32" s="6" t="n"/>
      <c r="E32" s="6" t="n"/>
      <c r="F32" s="14" t="n"/>
      <c r="G32" s="6" t="n"/>
      <c r="H32" s="6" t="n"/>
    </row>
    <row r="33">
      <c r="A33" s="2" t="n"/>
      <c r="B33" s="2" t="n"/>
      <c r="C33" s="2" t="n"/>
      <c r="D33" s="2" t="n"/>
      <c r="E33" s="2" t="n"/>
      <c r="F33" s="12" t="n"/>
      <c r="G33" s="2" t="n"/>
      <c r="H33" s="2" t="n"/>
    </row>
    <row r="34">
      <c r="A34" s="6" t="n"/>
      <c r="B34" s="6" t="n"/>
      <c r="C34" s="6" t="n"/>
      <c r="D34" s="6" t="n"/>
      <c r="E34" s="6" t="n"/>
      <c r="F34" s="14" t="n"/>
      <c r="G34" s="6" t="n"/>
      <c r="H34" s="6" t="n"/>
    </row>
    <row r="35">
      <c r="A35" s="2" t="n"/>
      <c r="B35" s="2" t="n"/>
      <c r="C35" s="2" t="n"/>
      <c r="D35" s="2" t="n"/>
      <c r="E35" s="2" t="n"/>
      <c r="F35" s="12" t="n"/>
      <c r="G35" s="2" t="n"/>
      <c r="H35" s="2" t="n"/>
    </row>
    <row r="36">
      <c r="A36" s="6" t="n"/>
      <c r="B36" s="6" t="n"/>
      <c r="C36" s="6" t="n"/>
      <c r="D36" s="6" t="n"/>
      <c r="E36" s="6" t="n"/>
      <c r="F36" s="14" t="n"/>
      <c r="G36" s="6" t="n"/>
      <c r="H36" s="6" t="n"/>
    </row>
    <row r="37">
      <c r="A37" s="2" t="n"/>
      <c r="B37" s="2" t="n"/>
      <c r="C37" s="2" t="n"/>
      <c r="D37" s="2" t="n"/>
      <c r="E37" s="2" t="n"/>
      <c r="F37" s="12" t="n"/>
      <c r="G37" s="2" t="n"/>
      <c r="H37" s="2" t="n"/>
    </row>
    <row r="38">
      <c r="A38" s="6" t="n"/>
      <c r="B38" s="6" t="n"/>
      <c r="C38" s="6" t="n"/>
      <c r="D38" s="6" t="n"/>
      <c r="E38" s="6" t="n"/>
      <c r="F38" s="14" t="n"/>
      <c r="G38" s="6" t="n"/>
      <c r="H38" s="6" t="n"/>
    </row>
    <row r="39">
      <c r="A39" s="2" t="n"/>
      <c r="B39" s="2" t="n"/>
      <c r="C39" s="2" t="n"/>
      <c r="D39" s="2" t="n"/>
      <c r="E39" s="2" t="n"/>
      <c r="F39" s="12" t="n"/>
      <c r="G39" s="2" t="n"/>
      <c r="H39" s="2" t="n"/>
    </row>
    <row r="40">
      <c r="A40" s="6" t="n"/>
      <c r="B40" s="6" t="n"/>
      <c r="C40" s="6" t="n"/>
      <c r="D40" s="6" t="n"/>
      <c r="E40" s="6" t="n"/>
      <c r="F40" s="14" t="n"/>
      <c r="G40" s="6" t="n"/>
      <c r="H40" s="6" t="n"/>
    </row>
    <row r="41">
      <c r="A41" s="2" t="n"/>
      <c r="B41" s="2" t="n"/>
      <c r="C41" s="2" t="n"/>
      <c r="D41" s="2" t="n"/>
      <c r="E41" s="2" t="n"/>
      <c r="F41" s="12" t="n"/>
      <c r="G41" s="2" t="n"/>
      <c r="H41" s="2" t="n"/>
    </row>
    <row r="42">
      <c r="A42" s="6" t="n"/>
      <c r="B42" s="6" t="n"/>
      <c r="C42" s="6" t="n"/>
      <c r="D42" s="6" t="n"/>
      <c r="E42" s="6" t="n"/>
      <c r="F42" s="14" t="n"/>
      <c r="G42" s="6" t="n"/>
      <c r="H42" s="6" t="n"/>
    </row>
    <row r="43">
      <c r="A43" s="2" t="n"/>
      <c r="B43" s="2" t="n"/>
      <c r="C43" s="2" t="n"/>
      <c r="D43" s="2" t="n"/>
      <c r="E43" s="2" t="n"/>
      <c r="F43" s="12" t="n"/>
      <c r="G43" s="2" t="n"/>
      <c r="H43" s="2" t="n"/>
    </row>
    <row r="44">
      <c r="A44" s="6" t="n"/>
      <c r="B44" s="6" t="n"/>
      <c r="C44" s="6" t="n"/>
      <c r="D44" s="6" t="n"/>
      <c r="E44" s="6" t="n"/>
      <c r="F44" s="14" t="n"/>
      <c r="G44" s="6" t="n"/>
      <c r="H44" s="6" t="n"/>
    </row>
    <row r="45">
      <c r="A45" s="2" t="n"/>
      <c r="B45" s="2" t="n"/>
      <c r="C45" s="2" t="n"/>
      <c r="D45" s="2" t="n"/>
      <c r="E45" s="2" t="n"/>
      <c r="F45" s="12" t="n"/>
      <c r="G45" s="2" t="n"/>
      <c r="H45" s="2" t="n"/>
    </row>
    <row r="46">
      <c r="A46" s="6" t="n"/>
      <c r="B46" s="6" t="n"/>
      <c r="C46" s="6" t="n"/>
      <c r="D46" s="6" t="n"/>
      <c r="E46" s="6" t="n"/>
      <c r="F46" s="14" t="n"/>
      <c r="G46" s="6" t="n"/>
      <c r="H46" s="6" t="n"/>
    </row>
    <row r="47">
      <c r="A47" s="2" t="n"/>
      <c r="B47" s="2" t="n"/>
      <c r="C47" s="2" t="n"/>
      <c r="D47" s="2" t="n"/>
      <c r="E47" s="2" t="n"/>
      <c r="F47" s="12" t="n"/>
      <c r="G47" s="2" t="n"/>
      <c r="H47" s="2" t="n"/>
    </row>
    <row r="48">
      <c r="A48" s="6" t="n"/>
      <c r="B48" s="6" t="n"/>
      <c r="C48" s="6" t="n"/>
      <c r="D48" s="6" t="n"/>
      <c r="E48" s="6" t="n"/>
      <c r="F48" s="14" t="n"/>
      <c r="G48" s="6" t="n"/>
      <c r="H48" s="6" t="n"/>
    </row>
    <row r="49">
      <c r="A49" s="2" t="n"/>
      <c r="B49" s="2" t="n"/>
      <c r="C49" s="2" t="n"/>
      <c r="D49" s="2" t="n"/>
      <c r="E49" s="2" t="n"/>
      <c r="F49" s="12" t="n"/>
      <c r="G49" s="2" t="n"/>
      <c r="H49" s="2" t="n"/>
    </row>
    <row r="50">
      <c r="A50" s="6" t="n"/>
      <c r="B50" s="6" t="n"/>
      <c r="C50" s="6" t="n"/>
      <c r="D50" s="6" t="n"/>
      <c r="E50" s="6" t="n"/>
      <c r="F50" s="14" t="n"/>
      <c r="G50" s="6" t="n"/>
      <c r="H50" s="6" t="n"/>
    </row>
    <row r="51">
      <c r="A51" s="2" t="n"/>
      <c r="B51" s="2" t="n"/>
      <c r="C51" s="2" t="n"/>
      <c r="D51" s="2" t="n"/>
      <c r="E51" s="2" t="n"/>
      <c r="F51" s="12" t="n"/>
      <c r="G51" s="2" t="n"/>
      <c r="H51" s="2" t="n"/>
    </row>
    <row r="52">
      <c r="A52" s="6" t="n"/>
      <c r="B52" s="6" t="n"/>
      <c r="C52" s="6" t="n"/>
      <c r="D52" s="6" t="n"/>
      <c r="E52" s="6" t="n"/>
      <c r="F52" s="14" t="n"/>
      <c r="G52" s="6" t="n"/>
      <c r="H52" s="6" t="n"/>
    </row>
    <row r="53">
      <c r="A53" s="2" t="n"/>
      <c r="B53" s="2" t="n"/>
      <c r="C53" s="2" t="n"/>
      <c r="D53" s="2" t="n"/>
      <c r="E53" s="2" t="n"/>
      <c r="F53" s="12" t="n"/>
      <c r="G53" s="2" t="n"/>
      <c r="H53" s="2" t="n"/>
    </row>
    <row r="54">
      <c r="A54" s="6" t="n"/>
      <c r="B54" s="6" t="n"/>
      <c r="C54" s="6" t="n"/>
      <c r="D54" s="6" t="n"/>
      <c r="E54" s="6" t="n"/>
      <c r="F54" s="14" t="n"/>
      <c r="G54" s="6" t="n"/>
      <c r="H54" s="6" t="n"/>
    </row>
    <row r="55">
      <c r="A55" s="2" t="n"/>
      <c r="B55" s="2" t="n"/>
      <c r="C55" s="2" t="n"/>
      <c r="D55" s="2" t="n"/>
      <c r="E55" s="2" t="n"/>
      <c r="F55" s="12" t="n"/>
      <c r="G55" s="2" t="n"/>
      <c r="H55" s="2" t="n"/>
    </row>
    <row r="56">
      <c r="A56" s="6" t="n"/>
      <c r="B56" s="6" t="n"/>
      <c r="C56" s="6" t="n"/>
      <c r="D56" s="6" t="n"/>
      <c r="E56" s="6" t="n"/>
      <c r="F56" s="14" t="n"/>
      <c r="G56" s="6" t="n"/>
      <c r="H56" s="6" t="n"/>
    </row>
    <row r="57">
      <c r="A57" s="2" t="n"/>
      <c r="B57" s="2" t="n"/>
      <c r="C57" s="2" t="n"/>
      <c r="D57" s="2" t="n"/>
      <c r="E57" s="2" t="n"/>
      <c r="F57" s="12" t="n"/>
      <c r="G57" s="2" t="n"/>
      <c r="H57" s="2" t="n"/>
    </row>
    <row r="58">
      <c r="A58" s="6" t="n"/>
      <c r="B58" s="6" t="n"/>
      <c r="C58" s="6" t="n"/>
      <c r="D58" s="6" t="n"/>
      <c r="E58" s="6" t="n"/>
      <c r="F58" s="14" t="n"/>
      <c r="G58" s="6" t="n"/>
      <c r="H58" s="6" t="n"/>
    </row>
    <row r="59">
      <c r="A59" s="2" t="n"/>
      <c r="B59" s="2" t="n"/>
      <c r="C59" s="2" t="n"/>
      <c r="D59" s="2" t="n"/>
      <c r="E59" s="2" t="n"/>
      <c r="F59" s="12" t="n"/>
      <c r="G59" s="2" t="n"/>
      <c r="H59" s="2" t="n"/>
    </row>
    <row r="60">
      <c r="A60" s="6" t="n"/>
      <c r="B60" s="6" t="n"/>
      <c r="C60" s="6" t="n"/>
      <c r="D60" s="6" t="n"/>
      <c r="E60" s="6" t="n"/>
      <c r="F60" s="14" t="n"/>
      <c r="G60" s="6" t="n"/>
      <c r="H60" s="6" t="n"/>
    </row>
    <row r="61">
      <c r="A61" s="2" t="n"/>
      <c r="B61" s="2" t="n"/>
      <c r="C61" s="2" t="n"/>
      <c r="D61" s="2" t="n"/>
      <c r="E61" s="2" t="n"/>
      <c r="F61" s="12" t="n"/>
      <c r="G61" s="2" t="n"/>
      <c r="H61" s="2" t="n"/>
    </row>
    <row r="62">
      <c r="A62" s="6" t="n"/>
      <c r="B62" s="6" t="n"/>
      <c r="C62" s="6" t="n"/>
      <c r="D62" s="6" t="n"/>
      <c r="E62" s="6" t="n"/>
      <c r="F62" s="14" t="n"/>
      <c r="G62" s="6" t="n"/>
      <c r="H62" s="6" t="n"/>
    </row>
    <row r="63">
      <c r="A63" s="2" t="n"/>
      <c r="B63" s="2" t="n"/>
      <c r="C63" s="2" t="n"/>
      <c r="D63" s="2" t="n"/>
      <c r="E63" s="2" t="n"/>
      <c r="F63" s="12" t="n"/>
      <c r="G63" s="2" t="n"/>
      <c r="H63" s="2" t="n"/>
    </row>
    <row r="64">
      <c r="A64" s="6" t="n"/>
      <c r="B64" s="6" t="n"/>
      <c r="C64" s="6" t="n"/>
      <c r="D64" s="6" t="n"/>
      <c r="E64" s="6" t="n"/>
      <c r="F64" s="14" t="n"/>
      <c r="G64" s="6" t="n"/>
      <c r="H64" s="6" t="n"/>
    </row>
    <row r="65">
      <c r="A65" s="2" t="n"/>
      <c r="B65" s="2" t="n"/>
      <c r="C65" s="2" t="n"/>
      <c r="D65" s="2" t="n"/>
      <c r="E65" s="2" t="n"/>
      <c r="F65" s="12" t="n"/>
      <c r="G65" s="2" t="n"/>
      <c r="H65" s="2" t="n"/>
    </row>
    <row r="66">
      <c r="A66" s="6" t="n"/>
      <c r="B66" s="6" t="n"/>
      <c r="C66" s="6" t="n"/>
      <c r="D66" s="6" t="n"/>
      <c r="E66" s="6" t="n"/>
      <c r="F66" s="14" t="n"/>
      <c r="G66" s="6" t="n"/>
      <c r="H66" s="6" t="n"/>
    </row>
    <row r="67">
      <c r="A67" s="2" t="n"/>
      <c r="B67" s="2" t="n"/>
      <c r="C67" s="2" t="n"/>
      <c r="D67" s="2" t="n"/>
      <c r="E67" s="2" t="n"/>
      <c r="F67" s="12" t="n"/>
      <c r="G67" s="2" t="n"/>
      <c r="H67" s="2" t="n"/>
    </row>
    <row r="68">
      <c r="A68" s="6" t="n"/>
      <c r="B68" s="6" t="n"/>
      <c r="C68" s="6" t="n"/>
      <c r="D68" s="6" t="n"/>
      <c r="E68" s="6" t="n"/>
      <c r="F68" s="14" t="n"/>
      <c r="G68" s="6" t="n"/>
      <c r="H68" s="6" t="n"/>
    </row>
    <row r="69">
      <c r="A69" s="2" t="n"/>
      <c r="B69" s="2" t="n"/>
      <c r="C69" s="2" t="n"/>
      <c r="D69" s="2" t="n"/>
      <c r="E69" s="2" t="n"/>
      <c r="F69" s="12" t="n"/>
      <c r="G69" s="2" t="n"/>
      <c r="H69" s="2" t="n"/>
    </row>
    <row r="70">
      <c r="A70" s="6" t="n"/>
      <c r="B70" s="6" t="n"/>
      <c r="C70" s="6" t="n"/>
      <c r="D70" s="6" t="n"/>
      <c r="E70" s="6" t="n"/>
      <c r="F70" s="14" t="n"/>
      <c r="G70" s="6" t="n"/>
      <c r="H70" s="6" t="n"/>
    </row>
    <row r="71">
      <c r="A71" s="2" t="n"/>
      <c r="B71" s="2" t="n"/>
      <c r="C71" s="2" t="n"/>
      <c r="D71" s="2" t="n"/>
      <c r="E71" s="2" t="n"/>
      <c r="F71" s="12" t="n"/>
      <c r="G71" s="2" t="n"/>
      <c r="H71" s="2" t="n"/>
    </row>
    <row r="72">
      <c r="A72" s="6" t="n"/>
      <c r="B72" s="6" t="n"/>
      <c r="C72" s="6" t="n"/>
      <c r="D72" s="6" t="n"/>
      <c r="E72" s="6" t="n"/>
      <c r="F72" s="14" t="n"/>
      <c r="G72" s="6" t="n"/>
      <c r="H72" s="6" t="n"/>
    </row>
    <row r="73">
      <c r="A73" s="2" t="n"/>
      <c r="B73" s="2" t="n"/>
      <c r="C73" s="2" t="n"/>
      <c r="D73" s="2" t="n"/>
      <c r="E73" s="2" t="n"/>
      <c r="F73" s="12" t="n"/>
      <c r="G73" s="2" t="n"/>
      <c r="H73" s="2" t="n"/>
    </row>
    <row r="74">
      <c r="A74" s="6" t="n"/>
      <c r="B74" s="6" t="n"/>
      <c r="C74" s="6" t="n"/>
      <c r="D74" s="6" t="n"/>
      <c r="E74" s="6" t="n"/>
      <c r="F74" s="14" t="n"/>
      <c r="G74" s="6" t="n"/>
      <c r="H74" s="6" t="n"/>
    </row>
    <row r="75">
      <c r="A75" s="2" t="n"/>
      <c r="B75" s="2" t="n"/>
      <c r="C75" s="2" t="n"/>
      <c r="D75" s="2" t="n"/>
      <c r="E75" s="2" t="n"/>
      <c r="F75" s="12" t="n"/>
      <c r="G75" s="2" t="n"/>
      <c r="H75" s="2" t="n"/>
    </row>
    <row r="76">
      <c r="A76" s="6" t="n"/>
      <c r="B76" s="6" t="n"/>
      <c r="C76" s="6" t="n"/>
      <c r="D76" s="6" t="n"/>
      <c r="E76" s="6" t="n"/>
      <c r="F76" s="14" t="n"/>
      <c r="G76" s="6" t="n"/>
      <c r="H76" s="6" t="n"/>
    </row>
    <row r="77">
      <c r="A77" s="2" t="n"/>
      <c r="B77" s="2" t="n"/>
      <c r="C77" s="2" t="n"/>
      <c r="D77" s="2" t="n"/>
      <c r="E77" s="2" t="n"/>
      <c r="F77" s="12" t="n"/>
      <c r="G77" s="2" t="n"/>
      <c r="H77" s="2" t="n"/>
    </row>
    <row r="78">
      <c r="A78" s="6" t="n"/>
      <c r="B78" s="6" t="n"/>
      <c r="C78" s="6" t="n"/>
      <c r="D78" s="6" t="n"/>
      <c r="E78" s="6" t="n"/>
      <c r="F78" s="14" t="n"/>
      <c r="G78" s="6" t="n"/>
      <c r="H78" s="6" t="n"/>
    </row>
    <row r="79">
      <c r="A79" s="2" t="n"/>
      <c r="B79" s="2" t="n"/>
      <c r="C79" s="2" t="n"/>
      <c r="D79" s="2" t="n"/>
      <c r="E79" s="2" t="n"/>
      <c r="F79" s="12" t="n"/>
      <c r="G79" s="2" t="n"/>
      <c r="H79" s="2" t="n"/>
    </row>
    <row r="80">
      <c r="A80" s="6" t="n"/>
      <c r="B80" s="6" t="n"/>
      <c r="C80" s="6" t="n"/>
      <c r="D80" s="6" t="n"/>
      <c r="E80" s="6" t="n"/>
      <c r="F80" s="14" t="n"/>
      <c r="G80" s="6" t="n"/>
      <c r="H80" s="6" t="n"/>
    </row>
    <row r="81">
      <c r="A81" s="2" t="n"/>
      <c r="B81" s="2" t="n"/>
      <c r="C81" s="2" t="n"/>
      <c r="D81" s="2" t="n"/>
      <c r="E81" s="2" t="n"/>
      <c r="F81" s="12" t="n"/>
      <c r="G81" s="2" t="n"/>
      <c r="H81" s="2" t="n"/>
    </row>
    <row r="82">
      <c r="A82" s="6" t="n"/>
      <c r="B82" s="6" t="n"/>
      <c r="C82" s="6" t="n"/>
      <c r="D82" s="6" t="n"/>
      <c r="E82" s="6" t="n"/>
      <c r="F82" s="14" t="n"/>
      <c r="G82" s="6" t="n"/>
      <c r="H82" s="6" t="n"/>
    </row>
    <row r="83">
      <c r="A83" s="2" t="n"/>
      <c r="B83" s="2" t="n"/>
      <c r="C83" s="2" t="n"/>
      <c r="D83" s="2" t="n"/>
      <c r="E83" s="2" t="n"/>
      <c r="F83" s="12" t="n"/>
      <c r="G83" s="2" t="n"/>
      <c r="H83" s="2" t="n"/>
    </row>
    <row r="84">
      <c r="A84" s="6" t="n"/>
      <c r="B84" s="6" t="n"/>
      <c r="C84" s="6" t="n"/>
      <c r="D84" s="6" t="n"/>
      <c r="E84" s="6" t="n"/>
      <c r="F84" s="14" t="n"/>
      <c r="G84" s="6" t="n"/>
      <c r="H84" s="6" t="n"/>
    </row>
    <row r="85">
      <c r="A85" s="2" t="n"/>
      <c r="B85" s="2" t="n"/>
      <c r="C85" s="2" t="n"/>
      <c r="D85" s="2" t="n"/>
      <c r="E85" s="2" t="n"/>
      <c r="F85" s="12" t="n"/>
      <c r="G85" s="2" t="n"/>
      <c r="H85" s="2" t="n"/>
    </row>
    <row r="86">
      <c r="A86" s="6" t="n"/>
      <c r="B86" s="6" t="n"/>
      <c r="C86" s="6" t="n"/>
      <c r="D86" s="6" t="n"/>
      <c r="E86" s="6" t="n"/>
      <c r="F86" s="14" t="n"/>
      <c r="G86" s="6" t="n"/>
      <c r="H86" s="6" t="n"/>
    </row>
    <row r="87">
      <c r="A87" s="2" t="n"/>
      <c r="B87" s="2" t="n"/>
      <c r="C87" s="2" t="n"/>
      <c r="D87" s="2" t="n"/>
      <c r="E87" s="2" t="n"/>
      <c r="F87" s="12" t="n"/>
      <c r="G87" s="2" t="n"/>
      <c r="H87" s="2" t="n"/>
    </row>
    <row r="88">
      <c r="A88" s="6" t="n"/>
      <c r="B88" s="6" t="n"/>
      <c r="C88" s="6" t="n"/>
      <c r="D88" s="6" t="n"/>
      <c r="E88" s="6" t="n"/>
      <c r="F88" s="14" t="n"/>
      <c r="G88" s="6" t="n"/>
      <c r="H88" s="6" t="n"/>
    </row>
    <row r="89">
      <c r="A89" s="2" t="n"/>
      <c r="B89" s="2" t="n"/>
      <c r="C89" s="2" t="n"/>
      <c r="D89" s="2" t="n"/>
      <c r="E89" s="2" t="n"/>
      <c r="F89" s="12" t="n"/>
      <c r="G89" s="2" t="n"/>
      <c r="H89" s="2" t="n"/>
    </row>
    <row r="90">
      <c r="A90" s="6" t="n"/>
      <c r="B90" s="6" t="n"/>
      <c r="C90" s="6" t="n"/>
      <c r="D90" s="6" t="n"/>
      <c r="E90" s="6" t="n"/>
      <c r="F90" s="14" t="n"/>
      <c r="G90" s="6" t="n"/>
      <c r="H90" s="6" t="n"/>
    </row>
    <row r="91">
      <c r="A91" s="2" t="n"/>
      <c r="B91" s="2" t="n"/>
      <c r="C91" s="2" t="n"/>
      <c r="D91" s="2" t="n"/>
      <c r="E91" s="2" t="n"/>
      <c r="F91" s="12" t="n"/>
      <c r="G91" s="2" t="n"/>
      <c r="H91" s="2" t="n"/>
    </row>
    <row r="92">
      <c r="A92" s="6" t="n"/>
      <c r="B92" s="6" t="n"/>
      <c r="C92" s="6" t="n"/>
      <c r="D92" s="6" t="n"/>
      <c r="E92" s="6" t="n"/>
      <c r="F92" s="14" t="n"/>
      <c r="G92" s="6" t="n"/>
      <c r="H92" s="6" t="n"/>
    </row>
    <row r="93">
      <c r="A93" s="2" t="n"/>
      <c r="B93" s="2" t="n"/>
      <c r="C93" s="2" t="n"/>
      <c r="D93" s="2" t="n"/>
      <c r="E93" s="2" t="n"/>
      <c r="F93" s="12" t="n"/>
      <c r="G93" s="2" t="n"/>
      <c r="H93" s="2" t="n"/>
    </row>
    <row r="94">
      <c r="A94" s="6" t="n"/>
      <c r="B94" s="6" t="n"/>
      <c r="C94" s="6" t="n"/>
      <c r="D94" s="6" t="n"/>
      <c r="E94" s="6" t="n"/>
      <c r="F94" s="14" t="n"/>
      <c r="G94" s="6" t="n"/>
      <c r="H94" s="6" t="n"/>
    </row>
    <row r="95">
      <c r="A95" s="2" t="n"/>
      <c r="B95" s="2" t="n"/>
      <c r="C95" s="2" t="n"/>
      <c r="D95" s="2" t="n"/>
      <c r="E95" s="2" t="n"/>
      <c r="F95" s="12" t="n"/>
      <c r="G95" s="2" t="n"/>
      <c r="H95" s="2" t="n"/>
    </row>
    <row r="96">
      <c r="A96" s="6" t="n"/>
      <c r="B96" s="6" t="n"/>
      <c r="C96" s="6" t="n"/>
      <c r="D96" s="6" t="n"/>
      <c r="E96" s="6" t="n"/>
      <c r="F96" s="14" t="n"/>
      <c r="G96" s="6" t="n"/>
      <c r="H96" s="6" t="n"/>
    </row>
    <row r="97">
      <c r="A97" s="2" t="n"/>
      <c r="B97" s="2" t="n"/>
      <c r="C97" s="2" t="n"/>
      <c r="D97" s="2" t="n"/>
      <c r="E97" s="2" t="n"/>
      <c r="F97" s="12" t="n"/>
      <c r="G97" s="2" t="n"/>
      <c r="H97" s="2" t="n"/>
    </row>
    <row r="98">
      <c r="A98" s="6" t="n"/>
      <c r="B98" s="6" t="n"/>
      <c r="C98" s="6" t="n"/>
      <c r="D98" s="6" t="n"/>
      <c r="E98" s="6" t="n"/>
      <c r="F98" s="14" t="n"/>
      <c r="G98" s="6" t="n"/>
      <c r="H98" s="6" t="n"/>
    </row>
    <row r="99">
      <c r="A99" s="2" t="n"/>
      <c r="B99" s="2" t="n"/>
      <c r="C99" s="2" t="n"/>
      <c r="D99" s="2" t="n"/>
      <c r="E99" s="2" t="n"/>
      <c r="F99" s="12" t="n"/>
      <c r="G99" s="2" t="n"/>
      <c r="H99" s="2" t="n"/>
    </row>
    <row r="100">
      <c r="A100" s="6" t="n"/>
      <c r="B100" s="6" t="n"/>
      <c r="C100" s="6" t="n"/>
      <c r="D100" s="6" t="n"/>
      <c r="E100" s="6" t="n"/>
      <c r="F100" s="14" t="n"/>
      <c r="G100" s="6" t="n"/>
      <c r="H100" s="6" t="n"/>
    </row>
    <row r="101">
      <c r="A101" s="2" t="n"/>
      <c r="B101" s="2" t="n"/>
      <c r="C101" s="2" t="n"/>
      <c r="D101" s="2" t="n"/>
      <c r="E101" s="2" t="n"/>
      <c r="F101" s="12" t="n"/>
      <c r="G101" s="2" t="n"/>
      <c r="H101" s="2" t="n"/>
    </row>
    <row r="102">
      <c r="A102" s="6" t="n"/>
      <c r="B102" s="6" t="n"/>
      <c r="C102" s="6" t="n"/>
      <c r="D102" s="6" t="n"/>
      <c r="E102" s="6" t="n"/>
      <c r="F102" s="14" t="n"/>
      <c r="G102" s="6" t="n"/>
      <c r="H102" s="6" t="n"/>
    </row>
    <row r="103">
      <c r="A103" s="2" t="n"/>
      <c r="B103" s="2" t="n"/>
      <c r="C103" s="2" t="n"/>
      <c r="D103" s="2" t="n"/>
      <c r="E103" s="2" t="n"/>
      <c r="F103" s="12" t="n"/>
      <c r="G103" s="2" t="n"/>
      <c r="H103" s="2" t="n"/>
    </row>
    <row r="104">
      <c r="A104" s="6" t="n"/>
      <c r="B104" s="6" t="n"/>
      <c r="C104" s="6" t="n"/>
      <c r="D104" s="6" t="n"/>
      <c r="E104" s="6" t="n"/>
      <c r="F104" s="14" t="n"/>
      <c r="G104" s="6" t="n"/>
      <c r="H104" s="6" t="n"/>
    </row>
    <row r="105">
      <c r="A105" s="2" t="n"/>
      <c r="B105" s="2" t="n"/>
      <c r="C105" s="2" t="n"/>
      <c r="D105" s="2" t="n"/>
      <c r="E105" s="2" t="n"/>
      <c r="F105" s="12" t="n"/>
      <c r="G105" s="2" t="n"/>
      <c r="H105" s="2" t="n"/>
    </row>
    <row r="106">
      <c r="A106" s="6" t="n"/>
      <c r="B106" s="6" t="n"/>
      <c r="C106" s="6" t="n"/>
      <c r="D106" s="6" t="n"/>
      <c r="E106" s="6" t="n"/>
      <c r="F106" s="14" t="n"/>
      <c r="G106" s="6" t="n"/>
      <c r="H106" s="6" t="n"/>
    </row>
    <row r="107">
      <c r="A107" s="2" t="n"/>
      <c r="B107" s="2" t="n"/>
      <c r="C107" s="2" t="n"/>
      <c r="D107" s="2" t="n"/>
      <c r="E107" s="2" t="n"/>
      <c r="F107" s="12" t="n"/>
      <c r="G107" s="2" t="n"/>
      <c r="H107" s="2" t="n"/>
    </row>
    <row r="108">
      <c r="A108" s="6" t="n"/>
      <c r="B108" s="6" t="n"/>
      <c r="C108" s="6" t="n"/>
      <c r="D108" s="6" t="n"/>
      <c r="E108" s="6" t="n"/>
      <c r="F108" s="14" t="n"/>
      <c r="G108" s="6" t="n"/>
      <c r="H108" s="6" t="n"/>
    </row>
    <row r="109">
      <c r="A109" s="2" t="n"/>
      <c r="B109" s="2" t="n"/>
      <c r="C109" s="2" t="n"/>
      <c r="D109" s="2" t="n"/>
      <c r="E109" s="2" t="n"/>
      <c r="F109" s="12" t="n"/>
      <c r="G109" s="2" t="n"/>
      <c r="H109" s="2" t="n"/>
    </row>
    <row r="110">
      <c r="A110" s="6" t="n"/>
      <c r="B110" s="6" t="n"/>
      <c r="C110" s="6" t="n"/>
      <c r="D110" s="6" t="n"/>
      <c r="E110" s="6" t="n"/>
      <c r="F110" s="14" t="n"/>
      <c r="G110" s="6" t="n"/>
      <c r="H110" s="6" t="n"/>
    </row>
    <row r="111">
      <c r="A111" s="2" t="n"/>
      <c r="B111" s="2" t="n"/>
      <c r="C111" s="2" t="n"/>
      <c r="D111" s="2" t="n"/>
      <c r="E111" s="2" t="n"/>
      <c r="F111" s="12" t="n"/>
      <c r="G111" s="2" t="n"/>
      <c r="H111" s="2" t="n"/>
    </row>
    <row r="112">
      <c r="A112" s="6" t="n"/>
      <c r="B112" s="6" t="n"/>
      <c r="C112" s="6" t="n"/>
      <c r="D112" s="6" t="n"/>
      <c r="E112" s="6" t="n"/>
      <c r="F112" s="14" t="n"/>
      <c r="G112" s="6" t="n"/>
      <c r="H112" s="6" t="n"/>
    </row>
    <row r="113">
      <c r="A113" s="2" t="n"/>
      <c r="B113" s="2" t="n"/>
      <c r="C113" s="2" t="n"/>
      <c r="D113" s="2" t="n"/>
      <c r="E113" s="2" t="n"/>
      <c r="F113" s="12" t="n"/>
      <c r="G113" s="2" t="n"/>
      <c r="H113" s="2" t="n"/>
    </row>
    <row r="114">
      <c r="A114" s="6" t="n"/>
      <c r="B114" s="6" t="n"/>
      <c r="C114" s="6" t="n"/>
      <c r="D114" s="6" t="n"/>
      <c r="E114" s="6" t="n"/>
      <c r="F114" s="14" t="n"/>
      <c r="G114" s="6" t="n"/>
      <c r="H114" s="6" t="n"/>
    </row>
    <row r="115">
      <c r="A115" s="2" t="n"/>
      <c r="B115" s="2" t="n"/>
      <c r="C115" s="2" t="n"/>
      <c r="D115" s="2" t="n"/>
      <c r="E115" s="2" t="n"/>
      <c r="F115" s="12" t="n"/>
      <c r="G115" s="2" t="n"/>
      <c r="H115" s="2" t="n"/>
    </row>
    <row r="116">
      <c r="A116" s="6" t="n"/>
      <c r="B116" s="6" t="n"/>
      <c r="C116" s="6" t="n"/>
      <c r="D116" s="6" t="n"/>
      <c r="E116" s="6" t="n"/>
      <c r="F116" s="14" t="n"/>
      <c r="G116" s="6" t="n"/>
      <c r="H116" s="6" t="n"/>
    </row>
    <row r="117">
      <c r="A117" s="2" t="n"/>
      <c r="B117" s="2" t="n"/>
      <c r="C117" s="2" t="n"/>
      <c r="D117" s="2" t="n"/>
      <c r="E117" s="2" t="n"/>
      <c r="F117" s="12" t="n"/>
      <c r="G117" s="2" t="n"/>
      <c r="H117" s="2" t="n"/>
    </row>
    <row r="118">
      <c r="A118" s="6" t="n"/>
      <c r="B118" s="6" t="n"/>
      <c r="C118" s="6" t="n"/>
      <c r="D118" s="6" t="n"/>
      <c r="E118" s="6" t="n"/>
      <c r="F118" s="14" t="n"/>
      <c r="G118" s="6" t="n"/>
      <c r="H118" s="6" t="n"/>
    </row>
    <row r="119">
      <c r="A119" s="2" t="n"/>
      <c r="B119" s="2" t="n"/>
      <c r="C119" s="2" t="n"/>
      <c r="D119" s="2" t="n"/>
      <c r="E119" s="2" t="n"/>
      <c r="F119" s="12" t="n"/>
      <c r="G119" s="2" t="n"/>
      <c r="H119" s="2" t="n"/>
    </row>
    <row r="120">
      <c r="A120" s="6" t="n"/>
      <c r="B120" s="6" t="n"/>
      <c r="C120" s="6" t="n"/>
      <c r="D120" s="6" t="n"/>
      <c r="E120" s="6" t="n"/>
      <c r="F120" s="14" t="n"/>
      <c r="G120" s="6" t="n"/>
      <c r="H120" s="6" t="n"/>
    </row>
    <row r="121">
      <c r="A121" s="2" t="n"/>
      <c r="B121" s="2" t="n"/>
      <c r="C121" s="2" t="n"/>
      <c r="D121" s="2" t="n"/>
      <c r="E121" s="2" t="n"/>
      <c r="F121" s="12" t="n"/>
      <c r="G121" s="2" t="n"/>
      <c r="H121" s="2" t="n"/>
    </row>
    <row r="122">
      <c r="A122" s="6" t="n"/>
      <c r="B122" s="6" t="n"/>
      <c r="C122" s="6" t="n"/>
      <c r="D122" s="6" t="n"/>
      <c r="E122" s="6" t="n"/>
      <c r="F122" s="14" t="n"/>
      <c r="G122" s="6" t="n"/>
      <c r="H122" s="6" t="n"/>
    </row>
    <row r="123">
      <c r="A123" s="2" t="n"/>
      <c r="B123" s="2" t="n"/>
      <c r="C123" s="2" t="n"/>
      <c r="D123" s="2" t="n"/>
      <c r="E123" s="2" t="n"/>
      <c r="F123" s="12" t="n"/>
      <c r="G123" s="2" t="n"/>
      <c r="H123" s="2" t="n"/>
    </row>
    <row r="124">
      <c r="A124" s="6" t="n"/>
      <c r="B124" s="6" t="n"/>
      <c r="C124" s="6" t="n"/>
      <c r="D124" s="6" t="n"/>
      <c r="E124" s="6" t="n"/>
      <c r="F124" s="14" t="n"/>
      <c r="G124" s="6" t="n"/>
      <c r="H124" s="6" t="n"/>
    </row>
    <row r="125">
      <c r="A125" s="2" t="n"/>
      <c r="B125" s="2" t="n"/>
      <c r="C125" s="2" t="n"/>
      <c r="D125" s="2" t="n"/>
      <c r="E125" s="2" t="n"/>
      <c r="F125" s="12" t="n"/>
      <c r="G125" s="2" t="n"/>
      <c r="H125" s="2" t="n"/>
    </row>
    <row r="126">
      <c r="A126" s="6" t="n"/>
      <c r="B126" s="6" t="n"/>
      <c r="C126" s="6" t="n"/>
      <c r="D126" s="6" t="n"/>
      <c r="E126" s="6" t="n"/>
      <c r="F126" s="14" t="n"/>
      <c r="G126" s="6" t="n"/>
      <c r="H126" s="6" t="n"/>
    </row>
    <row r="127">
      <c r="A127" s="2" t="n"/>
      <c r="B127" s="2" t="n"/>
      <c r="C127" s="2" t="n"/>
      <c r="D127" s="2" t="n"/>
      <c r="E127" s="2" t="n"/>
      <c r="F127" s="12" t="n"/>
      <c r="G127" s="2" t="n"/>
      <c r="H127" s="2" t="n"/>
    </row>
    <row r="128">
      <c r="A128" s="6" t="n"/>
      <c r="B128" s="6" t="n"/>
      <c r="C128" s="6" t="n"/>
      <c r="D128" s="6" t="n"/>
      <c r="E128" s="6" t="n"/>
      <c r="F128" s="14" t="n"/>
      <c r="G128" s="6" t="n"/>
      <c r="H128" s="6" t="n"/>
    </row>
    <row r="129">
      <c r="A129" s="2" t="n"/>
      <c r="B129" s="2" t="n"/>
      <c r="C129" s="2" t="n"/>
      <c r="D129" s="2" t="n"/>
      <c r="E129" s="2" t="n"/>
      <c r="F129" s="12" t="n"/>
      <c r="G129" s="2" t="n"/>
      <c r="H129" s="2" t="n"/>
    </row>
    <row r="130">
      <c r="A130" s="6" t="n"/>
      <c r="B130" s="6" t="n"/>
      <c r="C130" s="6" t="n"/>
      <c r="D130" s="6" t="n"/>
      <c r="E130" s="6" t="n"/>
      <c r="F130" s="14" t="n"/>
      <c r="G130" s="6" t="n"/>
      <c r="H130" s="6" t="n"/>
    </row>
    <row r="131">
      <c r="A131" s="2" t="n"/>
      <c r="B131" s="2" t="n"/>
      <c r="C131" s="2" t="n"/>
      <c r="D131" s="2" t="n"/>
      <c r="E131" s="2" t="n"/>
      <c r="F131" s="12" t="n"/>
      <c r="G131" s="2" t="n"/>
      <c r="H131" s="2" t="n"/>
    </row>
    <row r="132">
      <c r="A132" s="6" t="n"/>
      <c r="B132" s="6" t="n"/>
      <c r="C132" s="6" t="n"/>
      <c r="D132" s="6" t="n"/>
      <c r="E132" s="6" t="n"/>
      <c r="F132" s="14" t="n"/>
      <c r="G132" s="6" t="n"/>
      <c r="H132" s="6" t="n"/>
    </row>
    <row r="133">
      <c r="A133" s="2" t="n"/>
      <c r="B133" s="2" t="n"/>
      <c r="C133" s="2" t="n"/>
      <c r="D133" s="2" t="n"/>
      <c r="E133" s="2" t="n"/>
      <c r="F133" s="12" t="n"/>
      <c r="G133" s="2" t="n"/>
      <c r="H133" s="2" t="n"/>
    </row>
    <row r="134">
      <c r="A134" s="6" t="n"/>
      <c r="B134" s="6" t="n"/>
      <c r="C134" s="6" t="n"/>
      <c r="D134" s="6" t="n"/>
      <c r="E134" s="6" t="n"/>
      <c r="F134" s="14" t="n"/>
      <c r="G134" s="6" t="n"/>
      <c r="H134" s="6" t="n"/>
    </row>
    <row r="135">
      <c r="A135" s="2" t="n"/>
      <c r="B135" s="2" t="n"/>
      <c r="C135" s="2" t="n"/>
      <c r="D135" s="2" t="n"/>
      <c r="E135" s="2" t="n"/>
      <c r="F135" s="12" t="n"/>
      <c r="G135" s="2" t="n"/>
      <c r="H135" s="2" t="n"/>
    </row>
    <row r="136">
      <c r="A136" s="6" t="n"/>
      <c r="B136" s="6" t="n"/>
      <c r="C136" s="6" t="n"/>
      <c r="D136" s="6" t="n"/>
      <c r="E136" s="6" t="n"/>
      <c r="F136" s="14" t="n"/>
      <c r="G136" s="6" t="n"/>
      <c r="H136" s="6" t="n"/>
    </row>
    <row r="137">
      <c r="A137" s="2" t="n"/>
      <c r="B137" s="2" t="n"/>
      <c r="C137" s="2" t="n"/>
      <c r="D137" s="2" t="n"/>
      <c r="E137" s="2" t="n"/>
      <c r="F137" s="12" t="n"/>
      <c r="G137" s="2" t="n"/>
      <c r="H137" s="2" t="n"/>
    </row>
    <row r="138">
      <c r="A138" s="6" t="n"/>
      <c r="B138" s="6" t="n"/>
      <c r="C138" s="6" t="n"/>
      <c r="D138" s="6" t="n"/>
      <c r="E138" s="6" t="n"/>
      <c r="F138" s="14" t="n"/>
      <c r="G138" s="6" t="n"/>
      <c r="H138" s="6" t="n"/>
    </row>
    <row r="139">
      <c r="A139" s="2" t="n"/>
      <c r="B139" s="2" t="n"/>
      <c r="C139" s="2" t="n"/>
      <c r="D139" s="2" t="n"/>
      <c r="E139" s="2" t="n"/>
      <c r="F139" s="12" t="n"/>
      <c r="G139" s="2" t="n"/>
      <c r="H139" s="2" t="n"/>
    </row>
    <row r="140">
      <c r="A140" s="6" t="n"/>
      <c r="B140" s="6" t="n"/>
      <c r="C140" s="6" t="n"/>
      <c r="D140" s="6" t="n"/>
      <c r="E140" s="6" t="n"/>
      <c r="F140" s="14" t="n"/>
      <c r="G140" s="6" t="n"/>
      <c r="H140" s="6" t="n"/>
    </row>
    <row r="141">
      <c r="A141" s="2" t="n"/>
      <c r="B141" s="2" t="n"/>
      <c r="C141" s="2" t="n"/>
      <c r="D141" s="2" t="n"/>
      <c r="E141" s="2" t="n"/>
      <c r="F141" s="12" t="n"/>
      <c r="G141" s="2" t="n"/>
      <c r="H141" s="2" t="n"/>
    </row>
    <row r="142">
      <c r="A142" s="6" t="n"/>
      <c r="B142" s="6" t="n"/>
      <c r="C142" s="6" t="n"/>
      <c r="D142" s="6" t="n"/>
      <c r="E142" s="6" t="n"/>
      <c r="F142" s="14" t="n"/>
      <c r="G142" s="6" t="n"/>
      <c r="H142" s="6" t="n"/>
    </row>
    <row r="143">
      <c r="A143" s="2" t="n"/>
      <c r="B143" s="2" t="n"/>
      <c r="C143" s="2" t="n"/>
      <c r="D143" s="2" t="n"/>
      <c r="E143" s="2" t="n"/>
      <c r="F143" s="12" t="n"/>
      <c r="G143" s="2" t="n"/>
      <c r="H143" s="2" t="n"/>
    </row>
    <row r="144">
      <c r="A144" s="6" t="n"/>
      <c r="B144" s="6" t="n"/>
      <c r="C144" s="6" t="n"/>
      <c r="D144" s="6" t="n"/>
      <c r="E144" s="6" t="n"/>
      <c r="F144" s="14" t="n"/>
      <c r="G144" s="6" t="n"/>
      <c r="H144" s="6" t="n"/>
    </row>
    <row r="145">
      <c r="A145" s="2" t="n"/>
      <c r="B145" s="2" t="n"/>
      <c r="C145" s="2" t="n"/>
      <c r="D145" s="2" t="n"/>
      <c r="E145" s="2" t="n"/>
      <c r="F145" s="12" t="n"/>
      <c r="G145" s="2" t="n"/>
      <c r="H145" s="2" t="n"/>
    </row>
    <row r="146">
      <c r="A146" s="6" t="n"/>
      <c r="B146" s="6" t="n"/>
      <c r="C146" s="6" t="n"/>
      <c r="D146" s="6" t="n"/>
      <c r="E146" s="6" t="n"/>
      <c r="F146" s="14" t="n"/>
      <c r="G146" s="6" t="n"/>
      <c r="H146" s="6" t="n"/>
    </row>
    <row r="147">
      <c r="A147" s="2" t="n"/>
      <c r="B147" s="2" t="n"/>
      <c r="C147" s="2" t="n"/>
      <c r="D147" s="2" t="n"/>
      <c r="E147" s="2" t="n"/>
      <c r="F147" s="12" t="n"/>
      <c r="G147" s="2" t="n"/>
      <c r="H147" s="2" t="n"/>
    </row>
    <row r="148">
      <c r="A148" s="6" t="n"/>
      <c r="B148" s="6" t="n"/>
      <c r="C148" s="6" t="n"/>
      <c r="D148" s="6" t="n"/>
      <c r="E148" s="6" t="n"/>
      <c r="F148" s="14" t="n"/>
      <c r="G148" s="6" t="n"/>
      <c r="H148" s="6" t="n"/>
    </row>
    <row r="149">
      <c r="A149" s="2" t="n"/>
      <c r="B149" s="2" t="n"/>
      <c r="C149" s="2" t="n"/>
      <c r="D149" s="2" t="n"/>
      <c r="E149" s="2" t="n"/>
      <c r="F149" s="12" t="n"/>
      <c r="G149" s="2" t="n"/>
      <c r="H149" s="2" t="n"/>
    </row>
    <row r="150">
      <c r="A150" s="6" t="n"/>
      <c r="B150" s="6" t="n"/>
      <c r="C150" s="6" t="n"/>
      <c r="D150" s="6" t="n"/>
      <c r="E150" s="6" t="n"/>
      <c r="F150" s="14" t="n"/>
      <c r="G150" s="6" t="n"/>
      <c r="H150" s="6" t="n"/>
    </row>
    <row r="151">
      <c r="A151" s="2" t="n"/>
      <c r="B151" s="2" t="n"/>
      <c r="C151" s="2" t="n"/>
      <c r="D151" s="2" t="n"/>
      <c r="E151" s="2" t="n"/>
      <c r="F151" s="12" t="n"/>
      <c r="G151" s="2" t="n"/>
      <c r="H151" s="2" t="n"/>
    </row>
    <row r="152">
      <c r="A152" s="6" t="n"/>
      <c r="B152" s="6" t="n"/>
      <c r="C152" s="6" t="n"/>
      <c r="D152" s="6" t="n"/>
      <c r="E152" s="6" t="n"/>
      <c r="F152" s="14" t="n"/>
      <c r="G152" s="6" t="n"/>
      <c r="H152" s="6" t="n"/>
    </row>
    <row r="153">
      <c r="A153" s="2" t="n"/>
      <c r="B153" s="2" t="n"/>
      <c r="C153" s="2" t="n"/>
      <c r="D153" s="2" t="n"/>
      <c r="E153" s="2" t="n"/>
      <c r="F153" s="12" t="n"/>
      <c r="G153" s="2" t="n"/>
      <c r="H153" s="2" t="n"/>
    </row>
    <row r="154">
      <c r="A154" s="6" t="n"/>
      <c r="B154" s="6" t="n"/>
      <c r="C154" s="6" t="n"/>
      <c r="D154" s="6" t="n"/>
      <c r="E154" s="6" t="n"/>
      <c r="F154" s="14" t="n"/>
      <c r="G154" s="6" t="n"/>
      <c r="H154" s="6" t="n"/>
    </row>
    <row r="155">
      <c r="A155" s="2" t="n"/>
      <c r="B155" s="2" t="n"/>
      <c r="C155" s="2" t="n"/>
      <c r="D155" s="2" t="n"/>
      <c r="E155" s="2" t="n"/>
      <c r="F155" s="12" t="n"/>
      <c r="G155" s="2" t="n"/>
      <c r="H155" s="2" t="n"/>
    </row>
    <row r="156">
      <c r="A156" s="6" t="n"/>
      <c r="B156" s="6" t="n"/>
      <c r="C156" s="6" t="n"/>
      <c r="D156" s="6" t="n"/>
      <c r="E156" s="6" t="n"/>
      <c r="F156" s="14" t="n"/>
      <c r="G156" s="6" t="n"/>
      <c r="H156" s="6" t="n"/>
    </row>
    <row r="157">
      <c r="A157" s="2" t="n"/>
      <c r="B157" s="2" t="n"/>
      <c r="C157" s="2" t="n"/>
      <c r="D157" s="2" t="n"/>
      <c r="E157" s="2" t="n"/>
      <c r="F157" s="12" t="n"/>
      <c r="G157" s="2" t="n"/>
      <c r="H157" s="2" t="n"/>
    </row>
    <row r="158">
      <c r="A158" s="6" t="n"/>
      <c r="B158" s="6" t="n"/>
      <c r="C158" s="6" t="n"/>
      <c r="D158" s="6" t="n"/>
      <c r="E158" s="6" t="n"/>
      <c r="F158" s="14" t="n"/>
      <c r="G158" s="6" t="n"/>
      <c r="H158" s="6" t="n"/>
    </row>
    <row r="159">
      <c r="A159" s="2" t="n"/>
      <c r="B159" s="2" t="n"/>
      <c r="C159" s="2" t="n"/>
      <c r="D159" s="2" t="n"/>
      <c r="E159" s="2" t="n"/>
      <c r="F159" s="12" t="n"/>
      <c r="G159" s="2" t="n"/>
      <c r="H159" s="2" t="n"/>
    </row>
    <row r="160">
      <c r="A160" s="6" t="n"/>
      <c r="B160" s="6" t="n"/>
      <c r="C160" s="6" t="n"/>
      <c r="D160" s="6" t="n"/>
      <c r="E160" s="6" t="n"/>
      <c r="F160" s="14" t="n"/>
      <c r="G160" s="6" t="n"/>
      <c r="H160" s="6" t="n"/>
    </row>
    <row r="161">
      <c r="A161" s="2" t="n"/>
      <c r="B161" s="2" t="n"/>
      <c r="C161" s="2" t="n"/>
      <c r="D161" s="2" t="n"/>
      <c r="E161" s="2" t="n"/>
      <c r="F161" s="12" t="n"/>
      <c r="G161" s="2" t="n"/>
      <c r="H161" s="2" t="n"/>
    </row>
    <row r="162">
      <c r="A162" s="6" t="n"/>
      <c r="B162" s="6" t="n"/>
      <c r="C162" s="6" t="n"/>
      <c r="D162" s="6" t="n"/>
      <c r="E162" s="6" t="n"/>
      <c r="F162" s="14" t="n"/>
      <c r="G162" s="6" t="n"/>
      <c r="H162" s="6" t="n"/>
    </row>
    <row r="163">
      <c r="A163" s="2" t="n"/>
      <c r="B163" s="2" t="n"/>
      <c r="C163" s="2" t="n"/>
      <c r="D163" s="2" t="n"/>
      <c r="E163" s="2" t="n"/>
      <c r="F163" s="12" t="n"/>
      <c r="G163" s="2" t="n"/>
      <c r="H163" s="2" t="n"/>
    </row>
    <row r="164">
      <c r="A164" s="6" t="n"/>
      <c r="B164" s="6" t="n"/>
      <c r="C164" s="6" t="n"/>
      <c r="D164" s="6" t="n"/>
      <c r="E164" s="6" t="n"/>
      <c r="F164" s="14" t="n"/>
      <c r="G164" s="6" t="n"/>
      <c r="H164" s="6" t="n"/>
    </row>
    <row r="165">
      <c r="A165" s="2" t="n"/>
      <c r="B165" s="2" t="n"/>
      <c r="C165" s="2" t="n"/>
      <c r="D165" s="2" t="n"/>
      <c r="E165" s="2" t="n"/>
      <c r="F165" s="12" t="n"/>
      <c r="G165" s="2" t="n"/>
      <c r="H165" s="2" t="n"/>
    </row>
    <row r="166">
      <c r="A166" s="6" t="n"/>
      <c r="B166" s="6" t="n"/>
      <c r="C166" s="6" t="n"/>
      <c r="D166" s="6" t="n"/>
      <c r="E166" s="6" t="n"/>
      <c r="F166" s="14" t="n"/>
      <c r="G166" s="6" t="n"/>
      <c r="H166" s="6" t="n"/>
    </row>
    <row r="167">
      <c r="A167" s="2" t="n"/>
      <c r="B167" s="2" t="n"/>
      <c r="C167" s="2" t="n"/>
      <c r="D167" s="2" t="n"/>
      <c r="E167" s="2" t="n"/>
      <c r="F167" s="12" t="n"/>
      <c r="G167" s="2" t="n"/>
      <c r="H167" s="2" t="n"/>
    </row>
    <row r="168">
      <c r="A168" s="6" t="n"/>
      <c r="B168" s="6" t="n"/>
      <c r="C168" s="6" t="n"/>
      <c r="D168" s="6" t="n"/>
      <c r="E168" s="6" t="n"/>
      <c r="F168" s="14" t="n"/>
      <c r="G168" s="6" t="n"/>
      <c r="H168" s="6" t="n"/>
    </row>
    <row r="169">
      <c r="A169" s="2" t="n"/>
      <c r="B169" s="2" t="n"/>
      <c r="C169" s="2" t="n"/>
      <c r="D169" s="2" t="n"/>
      <c r="E169" s="2" t="n"/>
      <c r="F169" s="12" t="n"/>
      <c r="G169" s="2" t="n"/>
      <c r="H169" s="2" t="n"/>
    </row>
    <row r="170">
      <c r="A170" s="6" t="n"/>
      <c r="B170" s="6" t="n"/>
      <c r="C170" s="6" t="n"/>
      <c r="D170" s="6" t="n"/>
      <c r="E170" s="6" t="n"/>
      <c r="F170" s="14" t="n"/>
      <c r="G170" s="6" t="n"/>
      <c r="H170" s="6" t="n"/>
    </row>
    <row r="171">
      <c r="A171" s="2" t="n"/>
      <c r="B171" s="2" t="n"/>
      <c r="C171" s="2" t="n"/>
      <c r="D171" s="2" t="n"/>
      <c r="E171" s="2" t="n"/>
      <c r="F171" s="12" t="n"/>
      <c r="G171" s="2" t="n"/>
      <c r="H171" s="2" t="n"/>
    </row>
    <row r="172">
      <c r="A172" s="6" t="n"/>
      <c r="B172" s="6" t="n"/>
      <c r="C172" s="6" t="n"/>
      <c r="D172" s="6" t="n"/>
      <c r="E172" s="6" t="n"/>
      <c r="F172" s="14" t="n"/>
      <c r="G172" s="6" t="n"/>
      <c r="H172" s="6" t="n"/>
    </row>
    <row r="173">
      <c r="A173" s="2" t="n"/>
      <c r="B173" s="2" t="n"/>
      <c r="C173" s="2" t="n"/>
      <c r="D173" s="2" t="n"/>
      <c r="E173" s="2" t="n"/>
      <c r="F173" s="12" t="n"/>
      <c r="G173" s="2" t="n"/>
      <c r="H173" s="2" t="n"/>
    </row>
    <row r="174">
      <c r="A174" s="6" t="n"/>
      <c r="B174" s="6" t="n"/>
      <c r="C174" s="6" t="n"/>
      <c r="D174" s="6" t="n"/>
      <c r="E174" s="6" t="n"/>
      <c r="F174" s="14" t="n"/>
      <c r="G174" s="6" t="n"/>
      <c r="H174" s="6" t="n"/>
    </row>
    <row r="175">
      <c r="A175" s="2" t="n"/>
      <c r="B175" s="2" t="n"/>
      <c r="C175" s="2" t="n"/>
      <c r="D175" s="2" t="n"/>
      <c r="E175" s="2" t="n"/>
      <c r="F175" s="12" t="n"/>
      <c r="G175" s="2" t="n"/>
      <c r="H175" s="2" t="n"/>
    </row>
    <row r="176">
      <c r="A176" s="6" t="n"/>
      <c r="B176" s="6" t="n"/>
      <c r="C176" s="6" t="n"/>
      <c r="D176" s="6" t="n"/>
      <c r="E176" s="6" t="n"/>
      <c r="F176" s="14" t="n"/>
      <c r="G176" s="6" t="n"/>
      <c r="H176" s="6" t="n"/>
    </row>
    <row r="177">
      <c r="A177" s="2" t="n"/>
      <c r="B177" s="2" t="n"/>
      <c r="C177" s="2" t="n"/>
      <c r="D177" s="2" t="n"/>
      <c r="E177" s="2" t="n"/>
      <c r="F177" s="12" t="n"/>
      <c r="G177" s="2" t="n"/>
      <c r="H177" s="2" t="n"/>
    </row>
    <row r="178">
      <c r="A178" s="6" t="n"/>
      <c r="B178" s="6" t="n"/>
      <c r="C178" s="6" t="n"/>
      <c r="D178" s="6" t="n"/>
      <c r="E178" s="6" t="n"/>
      <c r="F178" s="14" t="n"/>
      <c r="G178" s="6" t="n"/>
      <c r="H178" s="6" t="n"/>
    </row>
    <row r="179">
      <c r="A179" s="2" t="n"/>
      <c r="B179" s="2" t="n"/>
      <c r="C179" s="2" t="n"/>
      <c r="D179" s="2" t="n"/>
      <c r="E179" s="2" t="n"/>
      <c r="F179" s="12" t="n"/>
      <c r="G179" s="2" t="n"/>
      <c r="H179" s="2" t="n"/>
    </row>
    <row r="180">
      <c r="A180" s="6" t="n"/>
      <c r="B180" s="6" t="n"/>
      <c r="C180" s="6" t="n"/>
      <c r="D180" s="6" t="n"/>
      <c r="E180" s="6" t="n"/>
      <c r="F180" s="14" t="n"/>
      <c r="G180" s="6" t="n"/>
      <c r="H180" s="6" t="n"/>
    </row>
    <row r="181">
      <c r="A181" s="2" t="n"/>
      <c r="B181" s="2" t="n"/>
      <c r="C181" s="2" t="n"/>
      <c r="D181" s="2" t="n"/>
      <c r="E181" s="2" t="n"/>
      <c r="F181" s="12" t="n"/>
      <c r="G181" s="2" t="n"/>
      <c r="H181" s="2" t="n"/>
    </row>
    <row r="182">
      <c r="A182" s="6" t="n"/>
      <c r="B182" s="6" t="n"/>
      <c r="C182" s="6" t="n"/>
      <c r="D182" s="6" t="n"/>
      <c r="E182" s="6" t="n"/>
      <c r="F182" s="14" t="n"/>
      <c r="G182" s="6" t="n"/>
      <c r="H182" s="6" t="n"/>
    </row>
    <row r="183">
      <c r="A183" s="2" t="n"/>
      <c r="B183" s="2" t="n"/>
      <c r="C183" s="2" t="n"/>
      <c r="D183" s="2" t="n"/>
      <c r="E183" s="2" t="n"/>
      <c r="F183" s="12" t="n"/>
      <c r="G183" s="2" t="n"/>
      <c r="H183" s="2" t="n"/>
    </row>
    <row r="184">
      <c r="A184" s="6" t="n"/>
      <c r="B184" s="6" t="n"/>
      <c r="C184" s="6" t="n"/>
      <c r="D184" s="6" t="n"/>
      <c r="E184" s="6" t="n"/>
      <c r="F184" s="14" t="n"/>
      <c r="G184" s="6" t="n"/>
      <c r="H184" s="6" t="n"/>
    </row>
    <row r="185">
      <c r="A185" s="2" t="n"/>
      <c r="B185" s="2" t="n"/>
      <c r="C185" s="2" t="n"/>
      <c r="D185" s="2" t="n"/>
      <c r="E185" s="2" t="n"/>
      <c r="F185" s="12" t="n"/>
      <c r="G185" s="2" t="n"/>
      <c r="H185" s="2" t="n"/>
    </row>
    <row r="186">
      <c r="A186" s="6" t="n"/>
      <c r="B186" s="6" t="n"/>
      <c r="C186" s="6" t="n"/>
      <c r="D186" s="6" t="n"/>
      <c r="E186" s="6" t="n"/>
      <c r="F186" s="14" t="n"/>
      <c r="G186" s="6" t="n"/>
      <c r="H186" s="6" t="n"/>
    </row>
    <row r="187">
      <c r="A187" s="2" t="n"/>
      <c r="B187" s="2" t="n"/>
      <c r="C187" s="2" t="n"/>
      <c r="D187" s="2" t="n"/>
      <c r="E187" s="2" t="n"/>
      <c r="F187" s="12" t="n"/>
      <c r="G187" s="2" t="n"/>
      <c r="H187" s="2" t="n"/>
    </row>
    <row r="188">
      <c r="A188" s="6" t="n"/>
      <c r="B188" s="6" t="n"/>
      <c r="C188" s="6" t="n"/>
      <c r="D188" s="6" t="n"/>
      <c r="E188" s="6" t="n"/>
      <c r="F188" s="14" t="n"/>
      <c r="G188" s="6" t="n"/>
      <c r="H188" s="6" t="n"/>
    </row>
    <row r="189">
      <c r="A189" s="2" t="n"/>
      <c r="B189" s="2" t="n"/>
      <c r="C189" s="2" t="n"/>
      <c r="D189" s="2" t="n"/>
      <c r="E189" s="2" t="n"/>
      <c r="F189" s="12" t="n"/>
      <c r="G189" s="2" t="n"/>
      <c r="H189" s="2" t="n"/>
    </row>
    <row r="190">
      <c r="A190" s="6" t="n"/>
      <c r="B190" s="6" t="n"/>
      <c r="C190" s="6" t="n"/>
      <c r="D190" s="6" t="n"/>
      <c r="E190" s="6" t="n"/>
      <c r="F190" s="14" t="n"/>
      <c r="G190" s="6" t="n"/>
      <c r="H190" s="6" t="n"/>
    </row>
    <row r="191">
      <c r="A191" s="2" t="n"/>
      <c r="B191" s="2" t="n"/>
      <c r="C191" s="2" t="n"/>
      <c r="D191" s="2" t="n"/>
      <c r="E191" s="2" t="n"/>
      <c r="F191" s="12" t="n"/>
      <c r="G191" s="2" t="n"/>
      <c r="H191" s="2" t="n"/>
    </row>
    <row r="192">
      <c r="A192" s="6" t="n"/>
      <c r="B192" s="6" t="n"/>
      <c r="C192" s="6" t="n"/>
      <c r="D192" s="6" t="n"/>
      <c r="E192" s="6" t="n"/>
      <c r="F192" s="14" t="n"/>
      <c r="G192" s="6" t="n"/>
      <c r="H192" s="6" t="n"/>
    </row>
    <row r="193">
      <c r="A193" s="2" t="n"/>
      <c r="B193" s="2" t="n"/>
      <c r="C193" s="2" t="n"/>
      <c r="D193" s="2" t="n"/>
      <c r="E193" s="2" t="n"/>
      <c r="F193" s="12" t="n"/>
      <c r="G193" s="2" t="n"/>
      <c r="H193" s="2" t="n"/>
    </row>
    <row r="194">
      <c r="A194" s="6" t="n"/>
      <c r="B194" s="6" t="n"/>
      <c r="C194" s="6" t="n"/>
      <c r="D194" s="6" t="n"/>
      <c r="E194" s="6" t="n"/>
      <c r="F194" s="14" t="n"/>
      <c r="G194" s="6" t="n"/>
      <c r="H194" s="6" t="n"/>
    </row>
    <row r="195">
      <c r="A195" s="2" t="n"/>
      <c r="B195" s="2" t="n"/>
      <c r="C195" s="2" t="n"/>
      <c r="D195" s="2" t="n"/>
      <c r="E195" s="2" t="n"/>
      <c r="F195" s="12" t="n"/>
      <c r="G195" s="2" t="n"/>
      <c r="H195" s="2" t="n"/>
    </row>
    <row r="196">
      <c r="A196" s="6" t="n"/>
      <c r="B196" s="6" t="n"/>
      <c r="C196" s="6" t="n"/>
      <c r="D196" s="6" t="n"/>
      <c r="E196" s="6" t="n"/>
      <c r="F196" s="14" t="n"/>
      <c r="G196" s="6" t="n"/>
      <c r="H196" s="6" t="n"/>
    </row>
    <row r="197">
      <c r="A197" s="2" t="n"/>
      <c r="B197" s="2" t="n"/>
      <c r="C197" s="2" t="n"/>
      <c r="D197" s="2" t="n"/>
      <c r="E197" s="2" t="n"/>
      <c r="F197" s="12" t="n"/>
      <c r="G197" s="2" t="n"/>
      <c r="H197" s="2" t="n"/>
    </row>
    <row r="198">
      <c r="A198" s="6" t="n"/>
      <c r="B198" s="6" t="n"/>
      <c r="C198" s="6" t="n"/>
      <c r="D198" s="6" t="n"/>
      <c r="E198" s="6" t="n"/>
      <c r="F198" s="14" t="n"/>
      <c r="G198" s="6" t="n"/>
      <c r="H198" s="6" t="n"/>
    </row>
    <row r="199">
      <c r="A199" s="2" t="n"/>
      <c r="B199" s="2" t="n"/>
      <c r="C199" s="2" t="n"/>
      <c r="D199" s="2" t="n"/>
      <c r="E199" s="2" t="n"/>
      <c r="F199" s="12" t="n"/>
      <c r="G199" s="2" t="n"/>
      <c r="H199" s="2" t="n"/>
    </row>
    <row r="200">
      <c r="A200" s="6" t="n"/>
      <c r="B200" s="6" t="n"/>
      <c r="C200" s="6" t="n"/>
      <c r="D200" s="6" t="n"/>
      <c r="E200" s="6" t="n"/>
      <c r="F200" s="14" t="n"/>
      <c r="G200" s="6" t="n"/>
      <c r="H200" s="6" t="n"/>
    </row>
    <row r="201">
      <c r="A201" s="2" t="n"/>
      <c r="B201" s="2" t="n"/>
      <c r="C201" s="2" t="n"/>
      <c r="D201" s="2" t="n"/>
      <c r="E201" s="2" t="n"/>
      <c r="F201" s="12" t="n"/>
      <c r="G201" s="2" t="n"/>
      <c r="H201" s="2" t="n"/>
    </row>
    <row r="202">
      <c r="A202" s="6" t="n"/>
      <c r="B202" s="6" t="n"/>
      <c r="C202" s="6" t="n"/>
      <c r="D202" s="6" t="n"/>
      <c r="E202" s="6" t="n"/>
      <c r="F202" s="14" t="n"/>
      <c r="G202" s="6" t="n"/>
      <c r="H202" s="6" t="n"/>
    </row>
    <row r="203">
      <c r="A203" s="2" t="n"/>
      <c r="B203" s="2" t="n"/>
      <c r="C203" s="2" t="n"/>
      <c r="D203" s="2" t="n"/>
      <c r="E203" s="2" t="n"/>
      <c r="F203" s="12" t="n"/>
      <c r="G203" s="2" t="n"/>
      <c r="H203" s="2" t="n"/>
    </row>
    <row r="204">
      <c r="A204" s="6" t="n"/>
      <c r="B204" s="6" t="n"/>
      <c r="C204" s="6" t="n"/>
      <c r="D204" s="6" t="n"/>
      <c r="E204" s="6" t="n"/>
      <c r="F204" s="14" t="n"/>
      <c r="G204" s="6" t="n"/>
      <c r="H204" s="6" t="n"/>
    </row>
    <row r="205">
      <c r="A205" s="2" t="n"/>
      <c r="B205" s="2" t="n"/>
      <c r="C205" s="2" t="n"/>
      <c r="D205" s="2" t="n"/>
      <c r="E205" s="2" t="n"/>
      <c r="F205" s="12" t="n"/>
      <c r="G205" s="2" t="n"/>
      <c r="H205" s="2" t="n"/>
    </row>
    <row r="206">
      <c r="A206" s="6" t="n"/>
      <c r="B206" s="6" t="n"/>
      <c r="C206" s="6" t="n"/>
      <c r="D206" s="6" t="n"/>
      <c r="E206" s="6" t="n"/>
      <c r="F206" s="14" t="n"/>
      <c r="G206" s="6" t="n"/>
      <c r="H206" s="6" t="n"/>
    </row>
    <row r="207">
      <c r="A207" s="2" t="n"/>
      <c r="B207" s="2" t="n"/>
      <c r="C207" s="2" t="n"/>
      <c r="D207" s="2" t="n"/>
      <c r="E207" s="2" t="n"/>
      <c r="F207" s="12" t="n"/>
      <c r="G207" s="2" t="n"/>
      <c r="H207" s="2" t="n"/>
    </row>
    <row r="208">
      <c r="A208" s="6" t="n"/>
      <c r="B208" s="6" t="n"/>
      <c r="C208" s="6" t="n"/>
      <c r="D208" s="6" t="n"/>
      <c r="E208" s="6" t="n"/>
      <c r="F208" s="14" t="n"/>
      <c r="G208" s="6" t="n"/>
      <c r="H208" s="6" t="n"/>
    </row>
    <row r="209">
      <c r="A209" s="2" t="n"/>
      <c r="B209" s="2" t="n"/>
      <c r="C209" s="2" t="n"/>
      <c r="D209" s="2" t="n"/>
      <c r="E209" s="2" t="n"/>
      <c r="F209" s="12" t="n"/>
      <c r="G209" s="2" t="n"/>
      <c r="H209" s="2" t="n"/>
    </row>
    <row r="210">
      <c r="A210" s="6" t="n"/>
      <c r="B210" s="6" t="n"/>
      <c r="C210" s="6" t="n"/>
      <c r="D210" s="6" t="n"/>
      <c r="E210" s="6" t="n"/>
      <c r="F210" s="14" t="n"/>
      <c r="G210" s="6" t="n"/>
      <c r="H210" s="6" t="n"/>
    </row>
    <row r="211">
      <c r="A211" s="2" t="n"/>
      <c r="B211" s="2" t="n"/>
      <c r="C211" s="2" t="n"/>
      <c r="D211" s="2" t="n"/>
      <c r="E211" s="2" t="n"/>
      <c r="F211" s="12" t="n"/>
      <c r="G211" s="2" t="n"/>
      <c r="H211" s="2" t="n"/>
    </row>
    <row r="212">
      <c r="A212" s="6" t="n"/>
      <c r="B212" s="6" t="n"/>
      <c r="C212" s="6" t="n"/>
      <c r="D212" s="6" t="n"/>
      <c r="E212" s="6" t="n"/>
      <c r="F212" s="14" t="n"/>
      <c r="G212" s="6" t="n"/>
      <c r="H212" s="6" t="n"/>
    </row>
    <row r="213">
      <c r="A213" s="2" t="n"/>
      <c r="B213" s="2" t="n"/>
      <c r="C213" s="2" t="n"/>
      <c r="D213" s="2" t="n"/>
      <c r="E213" s="2" t="n"/>
      <c r="F213" s="12" t="n"/>
      <c r="G213" s="2" t="n"/>
      <c r="H213" s="2" t="n"/>
    </row>
    <row r="214">
      <c r="A214" s="6" t="n"/>
      <c r="B214" s="6" t="n"/>
      <c r="C214" s="6" t="n"/>
      <c r="D214" s="6" t="n"/>
      <c r="E214" s="6" t="n"/>
      <c r="F214" s="14" t="n"/>
      <c r="G214" s="6" t="n"/>
      <c r="H214" s="6" t="n"/>
    </row>
    <row r="215">
      <c r="A215" s="2" t="n"/>
      <c r="B215" s="2" t="n"/>
      <c r="C215" s="2" t="n"/>
      <c r="D215" s="2" t="n"/>
      <c r="E215" s="2" t="n"/>
      <c r="F215" s="12" t="n"/>
      <c r="G215" s="2" t="n"/>
      <c r="H215" s="2" t="n"/>
    </row>
    <row r="216">
      <c r="A216" s="6" t="n"/>
      <c r="B216" s="6" t="n"/>
      <c r="C216" s="6" t="n"/>
      <c r="D216" s="6" t="n"/>
      <c r="E216" s="6" t="n"/>
      <c r="F216" s="14" t="n"/>
      <c r="G216" s="6" t="n"/>
      <c r="H216" s="6" t="n"/>
    </row>
    <row r="217">
      <c r="A217" s="2" t="n"/>
      <c r="B217" s="2" t="n"/>
      <c r="C217" s="2" t="n"/>
      <c r="D217" s="2" t="n"/>
      <c r="E217" s="2" t="n"/>
      <c r="F217" s="12" t="n"/>
      <c r="G217" s="2" t="n"/>
      <c r="H217" s="2" t="n"/>
    </row>
    <row r="218">
      <c r="A218" s="6" t="n"/>
      <c r="B218" s="6" t="n"/>
      <c r="C218" s="6" t="n"/>
      <c r="D218" s="6" t="n"/>
      <c r="E218" s="6" t="n"/>
      <c r="F218" s="14" t="n"/>
      <c r="G218" s="6" t="n"/>
      <c r="H218" s="6" t="n"/>
    </row>
    <row r="219">
      <c r="A219" s="2" t="n"/>
      <c r="B219" s="2" t="n"/>
      <c r="C219" s="2" t="n"/>
      <c r="D219" s="2" t="n"/>
      <c r="E219" s="2" t="n"/>
      <c r="F219" s="12" t="n"/>
      <c r="G219" s="2" t="n"/>
      <c r="H219" s="2" t="n"/>
    </row>
    <row r="220">
      <c r="A220" s="6" t="n"/>
      <c r="B220" s="6" t="n"/>
      <c r="C220" s="6" t="n"/>
      <c r="D220" s="6" t="n"/>
      <c r="E220" s="6" t="n"/>
      <c r="F220" s="14" t="n"/>
      <c r="G220" s="6" t="n"/>
      <c r="H220" s="6" t="n"/>
    </row>
    <row r="221">
      <c r="A221" s="2" t="n"/>
      <c r="B221" s="2" t="n"/>
      <c r="C221" s="2" t="n"/>
      <c r="D221" s="2" t="n"/>
      <c r="E221" s="2" t="n"/>
      <c r="F221" s="12" t="n"/>
      <c r="G221" s="2" t="n"/>
      <c r="H221" s="2" t="n"/>
    </row>
    <row r="222">
      <c r="A222" s="6" t="n"/>
      <c r="B222" s="6" t="n"/>
      <c r="C222" s="6" t="n"/>
      <c r="D222" s="6" t="n"/>
      <c r="E222" s="6" t="n"/>
      <c r="F222" s="14" t="n"/>
      <c r="G222" s="6" t="n"/>
      <c r="H222" s="6" t="n"/>
    </row>
    <row r="223">
      <c r="A223" s="2" t="n"/>
      <c r="B223" s="2" t="n"/>
      <c r="C223" s="2" t="n"/>
      <c r="D223" s="2" t="n"/>
      <c r="E223" s="2" t="n"/>
      <c r="F223" s="12" t="n"/>
      <c r="G223" s="2" t="n"/>
      <c r="H223" s="2" t="n"/>
    </row>
    <row r="224">
      <c r="A224" s="6" t="n"/>
      <c r="B224" s="6" t="n"/>
      <c r="C224" s="6" t="n"/>
      <c r="D224" s="6" t="n"/>
      <c r="E224" s="6" t="n"/>
      <c r="F224" s="14" t="n"/>
      <c r="G224" s="6" t="n"/>
      <c r="H224" s="6" t="n"/>
    </row>
    <row r="225">
      <c r="A225" s="2" t="n"/>
      <c r="B225" s="2" t="n"/>
      <c r="C225" s="2" t="n"/>
      <c r="D225" s="2" t="n"/>
      <c r="E225" s="2" t="n"/>
      <c r="F225" s="12" t="n"/>
      <c r="G225" s="2" t="n"/>
      <c r="H225" s="2" t="n"/>
    </row>
    <row r="226">
      <c r="A226" s="6" t="n"/>
      <c r="B226" s="6" t="n"/>
      <c r="C226" s="6" t="n"/>
      <c r="D226" s="6" t="n"/>
      <c r="E226" s="6" t="n"/>
      <c r="F226" s="14" t="n"/>
      <c r="G226" s="6" t="n"/>
      <c r="H226" s="6" t="n"/>
    </row>
    <row r="227">
      <c r="A227" s="2" t="n"/>
      <c r="B227" s="2" t="n"/>
      <c r="C227" s="2" t="n"/>
      <c r="D227" s="2" t="n"/>
      <c r="E227" s="2" t="n"/>
      <c r="F227" s="12" t="n"/>
      <c r="G227" s="2" t="n"/>
      <c r="H227" s="2" t="n"/>
    </row>
    <row r="228">
      <c r="A228" s="6" t="n"/>
      <c r="B228" s="6" t="n"/>
      <c r="C228" s="6" t="n"/>
      <c r="D228" s="6" t="n"/>
      <c r="E228" s="6" t="n"/>
      <c r="F228" s="14" t="n"/>
      <c r="G228" s="6" t="n"/>
      <c r="H228" s="6" t="n"/>
    </row>
    <row r="229">
      <c r="A229" s="2" t="n"/>
      <c r="B229" s="2" t="n"/>
      <c r="C229" s="2" t="n"/>
      <c r="D229" s="2" t="n"/>
      <c r="E229" s="2" t="n"/>
      <c r="F229" s="12" t="n"/>
      <c r="G229" s="2" t="n"/>
      <c r="H229" s="2" t="n"/>
    </row>
    <row r="230">
      <c r="A230" s="6" t="n"/>
      <c r="B230" s="6" t="n"/>
      <c r="C230" s="6" t="n"/>
      <c r="D230" s="6" t="n"/>
      <c r="E230" s="6" t="n"/>
      <c r="F230" s="14" t="n"/>
      <c r="G230" s="6" t="n"/>
      <c r="H230" s="6" t="n"/>
    </row>
    <row r="231">
      <c r="A231" s="2" t="n"/>
      <c r="B231" s="2" t="n"/>
      <c r="C231" s="2" t="n"/>
      <c r="D231" s="2" t="n"/>
      <c r="E231" s="2" t="n"/>
      <c r="F231" s="12" t="n"/>
      <c r="G231" s="2" t="n"/>
      <c r="H231" s="2" t="n"/>
    </row>
    <row r="232">
      <c r="A232" s="6" t="n"/>
      <c r="B232" s="6" t="n"/>
      <c r="C232" s="6" t="n"/>
      <c r="D232" s="6" t="n"/>
      <c r="E232" s="6" t="n"/>
      <c r="F232" s="14" t="n"/>
      <c r="G232" s="6" t="n"/>
      <c r="H232" s="6" t="n"/>
    </row>
    <row r="233">
      <c r="A233" s="2" t="n"/>
      <c r="B233" s="2" t="n"/>
      <c r="C233" s="2" t="n"/>
      <c r="D233" s="2" t="n"/>
      <c r="E233" s="2" t="n"/>
      <c r="F233" s="12" t="n"/>
      <c r="G233" s="2" t="n"/>
      <c r="H233" s="2" t="n"/>
    </row>
    <row r="234">
      <c r="A234" s="6" t="n"/>
      <c r="B234" s="6" t="n"/>
      <c r="C234" s="6" t="n"/>
      <c r="D234" s="6" t="n"/>
      <c r="E234" s="6" t="n"/>
      <c r="F234" s="14" t="n"/>
      <c r="G234" s="6" t="n"/>
      <c r="H234" s="6" t="n"/>
    </row>
    <row r="235">
      <c r="A235" s="2" t="n"/>
      <c r="B235" s="2" t="n"/>
      <c r="C235" s="2" t="n"/>
      <c r="D235" s="2" t="n"/>
      <c r="E235" s="2" t="n"/>
      <c r="F235" s="12" t="n"/>
      <c r="G235" s="2" t="n"/>
      <c r="H235" s="2" t="n"/>
    </row>
    <row r="236">
      <c r="A236" s="6" t="n"/>
      <c r="B236" s="6" t="n"/>
      <c r="C236" s="6" t="n"/>
      <c r="D236" s="6" t="n"/>
      <c r="E236" s="6" t="n"/>
      <c r="F236" s="14" t="n"/>
      <c r="G236" s="6" t="n"/>
      <c r="H236" s="6" t="n"/>
    </row>
    <row r="237">
      <c r="A237" s="2" t="n"/>
      <c r="B237" s="2" t="n"/>
      <c r="C237" s="2" t="n"/>
      <c r="D237" s="2" t="n"/>
      <c r="E237" s="2" t="n"/>
      <c r="F237" s="12" t="n"/>
      <c r="G237" s="2" t="n"/>
      <c r="H237" s="2" t="n"/>
    </row>
    <row r="238">
      <c r="A238" s="6" t="n"/>
      <c r="B238" s="6" t="n"/>
      <c r="C238" s="6" t="n"/>
      <c r="D238" s="6" t="n"/>
      <c r="E238" s="6" t="n"/>
      <c r="F238" s="14" t="n"/>
      <c r="G238" s="6" t="n"/>
      <c r="H238" s="6" t="n"/>
    </row>
    <row r="239">
      <c r="A239" s="2" t="n"/>
      <c r="B239" s="2" t="n"/>
      <c r="C239" s="2" t="n"/>
      <c r="D239" s="2" t="n"/>
      <c r="E239" s="2" t="n"/>
      <c r="F239" s="12" t="n"/>
      <c r="G239" s="2" t="n"/>
      <c r="H239" s="2" t="n"/>
    </row>
    <row r="240">
      <c r="A240" s="6" t="n"/>
      <c r="B240" s="6" t="n"/>
      <c r="C240" s="6" t="n"/>
      <c r="D240" s="6" t="n"/>
      <c r="E240" s="6" t="n"/>
      <c r="F240" s="14" t="n"/>
      <c r="G240" s="6" t="n"/>
      <c r="H240" s="6" t="n"/>
    </row>
    <row r="241">
      <c r="A241" s="2" t="n"/>
      <c r="B241" s="2" t="n"/>
      <c r="C241" s="2" t="n"/>
      <c r="D241" s="2" t="n"/>
      <c r="E241" s="2" t="n"/>
      <c r="F241" s="12" t="n"/>
      <c r="G241" s="2" t="n"/>
      <c r="H241" s="2" t="n"/>
    </row>
    <row r="242">
      <c r="A242" s="6" t="n"/>
      <c r="B242" s="6" t="n"/>
      <c r="C242" s="6" t="n"/>
      <c r="D242" s="6" t="n"/>
      <c r="E242" s="6" t="n"/>
      <c r="F242" s="14" t="n"/>
      <c r="G242" s="6" t="n"/>
      <c r="H242" s="6" t="n"/>
    </row>
    <row r="243">
      <c r="A243" s="2" t="n"/>
      <c r="B243" s="2" t="n"/>
      <c r="C243" s="2" t="n"/>
      <c r="D243" s="2" t="n"/>
      <c r="E243" s="2" t="n"/>
      <c r="F243" s="12" t="n"/>
      <c r="G243" s="2" t="n"/>
      <c r="H243" s="2" t="n"/>
    </row>
    <row r="244">
      <c r="A244" s="6" t="n"/>
      <c r="B244" s="6" t="n"/>
      <c r="C244" s="6" t="n"/>
      <c r="D244" s="6" t="n"/>
      <c r="E244" s="6" t="n"/>
      <c r="F244" s="14" t="n"/>
      <c r="G244" s="6" t="n"/>
      <c r="H244" s="6" t="n"/>
    </row>
    <row r="245">
      <c r="A245" s="2" t="n"/>
      <c r="B245" s="2" t="n"/>
      <c r="C245" s="2" t="n"/>
      <c r="D245" s="2" t="n"/>
      <c r="E245" s="2" t="n"/>
      <c r="F245" s="12" t="n"/>
      <c r="G245" s="2" t="n"/>
      <c r="H245" s="2" t="n"/>
    </row>
    <row r="246">
      <c r="A246" s="6" t="n"/>
      <c r="B246" s="6" t="n"/>
      <c r="C246" s="6" t="n"/>
      <c r="D246" s="6" t="n"/>
      <c r="E246" s="6" t="n"/>
      <c r="F246" s="14" t="n"/>
      <c r="G246" s="6" t="n"/>
      <c r="H246" s="6" t="n"/>
    </row>
    <row r="247">
      <c r="A247" s="2" t="n"/>
      <c r="B247" s="2" t="n"/>
      <c r="C247" s="2" t="n"/>
      <c r="D247" s="2" t="n"/>
      <c r="E247" s="2" t="n"/>
      <c r="F247" s="12" t="n"/>
      <c r="G247" s="2" t="n"/>
      <c r="H247" s="2" t="n"/>
    </row>
    <row r="248">
      <c r="A248" s="6" t="n"/>
      <c r="B248" s="6" t="n"/>
      <c r="C248" s="6" t="n"/>
      <c r="D248" s="6" t="n"/>
      <c r="E248" s="6" t="n"/>
      <c r="F248" s="14" t="n"/>
      <c r="G248" s="6" t="n"/>
      <c r="H248" s="6" t="n"/>
    </row>
    <row r="249">
      <c r="A249" s="2" t="n"/>
      <c r="B249" s="2" t="n"/>
      <c r="C249" s="2" t="n"/>
      <c r="D249" s="2" t="n"/>
      <c r="E249" s="2" t="n"/>
      <c r="F249" s="12" t="n"/>
      <c r="G249" s="2" t="n"/>
      <c r="H249" s="2" t="n"/>
    </row>
    <row r="250">
      <c r="A250" s="6" t="n"/>
      <c r="B250" s="6" t="n"/>
      <c r="C250" s="6" t="n"/>
      <c r="D250" s="6" t="n"/>
      <c r="E250" s="6" t="n"/>
      <c r="F250" s="14" t="n"/>
      <c r="G250" s="6" t="n"/>
      <c r="H250" s="6" t="n"/>
    </row>
    <row r="251">
      <c r="A251" s="2" t="n"/>
      <c r="B251" s="2" t="n"/>
      <c r="C251" s="2" t="n"/>
      <c r="D251" s="2" t="n"/>
      <c r="E251" s="2" t="n"/>
      <c r="F251" s="12" t="n"/>
      <c r="G251" s="2" t="n"/>
      <c r="H251" s="2" t="n"/>
    </row>
    <row r="252">
      <c r="A252" s="6" t="n"/>
      <c r="B252" s="6" t="n"/>
      <c r="C252" s="6" t="n"/>
      <c r="D252" s="6" t="n"/>
      <c r="E252" s="6" t="n"/>
      <c r="F252" s="14" t="n"/>
      <c r="G252" s="6" t="n"/>
      <c r="H252" s="6" t="n"/>
    </row>
    <row r="253">
      <c r="A253" s="2" t="n"/>
      <c r="B253" s="2" t="n"/>
      <c r="C253" s="2" t="n"/>
      <c r="D253" s="2" t="n"/>
      <c r="E253" s="2" t="n"/>
      <c r="F253" s="12" t="n"/>
      <c r="G253" s="2" t="n"/>
      <c r="H253" s="2" t="n"/>
    </row>
    <row r="254">
      <c r="A254" s="6" t="n"/>
      <c r="B254" s="6" t="n"/>
      <c r="C254" s="6" t="n"/>
      <c r="D254" s="6" t="n"/>
      <c r="E254" s="6" t="n"/>
      <c r="F254" s="14" t="n"/>
      <c r="G254" s="6" t="n"/>
      <c r="H254" s="6" t="n"/>
    </row>
    <row r="255">
      <c r="A255" s="2" t="n"/>
      <c r="B255" s="2" t="n"/>
      <c r="C255" s="2" t="n"/>
      <c r="D255" s="2" t="n"/>
      <c r="E255" s="2" t="n"/>
      <c r="F255" s="12" t="n"/>
      <c r="G255" s="2" t="n"/>
      <c r="H255" s="2" t="n"/>
    </row>
    <row r="256">
      <c r="A256" s="6" t="n"/>
      <c r="B256" s="6" t="n"/>
      <c r="C256" s="6" t="n"/>
      <c r="D256" s="6" t="n"/>
      <c r="E256" s="6" t="n"/>
      <c r="F256" s="14" t="n"/>
      <c r="G256" s="6" t="n"/>
      <c r="H256" s="6" t="n"/>
    </row>
    <row r="257">
      <c r="A257" s="2" t="n"/>
      <c r="B257" s="2" t="n"/>
      <c r="C257" s="2" t="n"/>
      <c r="D257" s="2" t="n"/>
      <c r="E257" s="2" t="n"/>
      <c r="F257" s="12" t="n"/>
      <c r="G257" s="2" t="n"/>
      <c r="H257" s="2" t="n"/>
    </row>
    <row r="258">
      <c r="A258" s="6" t="n"/>
      <c r="B258" s="6" t="n"/>
      <c r="C258" s="6" t="n"/>
      <c r="D258" s="6" t="n"/>
      <c r="E258" s="6" t="n"/>
      <c r="F258" s="14" t="n"/>
      <c r="G258" s="6" t="n"/>
      <c r="H258" s="6" t="n"/>
    </row>
    <row r="259">
      <c r="A259" s="2" t="n"/>
      <c r="B259" s="2" t="n"/>
      <c r="C259" s="2" t="n"/>
      <c r="D259" s="2" t="n"/>
      <c r="E259" s="2" t="n"/>
      <c r="F259" s="12" t="n"/>
      <c r="G259" s="2" t="n"/>
      <c r="H259" s="2" t="n"/>
    </row>
    <row r="260">
      <c r="A260" s="6" t="n"/>
      <c r="B260" s="6" t="n"/>
      <c r="C260" s="6" t="n"/>
      <c r="D260" s="6" t="n"/>
      <c r="E260" s="6" t="n"/>
      <c r="F260" s="14" t="n"/>
      <c r="G260" s="6" t="n"/>
      <c r="H260" s="6" t="n"/>
    </row>
    <row r="261">
      <c r="A261" s="2" t="n"/>
      <c r="B261" s="2" t="n"/>
      <c r="C261" s="2" t="n"/>
      <c r="D261" s="2" t="n"/>
      <c r="E261" s="2" t="n"/>
      <c r="F261" s="12" t="n"/>
      <c r="G261" s="2" t="n"/>
      <c r="H261" s="2" t="n"/>
    </row>
    <row r="262">
      <c r="A262" s="6" t="n"/>
      <c r="B262" s="6" t="n"/>
      <c r="C262" s="6" t="n"/>
      <c r="D262" s="6" t="n"/>
      <c r="E262" s="6" t="n"/>
      <c r="F262" s="14" t="n"/>
      <c r="G262" s="6" t="n"/>
      <c r="H262" s="6" t="n"/>
    </row>
    <row r="263">
      <c r="A263" s="2" t="n"/>
      <c r="B263" s="2" t="n"/>
      <c r="C263" s="2" t="n"/>
      <c r="D263" s="2" t="n"/>
      <c r="E263" s="2" t="n"/>
      <c r="F263" s="12" t="n"/>
      <c r="G263" s="2" t="n"/>
      <c r="H263" s="2" t="n"/>
    </row>
    <row r="264">
      <c r="A264" s="6" t="n"/>
      <c r="B264" s="6" t="n"/>
      <c r="C264" s="6" t="n"/>
      <c r="D264" s="6" t="n"/>
      <c r="E264" s="6" t="n"/>
      <c r="F264" s="14" t="n"/>
      <c r="G264" s="6" t="n"/>
      <c r="H264" s="6" t="n"/>
    </row>
    <row r="265">
      <c r="A265" s="2" t="n"/>
      <c r="B265" s="2" t="n"/>
      <c r="C265" s="2" t="n"/>
      <c r="D265" s="2" t="n"/>
      <c r="E265" s="2" t="n"/>
      <c r="F265" s="12" t="n"/>
      <c r="G265" s="2" t="n"/>
      <c r="H265" s="2" t="n"/>
    </row>
    <row r="266">
      <c r="A266" s="6" t="n"/>
      <c r="B266" s="6" t="n"/>
      <c r="C266" s="6" t="n"/>
      <c r="D266" s="6" t="n"/>
      <c r="E266" s="6" t="n"/>
      <c r="F266" s="14" t="n"/>
      <c r="G266" s="6" t="n"/>
      <c r="H266" s="6" t="n"/>
    </row>
    <row r="267">
      <c r="A267" s="2" t="n"/>
      <c r="B267" s="2" t="n"/>
      <c r="C267" s="2" t="n"/>
      <c r="D267" s="2" t="n"/>
      <c r="E267" s="2" t="n"/>
      <c r="F267" s="12" t="n"/>
      <c r="G267" s="2" t="n"/>
      <c r="H267" s="2" t="n"/>
    </row>
    <row r="268">
      <c r="A268" s="6" t="n"/>
      <c r="B268" s="6" t="n"/>
      <c r="C268" s="6" t="n"/>
      <c r="D268" s="6" t="n"/>
      <c r="E268" s="6" t="n"/>
      <c r="F268" s="14" t="n"/>
      <c r="G268" s="6" t="n"/>
      <c r="H268" s="6" t="n"/>
    </row>
    <row r="269">
      <c r="A269" s="2" t="n"/>
      <c r="B269" s="2" t="n"/>
      <c r="C269" s="2" t="n"/>
      <c r="D269" s="2" t="n"/>
      <c r="E269" s="2" t="n"/>
      <c r="F269" s="12" t="n"/>
      <c r="G269" s="2" t="n"/>
      <c r="H269" s="2" t="n"/>
    </row>
    <row r="270">
      <c r="A270" s="6" t="n"/>
      <c r="B270" s="6" t="n"/>
      <c r="C270" s="6" t="n"/>
      <c r="D270" s="6" t="n"/>
      <c r="E270" s="6" t="n"/>
      <c r="F270" s="14" t="n"/>
      <c r="G270" s="6" t="n"/>
      <c r="H270" s="6" t="n"/>
    </row>
    <row r="271">
      <c r="A271" s="2" t="n"/>
      <c r="B271" s="2" t="n"/>
      <c r="C271" s="2" t="n"/>
      <c r="D271" s="2" t="n"/>
      <c r="E271" s="2" t="n"/>
      <c r="F271" s="12" t="n"/>
      <c r="G271" s="2" t="n"/>
      <c r="H271" s="2" t="n"/>
    </row>
    <row r="272">
      <c r="A272" s="6" t="n"/>
      <c r="B272" s="6" t="n"/>
      <c r="C272" s="6" t="n"/>
      <c r="D272" s="6" t="n"/>
      <c r="E272" s="6" t="n"/>
      <c r="F272" s="14" t="n"/>
      <c r="G272" s="6" t="n"/>
      <c r="H272" s="6" t="n"/>
    </row>
    <row r="273">
      <c r="A273" s="2" t="n"/>
      <c r="B273" s="2" t="n"/>
      <c r="C273" s="2" t="n"/>
      <c r="D273" s="2" t="n"/>
      <c r="E273" s="2" t="n"/>
      <c r="F273" s="12" t="n"/>
      <c r="G273" s="2" t="n"/>
      <c r="H273" s="2" t="n"/>
    </row>
    <row r="274">
      <c r="A274" s="6" t="n"/>
      <c r="B274" s="6" t="n"/>
      <c r="C274" s="6" t="n"/>
      <c r="D274" s="6" t="n"/>
      <c r="E274" s="6" t="n"/>
      <c r="F274" s="14" t="n"/>
      <c r="G274" s="6" t="n"/>
      <c r="H274" s="6" t="n"/>
    </row>
    <row r="275">
      <c r="A275" s="2" t="n"/>
      <c r="B275" s="2" t="n"/>
      <c r="C275" s="2" t="n"/>
      <c r="D275" s="2" t="n"/>
      <c r="E275" s="2" t="n"/>
      <c r="F275" s="12" t="n"/>
      <c r="G275" s="2" t="n"/>
      <c r="H275" s="2" t="n"/>
    </row>
    <row r="276">
      <c r="A276" s="6" t="n"/>
      <c r="B276" s="6" t="n"/>
      <c r="C276" s="6" t="n"/>
      <c r="D276" s="6" t="n"/>
      <c r="E276" s="6" t="n"/>
      <c r="F276" s="14" t="n"/>
      <c r="G276" s="6" t="n"/>
      <c r="H276" s="6" t="n"/>
    </row>
    <row r="277">
      <c r="A277" s="2" t="n"/>
      <c r="B277" s="2" t="n"/>
      <c r="C277" s="2" t="n"/>
      <c r="D277" s="2" t="n"/>
      <c r="E277" s="2" t="n"/>
      <c r="F277" s="12" t="n"/>
      <c r="G277" s="2" t="n"/>
      <c r="H277" s="2" t="n"/>
    </row>
    <row r="278">
      <c r="A278" s="6" t="n"/>
      <c r="B278" s="6" t="n"/>
      <c r="C278" s="6" t="n"/>
      <c r="D278" s="6" t="n"/>
      <c r="E278" s="6" t="n"/>
      <c r="F278" s="14" t="n"/>
      <c r="G278" s="6" t="n"/>
      <c r="H278" s="6" t="n"/>
    </row>
    <row r="279">
      <c r="A279" s="2" t="n"/>
      <c r="B279" s="2" t="n"/>
      <c r="C279" s="2" t="n"/>
      <c r="D279" s="2" t="n"/>
      <c r="E279" s="2" t="n"/>
      <c r="F279" s="12" t="n"/>
      <c r="G279" s="2" t="n"/>
      <c r="H279" s="2" t="n"/>
    </row>
    <row r="280">
      <c r="A280" s="6" t="n"/>
      <c r="B280" s="6" t="n"/>
      <c r="C280" s="6" t="n"/>
      <c r="D280" s="6" t="n"/>
      <c r="E280" s="6" t="n"/>
      <c r="F280" s="14" t="n"/>
      <c r="G280" s="6" t="n"/>
      <c r="H280" s="6" t="n"/>
    </row>
    <row r="281">
      <c r="A281" s="2" t="n"/>
      <c r="B281" s="2" t="n"/>
      <c r="C281" s="2" t="n"/>
      <c r="D281" s="2" t="n"/>
      <c r="E281" s="2" t="n"/>
      <c r="F281" s="12" t="n"/>
      <c r="G281" s="2" t="n"/>
      <c r="H281" s="2" t="n"/>
    </row>
    <row r="282">
      <c r="A282" s="6" t="n"/>
      <c r="B282" s="6" t="n"/>
      <c r="C282" s="6" t="n"/>
      <c r="D282" s="6" t="n"/>
      <c r="E282" s="6" t="n"/>
      <c r="F282" s="14" t="n"/>
      <c r="G282" s="6" t="n"/>
      <c r="H282" s="6" t="n"/>
    </row>
    <row r="283">
      <c r="A283" s="2" t="n"/>
      <c r="B283" s="2" t="n"/>
      <c r="C283" s="2" t="n"/>
      <c r="D283" s="2" t="n"/>
      <c r="E283" s="2" t="n"/>
      <c r="F283" s="12" t="n"/>
      <c r="G283" s="2" t="n"/>
      <c r="H283" s="2" t="n"/>
    </row>
    <row r="284">
      <c r="A284" s="6" t="n"/>
      <c r="B284" s="6" t="n"/>
      <c r="C284" s="6" t="n"/>
      <c r="D284" s="6" t="n"/>
      <c r="E284" s="6" t="n"/>
      <c r="F284" s="14" t="n"/>
      <c r="G284" s="6" t="n"/>
      <c r="H284" s="6" t="n"/>
    </row>
    <row r="285">
      <c r="A285" s="2" t="n"/>
      <c r="B285" s="2" t="n"/>
      <c r="C285" s="2" t="n"/>
      <c r="D285" s="2" t="n"/>
      <c r="E285" s="2" t="n"/>
      <c r="F285" s="12" t="n"/>
      <c r="G285" s="2" t="n"/>
      <c r="H285" s="2" t="n"/>
    </row>
    <row r="286">
      <c r="A286" s="6" t="n"/>
      <c r="B286" s="6" t="n"/>
      <c r="C286" s="6" t="n"/>
      <c r="D286" s="6" t="n"/>
      <c r="E286" s="6" t="n"/>
      <c r="F286" s="14" t="n"/>
      <c r="G286" s="6" t="n"/>
      <c r="H286" s="6" t="n"/>
    </row>
    <row r="287">
      <c r="A287" s="2" t="n"/>
      <c r="B287" s="2" t="n"/>
      <c r="C287" s="2" t="n"/>
      <c r="D287" s="2" t="n"/>
      <c r="E287" s="2" t="n"/>
      <c r="F287" s="12" t="n"/>
      <c r="G287" s="2" t="n"/>
      <c r="H287" s="2" t="n"/>
    </row>
    <row r="288">
      <c r="A288" s="6" t="n"/>
      <c r="B288" s="6" t="n"/>
      <c r="C288" s="6" t="n"/>
      <c r="D288" s="6" t="n"/>
      <c r="E288" s="6" t="n"/>
      <c r="F288" s="14" t="n"/>
      <c r="G288" s="6" t="n"/>
      <c r="H288" s="6" t="n"/>
    </row>
    <row r="289">
      <c r="A289" s="2" t="n"/>
      <c r="B289" s="2" t="n"/>
      <c r="C289" s="2" t="n"/>
      <c r="D289" s="2" t="n"/>
      <c r="E289" s="2" t="n"/>
      <c r="F289" s="12" t="n"/>
      <c r="G289" s="2" t="n"/>
      <c r="H289" s="2" t="n"/>
    </row>
    <row r="290">
      <c r="A290" s="6" t="n"/>
      <c r="B290" s="6" t="n"/>
      <c r="C290" s="6" t="n"/>
      <c r="D290" s="6" t="n"/>
      <c r="E290" s="6" t="n"/>
      <c r="F290" s="14" t="n"/>
      <c r="G290" s="6" t="n"/>
      <c r="H290" s="6" t="n"/>
    </row>
    <row r="291">
      <c r="A291" s="2" t="n"/>
      <c r="B291" s="2" t="n"/>
      <c r="C291" s="2" t="n"/>
      <c r="D291" s="2" t="n"/>
      <c r="E291" s="2" t="n"/>
      <c r="F291" s="12" t="n"/>
      <c r="G291" s="2" t="n"/>
      <c r="H291" s="2" t="n"/>
    </row>
    <row r="292">
      <c r="A292" s="6" t="n"/>
      <c r="B292" s="6" t="n"/>
      <c r="C292" s="6" t="n"/>
      <c r="D292" s="6" t="n"/>
      <c r="E292" s="6" t="n"/>
      <c r="F292" s="14" t="n"/>
      <c r="G292" s="6" t="n"/>
      <c r="H292" s="6" t="n"/>
    </row>
    <row r="293">
      <c r="A293" s="2" t="n"/>
      <c r="B293" s="2" t="n"/>
      <c r="C293" s="2" t="n"/>
      <c r="D293" s="2" t="n"/>
      <c r="E293" s="2" t="n"/>
      <c r="F293" s="12" t="n"/>
      <c r="G293" s="2" t="n"/>
      <c r="H293" s="2" t="n"/>
    </row>
    <row r="294">
      <c r="A294" s="6" t="n"/>
      <c r="B294" s="6" t="n"/>
      <c r="C294" s="6" t="n"/>
      <c r="D294" s="6" t="n"/>
      <c r="E294" s="6" t="n"/>
      <c r="F294" s="14" t="n"/>
      <c r="G294" s="6" t="n"/>
      <c r="H294" s="6" t="n"/>
    </row>
    <row r="295">
      <c r="A295" s="2" t="n"/>
      <c r="B295" s="2" t="n"/>
      <c r="C295" s="2" t="n"/>
      <c r="D295" s="2" t="n"/>
      <c r="E295" s="2" t="n"/>
      <c r="F295" s="12" t="n"/>
      <c r="G295" s="2" t="n"/>
      <c r="H295" s="2" t="n"/>
    </row>
    <row r="296">
      <c r="A296" s="6" t="n"/>
      <c r="B296" s="6" t="n"/>
      <c r="C296" s="6" t="n"/>
      <c r="D296" s="6" t="n"/>
      <c r="E296" s="6" t="n"/>
      <c r="F296" s="14" t="n"/>
      <c r="G296" s="6" t="n"/>
      <c r="H296" s="6" t="n"/>
    </row>
    <row r="297">
      <c r="A297" s="2" t="n"/>
      <c r="B297" s="2" t="n"/>
      <c r="C297" s="2" t="n"/>
      <c r="D297" s="2" t="n"/>
      <c r="E297" s="2" t="n"/>
      <c r="F297" s="12" t="n"/>
      <c r="G297" s="2" t="n"/>
      <c r="H297" s="2" t="n"/>
    </row>
    <row r="298">
      <c r="A298" s="6" t="n"/>
      <c r="B298" s="6" t="n"/>
      <c r="C298" s="6" t="n"/>
      <c r="D298" s="6" t="n"/>
      <c r="E298" s="6" t="n"/>
      <c r="F298" s="14" t="n"/>
      <c r="G298" s="6" t="n"/>
      <c r="H298" s="6" t="n"/>
    </row>
    <row r="299">
      <c r="A299" s="2" t="n"/>
      <c r="B299" s="2" t="n"/>
      <c r="C299" s="2" t="n"/>
      <c r="D299" s="2" t="n"/>
      <c r="E299" s="2" t="n"/>
      <c r="F299" s="12" t="n"/>
      <c r="G299" s="2" t="n"/>
      <c r="H299" s="2" t="n"/>
    </row>
    <row r="300">
      <c r="A300" s="6" t="n"/>
      <c r="B300" s="6" t="n"/>
      <c r="C300" s="6" t="n"/>
      <c r="D300" s="6" t="n"/>
      <c r="E300" s="6" t="n"/>
      <c r="F300" s="14" t="n"/>
      <c r="G300" s="6" t="n"/>
      <c r="H300" s="6" t="n"/>
    </row>
    <row r="301">
      <c r="A301" s="2" t="n"/>
      <c r="B301" s="2" t="n"/>
      <c r="C301" s="2" t="n"/>
      <c r="D301" s="2" t="n"/>
      <c r="E301" s="2" t="n"/>
      <c r="F301" s="12" t="n"/>
      <c r="G301" s="2" t="n"/>
      <c r="H301" s="2" t="n"/>
    </row>
    <row r="302">
      <c r="A302" s="6" t="n"/>
      <c r="B302" s="6" t="n"/>
      <c r="C302" s="6" t="n"/>
      <c r="D302" s="6" t="n"/>
      <c r="E302" s="6" t="n"/>
      <c r="F302" s="14" t="n"/>
      <c r="G302" s="6" t="n"/>
      <c r="H302" s="6" t="n"/>
    </row>
    <row r="303">
      <c r="A303" s="2" t="n"/>
      <c r="B303" s="2" t="n"/>
      <c r="C303" s="2" t="n"/>
      <c r="D303" s="2" t="n"/>
      <c r="E303" s="2" t="n"/>
      <c r="F303" s="12" t="n"/>
      <c r="G303" s="2" t="n"/>
      <c r="H303" s="2" t="n"/>
    </row>
    <row r="304">
      <c r="A304" s="6" t="n"/>
      <c r="B304" s="6" t="n"/>
      <c r="C304" s="6" t="n"/>
      <c r="D304" s="6" t="n"/>
      <c r="E304" s="6" t="n"/>
      <c r="F304" s="14" t="n"/>
      <c r="G304" s="6" t="n"/>
      <c r="H304" s="6" t="n"/>
    </row>
    <row r="305">
      <c r="A305" s="2" t="n"/>
      <c r="B305" s="2" t="n"/>
      <c r="C305" s="2" t="n"/>
      <c r="D305" s="2" t="n"/>
      <c r="E305" s="2" t="n"/>
      <c r="F305" s="12" t="n"/>
      <c r="G305" s="2" t="n"/>
      <c r="H305" s="2" t="n"/>
    </row>
    <row r="306">
      <c r="A306" s="6" t="n"/>
      <c r="B306" s="6" t="n"/>
      <c r="C306" s="6" t="n"/>
      <c r="D306" s="6" t="n"/>
      <c r="E306" s="6" t="n"/>
      <c r="F306" s="14" t="n"/>
      <c r="G306" s="6" t="n"/>
      <c r="H306" s="6" t="n"/>
    </row>
    <row r="307">
      <c r="A307" s="2" t="n"/>
      <c r="B307" s="2" t="n"/>
      <c r="C307" s="2" t="n"/>
      <c r="D307" s="2" t="n"/>
      <c r="E307" s="2" t="n"/>
      <c r="F307" s="12" t="n"/>
      <c r="G307" s="2" t="n"/>
      <c r="H307" s="2" t="n"/>
    </row>
    <row r="308">
      <c r="A308" s="6" t="n"/>
      <c r="B308" s="6" t="n"/>
      <c r="C308" s="6" t="n"/>
      <c r="D308" s="6" t="n"/>
      <c r="E308" s="6" t="n"/>
      <c r="F308" s="14" t="n"/>
      <c r="G308" s="6" t="n"/>
      <c r="H308" s="6" t="n"/>
    </row>
    <row r="309">
      <c r="A309" s="2" t="n"/>
      <c r="B309" s="2" t="n"/>
      <c r="C309" s="2" t="n"/>
      <c r="D309" s="2" t="n"/>
      <c r="E309" s="2" t="n"/>
      <c r="F309" s="12" t="n"/>
      <c r="G309" s="2" t="n"/>
      <c r="H309" s="2" t="n"/>
    </row>
    <row r="310">
      <c r="A310" s="6" t="n"/>
      <c r="B310" s="6" t="n"/>
      <c r="C310" s="6" t="n"/>
      <c r="D310" s="6" t="n"/>
      <c r="E310" s="6" t="n"/>
      <c r="F310" s="14" t="n"/>
      <c r="G310" s="6" t="n"/>
      <c r="H310" s="6" t="n"/>
    </row>
    <row r="311">
      <c r="A311" s="2" t="n"/>
      <c r="B311" s="2" t="n"/>
      <c r="C311" s="2" t="n"/>
      <c r="D311" s="2" t="n"/>
      <c r="E311" s="2" t="n"/>
      <c r="F311" s="12" t="n"/>
      <c r="G311" s="2" t="n"/>
      <c r="H311" s="2" t="n"/>
    </row>
    <row r="312">
      <c r="A312" s="6" t="n"/>
      <c r="B312" s="6" t="n"/>
      <c r="C312" s="6" t="n"/>
      <c r="D312" s="6" t="n"/>
      <c r="E312" s="6" t="n"/>
      <c r="F312" s="14" t="n"/>
      <c r="G312" s="6" t="n"/>
      <c r="H312" s="6" t="n"/>
    </row>
    <row r="313">
      <c r="A313" s="2" t="n"/>
      <c r="B313" s="2" t="n"/>
      <c r="C313" s="2" t="n"/>
      <c r="D313" s="2" t="n"/>
      <c r="E313" s="2" t="n"/>
      <c r="F313" s="12" t="n"/>
      <c r="G313" s="2" t="n"/>
      <c r="H313" s="2" t="n"/>
    </row>
    <row r="314">
      <c r="A314" s="6" t="n"/>
      <c r="B314" s="6" t="n"/>
      <c r="C314" s="6" t="n"/>
      <c r="D314" s="6" t="n"/>
      <c r="E314" s="6" t="n"/>
      <c r="F314" s="14" t="n"/>
      <c r="G314" s="6" t="n"/>
      <c r="H314" s="6" t="n"/>
    </row>
    <row r="315">
      <c r="A315" s="2" t="n"/>
      <c r="B315" s="2" t="n"/>
      <c r="C315" s="2" t="n"/>
      <c r="D315" s="2" t="n"/>
      <c r="E315" s="2" t="n"/>
      <c r="F315" s="12" t="n"/>
      <c r="G315" s="2" t="n"/>
      <c r="H315" s="2" t="n"/>
    </row>
    <row r="316">
      <c r="A316" s="6" t="n"/>
      <c r="B316" s="6" t="n"/>
      <c r="C316" s="6" t="n"/>
      <c r="D316" s="6" t="n"/>
      <c r="E316" s="6" t="n"/>
      <c r="F316" s="14" t="n"/>
      <c r="G316" s="6" t="n"/>
      <c r="H316" s="6" t="n"/>
    </row>
    <row r="317">
      <c r="A317" s="2" t="n"/>
      <c r="B317" s="2" t="n"/>
      <c r="C317" s="2" t="n"/>
      <c r="D317" s="2" t="n"/>
      <c r="E317" s="2" t="n"/>
      <c r="F317" s="12" t="n"/>
      <c r="G317" s="2" t="n"/>
      <c r="H317" s="2" t="n"/>
    </row>
    <row r="318">
      <c r="A318" s="6" t="n"/>
      <c r="B318" s="6" t="n"/>
      <c r="C318" s="6" t="n"/>
      <c r="D318" s="6" t="n"/>
      <c r="E318" s="6" t="n"/>
      <c r="F318" s="14" t="n"/>
      <c r="G318" s="6" t="n"/>
      <c r="H318" s="6" t="n"/>
    </row>
    <row r="319">
      <c r="A319" s="2" t="n"/>
      <c r="B319" s="2" t="n"/>
      <c r="C319" s="2" t="n"/>
      <c r="D319" s="2" t="n"/>
      <c r="E319" s="2" t="n"/>
      <c r="F319" s="12" t="n"/>
      <c r="G319" s="2" t="n"/>
      <c r="H319" s="2" t="n"/>
    </row>
    <row r="320">
      <c r="A320" s="6" t="n"/>
      <c r="B320" s="6" t="n"/>
      <c r="C320" s="6" t="n"/>
      <c r="D320" s="6" t="n"/>
      <c r="E320" s="6" t="n"/>
      <c r="F320" s="14" t="n"/>
      <c r="G320" s="6" t="n"/>
      <c r="H320" s="6" t="n"/>
    </row>
    <row r="321">
      <c r="A321" s="2" t="n"/>
      <c r="B321" s="2" t="n"/>
      <c r="C321" s="2" t="n"/>
      <c r="D321" s="2" t="n"/>
      <c r="E321" s="2" t="n"/>
      <c r="F321" s="12" t="n"/>
      <c r="G321" s="2" t="n"/>
      <c r="H321" s="2" t="n"/>
    </row>
    <row r="322">
      <c r="A322" s="6" t="n"/>
      <c r="B322" s="6" t="n"/>
      <c r="C322" s="6" t="n"/>
      <c r="D322" s="6" t="n"/>
      <c r="E322" s="6" t="n"/>
      <c r="F322" s="14" t="n"/>
      <c r="G322" s="6" t="n"/>
      <c r="H322" s="6" t="n"/>
    </row>
    <row r="323">
      <c r="A323" s="2" t="n"/>
      <c r="B323" s="2" t="n"/>
      <c r="C323" s="2" t="n"/>
      <c r="D323" s="2" t="n"/>
      <c r="E323" s="2" t="n"/>
      <c r="F323" s="12" t="n"/>
      <c r="G323" s="2" t="n"/>
      <c r="H323" s="2" t="n"/>
    </row>
    <row r="324">
      <c r="A324" s="6" t="n"/>
      <c r="B324" s="6" t="n"/>
      <c r="C324" s="6" t="n"/>
      <c r="D324" s="6" t="n"/>
      <c r="E324" s="6" t="n"/>
      <c r="F324" s="14" t="n"/>
      <c r="G324" s="6" t="n"/>
      <c r="H324" s="6" t="n"/>
    </row>
    <row r="325">
      <c r="A325" s="2" t="n"/>
      <c r="B325" s="2" t="n"/>
      <c r="C325" s="2" t="n"/>
      <c r="D325" s="2" t="n"/>
      <c r="E325" s="2" t="n"/>
      <c r="F325" s="12" t="n"/>
      <c r="G325" s="2" t="n"/>
      <c r="H325" s="2" t="n"/>
    </row>
    <row r="326">
      <c r="A326" s="6" t="n"/>
      <c r="B326" s="6" t="n"/>
      <c r="C326" s="6" t="n"/>
      <c r="D326" s="6" t="n"/>
      <c r="E326" s="6" t="n"/>
      <c r="F326" s="14" t="n"/>
      <c r="G326" s="6" t="n"/>
      <c r="H326" s="6" t="n"/>
    </row>
    <row r="327">
      <c r="A327" s="2" t="n"/>
      <c r="B327" s="2" t="n"/>
      <c r="C327" s="2" t="n"/>
      <c r="D327" s="2" t="n"/>
      <c r="E327" s="2" t="n"/>
      <c r="F327" s="12" t="n"/>
      <c r="G327" s="2" t="n"/>
      <c r="H327" s="2" t="n"/>
    </row>
    <row r="328">
      <c r="A328" s="6" t="n"/>
      <c r="B328" s="6" t="n"/>
      <c r="C328" s="6" t="n"/>
      <c r="D328" s="6" t="n"/>
      <c r="E328" s="6" t="n"/>
      <c r="F328" s="14" t="n"/>
      <c r="G328" s="6" t="n"/>
      <c r="H328" s="6" t="n"/>
    </row>
    <row r="329">
      <c r="A329" s="2" t="n"/>
      <c r="B329" s="2" t="n"/>
      <c r="C329" s="2" t="n"/>
      <c r="D329" s="2" t="n"/>
      <c r="E329" s="2" t="n"/>
      <c r="F329" s="12" t="n"/>
      <c r="G329" s="2" t="n"/>
      <c r="H329" s="2" t="n"/>
    </row>
    <row r="330">
      <c r="A330" s="6" t="n"/>
      <c r="B330" s="6" t="n"/>
      <c r="C330" s="6" t="n"/>
      <c r="D330" s="6" t="n"/>
      <c r="E330" s="6" t="n"/>
      <c r="F330" s="14" t="n"/>
      <c r="G330" s="6" t="n"/>
      <c r="H330" s="6" t="n"/>
    </row>
    <row r="331">
      <c r="A331" s="2" t="n"/>
      <c r="B331" s="2" t="n"/>
      <c r="C331" s="2" t="n"/>
      <c r="D331" s="2" t="n"/>
      <c r="E331" s="2" t="n"/>
      <c r="F331" s="12" t="n"/>
      <c r="G331" s="2" t="n"/>
      <c r="H331" s="2" t="n"/>
    </row>
    <row r="332">
      <c r="A332" s="6" t="n"/>
      <c r="B332" s="6" t="n"/>
      <c r="C332" s="6" t="n"/>
      <c r="D332" s="6" t="n"/>
      <c r="E332" s="6" t="n"/>
      <c r="F332" s="14" t="n"/>
      <c r="G332" s="6" t="n"/>
      <c r="H332" s="6" t="n"/>
    </row>
    <row r="333">
      <c r="A333" s="2" t="n"/>
      <c r="B333" s="2" t="n"/>
      <c r="C333" s="2" t="n"/>
      <c r="D333" s="2" t="n"/>
      <c r="E333" s="2" t="n"/>
      <c r="F333" s="12" t="n"/>
      <c r="G333" s="2" t="n"/>
      <c r="H333" s="2" t="n"/>
    </row>
    <row r="334">
      <c r="A334" s="6" t="n"/>
      <c r="B334" s="6" t="n"/>
      <c r="C334" s="6" t="n"/>
      <c r="D334" s="6" t="n"/>
      <c r="E334" s="6" t="n"/>
      <c r="F334" s="14" t="n"/>
      <c r="G334" s="6" t="n"/>
      <c r="H334" s="6" t="n"/>
    </row>
    <row r="335">
      <c r="A335" s="2" t="n"/>
      <c r="B335" s="2" t="n"/>
      <c r="C335" s="2" t="n"/>
      <c r="D335" s="2" t="n"/>
      <c r="E335" s="2" t="n"/>
      <c r="F335" s="12" t="n"/>
      <c r="G335" s="2" t="n"/>
      <c r="H335" s="2" t="n"/>
    </row>
    <row r="336">
      <c r="A336" s="6" t="n"/>
      <c r="B336" s="6" t="n"/>
      <c r="C336" s="6" t="n"/>
      <c r="D336" s="6" t="n"/>
      <c r="E336" s="6" t="n"/>
      <c r="F336" s="14" t="n"/>
      <c r="G336" s="6" t="n"/>
      <c r="H336" s="6" t="n"/>
    </row>
    <row r="337">
      <c r="A337" s="2" t="n"/>
      <c r="B337" s="2" t="n"/>
      <c r="C337" s="2" t="n"/>
      <c r="D337" s="2" t="n"/>
      <c r="E337" s="2" t="n"/>
      <c r="F337" s="12" t="n"/>
      <c r="G337" s="2" t="n"/>
      <c r="H337" s="2" t="n"/>
    </row>
    <row r="338">
      <c r="A338" s="6" t="n"/>
      <c r="B338" s="6" t="n"/>
      <c r="C338" s="6" t="n"/>
      <c r="D338" s="6" t="n"/>
      <c r="E338" s="6" t="n"/>
      <c r="F338" s="14" t="n"/>
      <c r="G338" s="6" t="n"/>
      <c r="H338" s="6" t="n"/>
    </row>
    <row r="339">
      <c r="A339" s="2" t="n"/>
      <c r="B339" s="2" t="n"/>
      <c r="C339" s="2" t="n"/>
      <c r="D339" s="2" t="n"/>
      <c r="E339" s="2" t="n"/>
      <c r="F339" s="12" t="n"/>
      <c r="G339" s="2" t="n"/>
      <c r="H339" s="2" t="n"/>
    </row>
    <row r="340">
      <c r="A340" s="6" t="n"/>
      <c r="B340" s="6" t="n"/>
      <c r="C340" s="6" t="n"/>
      <c r="D340" s="6" t="n"/>
      <c r="E340" s="6" t="n"/>
      <c r="F340" s="14" t="n"/>
      <c r="G340" s="6" t="n"/>
      <c r="H340" s="6" t="n"/>
    </row>
    <row r="341">
      <c r="A341" s="2" t="n"/>
      <c r="B341" s="2" t="n"/>
      <c r="C341" s="2" t="n"/>
      <c r="D341" s="2" t="n"/>
      <c r="E341" s="2" t="n"/>
      <c r="F341" s="12" t="n"/>
      <c r="G341" s="2" t="n"/>
      <c r="H341" s="2" t="n"/>
    </row>
    <row r="342">
      <c r="A342" s="6" t="n"/>
      <c r="B342" s="6" t="n"/>
      <c r="C342" s="6" t="n"/>
      <c r="D342" s="6" t="n"/>
      <c r="E342" s="6" t="n"/>
      <c r="F342" s="14" t="n"/>
      <c r="G342" s="6" t="n"/>
      <c r="H342" s="6" t="n"/>
    </row>
    <row r="343">
      <c r="A343" s="2" t="n"/>
      <c r="B343" s="2" t="n"/>
      <c r="C343" s="2" t="n"/>
      <c r="D343" s="2" t="n"/>
      <c r="E343" s="2" t="n"/>
      <c r="F343" s="12" t="n"/>
      <c r="G343" s="2" t="n"/>
      <c r="H343" s="2" t="n"/>
    </row>
    <row r="344">
      <c r="A344" s="6" t="n"/>
      <c r="B344" s="6" t="n"/>
      <c r="C344" s="6" t="n"/>
      <c r="D344" s="6" t="n"/>
      <c r="E344" s="6" t="n"/>
      <c r="F344" s="14" t="n"/>
      <c r="G344" s="6" t="n"/>
      <c r="H344" s="6" t="n"/>
    </row>
    <row r="345">
      <c r="A345" s="2" t="n"/>
      <c r="B345" s="2" t="n"/>
      <c r="C345" s="2" t="n"/>
      <c r="D345" s="2" t="n"/>
      <c r="E345" s="2" t="n"/>
      <c r="F345" s="12" t="n"/>
      <c r="G345" s="2" t="n"/>
      <c r="H345" s="2" t="n"/>
    </row>
    <row r="346">
      <c r="A346" s="6" t="n"/>
      <c r="B346" s="6" t="n"/>
      <c r="C346" s="6" t="n"/>
      <c r="D346" s="6" t="n"/>
      <c r="E346" s="6" t="n"/>
      <c r="F346" s="14" t="n"/>
      <c r="G346" s="6" t="n"/>
      <c r="H346" s="6" t="n"/>
    </row>
    <row r="347">
      <c r="A347" s="2" t="n"/>
      <c r="B347" s="2" t="n"/>
      <c r="C347" s="2" t="n"/>
      <c r="D347" s="2" t="n"/>
      <c r="E347" s="2" t="n"/>
      <c r="F347" s="12" t="n"/>
      <c r="G347" s="2" t="n"/>
      <c r="H347" s="2" t="n"/>
    </row>
    <row r="348">
      <c r="A348" s="6" t="n"/>
      <c r="B348" s="6" t="n"/>
      <c r="C348" s="6" t="n"/>
      <c r="D348" s="6" t="n"/>
      <c r="E348" s="6" t="n"/>
      <c r="F348" s="14" t="n"/>
      <c r="G348" s="6" t="n"/>
      <c r="H348" s="6" t="n"/>
    </row>
    <row r="349">
      <c r="A349" s="2" t="n"/>
      <c r="B349" s="2" t="n"/>
      <c r="C349" s="2" t="n"/>
      <c r="D349" s="2" t="n"/>
      <c r="E349" s="2" t="n"/>
      <c r="F349" s="12" t="n"/>
      <c r="G349" s="2" t="n"/>
      <c r="H349" s="2" t="n"/>
    </row>
    <row r="350">
      <c r="A350" s="6" t="n"/>
      <c r="B350" s="6" t="n"/>
      <c r="C350" s="6" t="n"/>
      <c r="D350" s="6" t="n"/>
      <c r="E350" s="6" t="n"/>
      <c r="F350" s="14" t="n"/>
      <c r="G350" s="6" t="n"/>
      <c r="H350" s="6" t="n"/>
    </row>
    <row r="351">
      <c r="A351" s="2" t="n"/>
      <c r="B351" s="2" t="n"/>
      <c r="C351" s="2" t="n"/>
      <c r="D351" s="2" t="n"/>
      <c r="E351" s="2" t="n"/>
      <c r="F351" s="12" t="n"/>
      <c r="G351" s="2" t="n"/>
      <c r="H351" s="2" t="n"/>
    </row>
    <row r="352">
      <c r="A352" s="6" t="n"/>
      <c r="B352" s="6" t="n"/>
      <c r="C352" s="6" t="n"/>
      <c r="D352" s="6" t="n"/>
      <c r="E352" s="6" t="n"/>
      <c r="F352" s="14" t="n"/>
      <c r="G352" s="6" t="n"/>
      <c r="H352" s="6" t="n"/>
    </row>
    <row r="353">
      <c r="A353" s="2" t="n"/>
      <c r="B353" s="2" t="n"/>
      <c r="C353" s="2" t="n"/>
      <c r="D353" s="2" t="n"/>
      <c r="E353" s="2" t="n"/>
      <c r="F353" s="12" t="n"/>
      <c r="G353" s="2" t="n"/>
      <c r="H353" s="2" t="n"/>
    </row>
    <row r="354">
      <c r="A354" s="6" t="n"/>
      <c r="B354" s="6" t="n"/>
      <c r="C354" s="6" t="n"/>
      <c r="D354" s="6" t="n"/>
      <c r="E354" s="6" t="n"/>
      <c r="F354" s="14" t="n"/>
      <c r="G354" s="6" t="n"/>
      <c r="H354" s="6" t="n"/>
    </row>
    <row r="355">
      <c r="A355" s="2" t="n"/>
      <c r="B355" s="2" t="n"/>
      <c r="C355" s="2" t="n"/>
      <c r="D355" s="2" t="n"/>
      <c r="E355" s="2" t="n"/>
      <c r="F355" s="12" t="n"/>
      <c r="G355" s="2" t="n"/>
      <c r="H355" s="2" t="n"/>
    </row>
    <row r="356">
      <c r="A356" s="6" t="n"/>
      <c r="B356" s="6" t="n"/>
      <c r="C356" s="6" t="n"/>
      <c r="D356" s="6" t="n"/>
      <c r="E356" s="6" t="n"/>
      <c r="F356" s="14" t="n"/>
      <c r="G356" s="6" t="n"/>
      <c r="H356" s="6" t="n"/>
    </row>
    <row r="357">
      <c r="A357" s="2" t="n"/>
      <c r="B357" s="2" t="n"/>
      <c r="C357" s="2" t="n"/>
      <c r="D357" s="2" t="n"/>
      <c r="E357" s="2" t="n"/>
      <c r="F357" s="12" t="n"/>
      <c r="G357" s="2" t="n"/>
      <c r="H357" s="2" t="n"/>
    </row>
    <row r="358">
      <c r="A358" s="6" t="n"/>
      <c r="B358" s="6" t="n"/>
      <c r="C358" s="6" t="n"/>
      <c r="D358" s="6" t="n"/>
      <c r="E358" s="6" t="n"/>
      <c r="F358" s="14" t="n"/>
      <c r="G358" s="6" t="n"/>
      <c r="H358" s="6" t="n"/>
    </row>
    <row r="359">
      <c r="A359" s="2" t="n"/>
      <c r="B359" s="2" t="n"/>
      <c r="C359" s="2" t="n"/>
      <c r="D359" s="2" t="n"/>
      <c r="E359" s="2" t="n"/>
      <c r="F359" s="12" t="n"/>
      <c r="G359" s="2" t="n"/>
      <c r="H359" s="2" t="n"/>
    </row>
    <row r="360">
      <c r="A360" s="6" t="n"/>
      <c r="B360" s="6" t="n"/>
      <c r="C360" s="6" t="n"/>
      <c r="D360" s="6" t="n"/>
      <c r="E360" s="6" t="n"/>
      <c r="F360" s="14" t="n"/>
      <c r="G360" s="6" t="n"/>
      <c r="H360" s="6" t="n"/>
    </row>
    <row r="361">
      <c r="A361" s="2" t="n"/>
      <c r="B361" s="2" t="n"/>
      <c r="C361" s="2" t="n"/>
      <c r="D361" s="2" t="n"/>
      <c r="E361" s="2" t="n"/>
      <c r="F361" s="12" t="n"/>
      <c r="G361" s="2" t="n"/>
      <c r="H361" s="2" t="n"/>
    </row>
    <row r="362">
      <c r="A362" s="6" t="n"/>
      <c r="B362" s="6" t="n"/>
      <c r="C362" s="6" t="n"/>
      <c r="D362" s="6" t="n"/>
      <c r="E362" s="6" t="n"/>
      <c r="F362" s="14" t="n"/>
      <c r="G362" s="6" t="n"/>
      <c r="H362" s="6" t="n"/>
    </row>
    <row r="363">
      <c r="A363" s="2" t="n"/>
      <c r="B363" s="2" t="n"/>
      <c r="C363" s="2" t="n"/>
      <c r="D363" s="2" t="n"/>
      <c r="E363" s="2" t="n"/>
      <c r="F363" s="12" t="n"/>
      <c r="G363" s="2" t="n"/>
      <c r="H363" s="2" t="n"/>
    </row>
    <row r="364">
      <c r="A364" s="6" t="n"/>
      <c r="B364" s="6" t="n"/>
      <c r="C364" s="6" t="n"/>
      <c r="D364" s="6" t="n"/>
      <c r="E364" s="6" t="n"/>
      <c r="F364" s="14" t="n"/>
      <c r="G364" s="6" t="n"/>
      <c r="H364" s="6" t="n"/>
    </row>
    <row r="365">
      <c r="A365" s="2" t="n"/>
      <c r="B365" s="2" t="n"/>
      <c r="C365" s="2" t="n"/>
      <c r="D365" s="2" t="n"/>
      <c r="E365" s="2" t="n"/>
      <c r="F365" s="12" t="n"/>
      <c r="G365" s="2" t="n"/>
      <c r="H365" s="2" t="n"/>
    </row>
    <row r="366">
      <c r="A366" s="6" t="n"/>
      <c r="B366" s="6" t="n"/>
      <c r="C366" s="6" t="n"/>
      <c r="D366" s="6" t="n"/>
      <c r="E366" s="6" t="n"/>
      <c r="F366" s="14" t="n"/>
      <c r="G366" s="6" t="n"/>
      <c r="H366" s="6" t="n"/>
    </row>
    <row r="367">
      <c r="A367" s="2" t="n"/>
      <c r="B367" s="2" t="n"/>
      <c r="C367" s="2" t="n"/>
      <c r="D367" s="2" t="n"/>
      <c r="E367" s="2" t="n"/>
      <c r="F367" s="12" t="n"/>
      <c r="G367" s="2" t="n"/>
      <c r="H367" s="2" t="n"/>
    </row>
    <row r="368">
      <c r="A368" s="6" t="n"/>
      <c r="B368" s="6" t="n"/>
      <c r="C368" s="6" t="n"/>
      <c r="D368" s="6" t="n"/>
      <c r="E368" s="6" t="n"/>
      <c r="F368" s="14" t="n"/>
      <c r="G368" s="6" t="n"/>
      <c r="H368" s="6" t="n"/>
    </row>
    <row r="369">
      <c r="A369" s="2" t="n"/>
      <c r="B369" s="2" t="n"/>
      <c r="C369" s="2" t="n"/>
      <c r="D369" s="2" t="n"/>
      <c r="E369" s="2" t="n"/>
      <c r="F369" s="12" t="n"/>
      <c r="G369" s="2" t="n"/>
      <c r="H369" s="2" t="n"/>
    </row>
    <row r="370">
      <c r="A370" s="6" t="n"/>
      <c r="B370" s="6" t="n"/>
      <c r="C370" s="6" t="n"/>
      <c r="D370" s="6" t="n"/>
      <c r="E370" s="6" t="n"/>
      <c r="F370" s="14" t="n"/>
      <c r="G370" s="6" t="n"/>
      <c r="H370" s="6" t="n"/>
    </row>
    <row r="371">
      <c r="A371" s="2" t="n"/>
      <c r="B371" s="2" t="n"/>
      <c r="C371" s="2" t="n"/>
      <c r="D371" s="2" t="n"/>
      <c r="E371" s="2" t="n"/>
      <c r="F371" s="12" t="n"/>
      <c r="G371" s="2" t="n"/>
      <c r="H371" s="2" t="n"/>
    </row>
    <row r="372">
      <c r="A372" s="6" t="n"/>
      <c r="B372" s="6" t="n"/>
      <c r="C372" s="6" t="n"/>
      <c r="D372" s="6" t="n"/>
      <c r="E372" s="6" t="n"/>
      <c r="F372" s="14" t="n"/>
      <c r="G372" s="6" t="n"/>
      <c r="H372" s="6" t="n"/>
    </row>
    <row r="373">
      <c r="A373" s="2" t="n"/>
      <c r="B373" s="2" t="n"/>
      <c r="C373" s="2" t="n"/>
      <c r="D373" s="2" t="n"/>
      <c r="E373" s="2" t="n"/>
      <c r="F373" s="12" t="n"/>
      <c r="G373" s="2" t="n"/>
      <c r="H373" s="2" t="n"/>
    </row>
    <row r="374">
      <c r="A374" s="6" t="n"/>
      <c r="B374" s="6" t="n"/>
      <c r="C374" s="6" t="n"/>
      <c r="D374" s="6" t="n"/>
      <c r="E374" s="6" t="n"/>
      <c r="F374" s="14" t="n"/>
      <c r="G374" s="6" t="n"/>
      <c r="H374" s="6" t="n"/>
    </row>
    <row r="375">
      <c r="A375" s="2" t="n"/>
      <c r="B375" s="2" t="n"/>
      <c r="C375" s="2" t="n"/>
      <c r="D375" s="2" t="n"/>
      <c r="E375" s="2" t="n"/>
      <c r="F375" s="12" t="n"/>
      <c r="G375" s="2" t="n"/>
      <c r="H375" s="2" t="n"/>
    </row>
    <row r="376">
      <c r="A376" s="6" t="n"/>
      <c r="B376" s="6" t="n"/>
      <c r="C376" s="6" t="n"/>
      <c r="D376" s="6" t="n"/>
      <c r="E376" s="6" t="n"/>
      <c r="F376" s="14" t="n"/>
      <c r="G376" s="6" t="n"/>
      <c r="H376" s="6" t="n"/>
    </row>
    <row r="377">
      <c r="A377" s="2" t="n"/>
      <c r="B377" s="2" t="n"/>
      <c r="C377" s="2" t="n"/>
      <c r="D377" s="2" t="n"/>
      <c r="E377" s="2" t="n"/>
      <c r="F377" s="12" t="n"/>
      <c r="G377" s="2" t="n"/>
      <c r="H377" s="2" t="n"/>
    </row>
    <row r="378">
      <c r="A378" s="6" t="n"/>
      <c r="B378" s="6" t="n"/>
      <c r="C378" s="6" t="n"/>
      <c r="D378" s="6" t="n"/>
      <c r="E378" s="6" t="n"/>
      <c r="F378" s="14" t="n"/>
      <c r="G378" s="6" t="n"/>
      <c r="H378" s="6" t="n"/>
    </row>
    <row r="379">
      <c r="A379" s="2" t="n"/>
      <c r="B379" s="2" t="n"/>
      <c r="C379" s="2" t="n"/>
      <c r="D379" s="2" t="n"/>
      <c r="E379" s="2" t="n"/>
      <c r="F379" s="12" t="n"/>
      <c r="G379" s="2" t="n"/>
      <c r="H379" s="2" t="n"/>
    </row>
    <row r="380">
      <c r="A380" s="6" t="n"/>
      <c r="B380" s="6" t="n"/>
      <c r="C380" s="6" t="n"/>
      <c r="D380" s="6" t="n"/>
      <c r="E380" s="6" t="n"/>
      <c r="F380" s="14" t="n"/>
      <c r="G380" s="6" t="n"/>
      <c r="H380" s="6" t="n"/>
    </row>
    <row r="381">
      <c r="A381" s="2" t="n"/>
      <c r="B381" s="2" t="n"/>
      <c r="C381" s="2" t="n"/>
      <c r="D381" s="2" t="n"/>
      <c r="E381" s="2" t="n"/>
      <c r="F381" s="12" t="n"/>
      <c r="G381" s="2" t="n"/>
      <c r="H381" s="2" t="n"/>
    </row>
    <row r="382">
      <c r="A382" s="6" t="n"/>
      <c r="B382" s="6" t="n"/>
      <c r="C382" s="6" t="n"/>
      <c r="D382" s="6" t="n"/>
      <c r="E382" s="6" t="n"/>
      <c r="F382" s="14" t="n"/>
      <c r="G382" s="6" t="n"/>
      <c r="H382" s="6" t="n"/>
    </row>
    <row r="383">
      <c r="A383" s="2" t="n"/>
      <c r="B383" s="2" t="n"/>
      <c r="C383" s="2" t="n"/>
      <c r="D383" s="2" t="n"/>
      <c r="E383" s="2" t="n"/>
      <c r="F383" s="12" t="n"/>
      <c r="G383" s="2" t="n"/>
      <c r="H383" s="2" t="n"/>
    </row>
    <row r="384">
      <c r="A384" s="6" t="n"/>
      <c r="B384" s="6" t="n"/>
      <c r="C384" s="6" t="n"/>
      <c r="D384" s="6" t="n"/>
      <c r="E384" s="6" t="n"/>
      <c r="F384" s="14" t="n"/>
      <c r="G384" s="6" t="n"/>
      <c r="H384" s="6" t="n"/>
    </row>
    <row r="385">
      <c r="A385" s="2" t="n"/>
      <c r="B385" s="2" t="n"/>
      <c r="C385" s="2" t="n"/>
      <c r="D385" s="2" t="n"/>
      <c r="E385" s="2" t="n"/>
      <c r="F385" s="12" t="n"/>
      <c r="G385" s="2" t="n"/>
      <c r="H385" s="2" t="n"/>
    </row>
    <row r="386">
      <c r="A386" s="6" t="n"/>
      <c r="B386" s="6" t="n"/>
      <c r="C386" s="6" t="n"/>
      <c r="D386" s="6" t="n"/>
      <c r="E386" s="6" t="n"/>
      <c r="F386" s="14" t="n"/>
      <c r="G386" s="6" t="n"/>
      <c r="H386" s="6" t="n"/>
    </row>
    <row r="387">
      <c r="A387" s="2" t="n"/>
      <c r="B387" s="2" t="n"/>
      <c r="C387" s="2" t="n"/>
      <c r="D387" s="2" t="n"/>
      <c r="E387" s="2" t="n"/>
      <c r="F387" s="12" t="n"/>
      <c r="G387" s="2" t="n"/>
      <c r="H387" s="2" t="n"/>
    </row>
    <row r="388">
      <c r="A388" s="6" t="n"/>
      <c r="B388" s="6" t="n"/>
      <c r="C388" s="6" t="n"/>
      <c r="D388" s="6" t="n"/>
      <c r="E388" s="6" t="n"/>
      <c r="F388" s="14" t="n"/>
      <c r="G388" s="6" t="n"/>
      <c r="H388" s="6" t="n"/>
    </row>
    <row r="389">
      <c r="A389" s="2" t="n"/>
      <c r="B389" s="2" t="n"/>
      <c r="C389" s="2" t="n"/>
      <c r="D389" s="2" t="n"/>
      <c r="E389" s="2" t="n"/>
      <c r="F389" s="12" t="n"/>
      <c r="G389" s="2" t="n"/>
      <c r="H389" s="2" t="n"/>
    </row>
    <row r="390">
      <c r="A390" s="6" t="n"/>
      <c r="B390" s="6" t="n"/>
      <c r="C390" s="6" t="n"/>
      <c r="D390" s="6" t="n"/>
      <c r="E390" s="6" t="n"/>
      <c r="F390" s="14" t="n"/>
      <c r="G390" s="6" t="n"/>
      <c r="H390" s="6" t="n"/>
    </row>
    <row r="391">
      <c r="A391" s="2" t="n"/>
      <c r="B391" s="2" t="n"/>
      <c r="C391" s="2" t="n"/>
      <c r="D391" s="2" t="n"/>
      <c r="E391" s="2" t="n"/>
      <c r="F391" s="12" t="n"/>
      <c r="G391" s="2" t="n"/>
      <c r="H391" s="2" t="n"/>
    </row>
    <row r="392">
      <c r="A392" s="6" t="n"/>
      <c r="B392" s="6" t="n"/>
      <c r="C392" s="6" t="n"/>
      <c r="D392" s="6" t="n"/>
      <c r="E392" s="6" t="n"/>
      <c r="F392" s="14" t="n"/>
      <c r="G392" s="6" t="n"/>
      <c r="H392" s="6" t="n"/>
    </row>
    <row r="393">
      <c r="A393" s="2" t="n"/>
      <c r="B393" s="2" t="n"/>
      <c r="C393" s="2" t="n"/>
      <c r="D393" s="2" t="n"/>
      <c r="E393" s="2" t="n"/>
      <c r="F393" s="12" t="n"/>
      <c r="G393" s="2" t="n"/>
      <c r="H393" s="2" t="n"/>
    </row>
    <row r="394">
      <c r="A394" s="6" t="n"/>
      <c r="B394" s="6" t="n"/>
      <c r="C394" s="6" t="n"/>
      <c r="D394" s="6" t="n"/>
      <c r="E394" s="6" t="n"/>
      <c r="F394" s="14" t="n"/>
      <c r="G394" s="6" t="n"/>
      <c r="H394" s="6" t="n"/>
    </row>
    <row r="395">
      <c r="A395" s="2" t="n"/>
      <c r="B395" s="2" t="n"/>
      <c r="C395" s="2" t="n"/>
      <c r="D395" s="2" t="n"/>
      <c r="E395" s="2" t="n"/>
      <c r="F395" s="12" t="n"/>
      <c r="G395" s="2" t="n"/>
      <c r="H395" s="2" t="n"/>
    </row>
    <row r="396">
      <c r="A396" s="6" t="n"/>
      <c r="B396" s="6" t="n"/>
      <c r="C396" s="6" t="n"/>
      <c r="D396" s="6" t="n"/>
      <c r="E396" s="6" t="n"/>
      <c r="F396" s="14" t="n"/>
      <c r="G396" s="6" t="n"/>
      <c r="H396" s="6" t="n"/>
    </row>
    <row r="397">
      <c r="A397" s="2" t="n"/>
      <c r="B397" s="2" t="n"/>
      <c r="C397" s="2" t="n"/>
      <c r="D397" s="2" t="n"/>
      <c r="E397" s="2" t="n"/>
      <c r="F397" s="12" t="n"/>
      <c r="G397" s="2" t="n"/>
      <c r="H397" s="2" t="n"/>
    </row>
    <row r="398">
      <c r="A398" s="6" t="n"/>
      <c r="B398" s="6" t="n"/>
      <c r="C398" s="6" t="n"/>
      <c r="D398" s="6" t="n"/>
      <c r="E398" s="6" t="n"/>
      <c r="F398" s="14" t="n"/>
      <c r="G398" s="6" t="n"/>
      <c r="H398" s="6" t="n"/>
    </row>
    <row r="399">
      <c r="A399" s="2" t="n"/>
      <c r="B399" s="2" t="n"/>
      <c r="C399" s="2" t="n"/>
      <c r="D399" s="2" t="n"/>
      <c r="E399" s="2" t="n"/>
      <c r="F399" s="12" t="n"/>
      <c r="G399" s="2" t="n"/>
      <c r="H399" s="2" t="n"/>
    </row>
    <row r="400">
      <c r="A400" s="6" t="n"/>
      <c r="B400" s="6" t="n"/>
      <c r="C400" s="6" t="n"/>
      <c r="D400" s="6" t="n"/>
      <c r="E400" s="6" t="n"/>
      <c r="F400" s="14" t="n"/>
      <c r="G400" s="6" t="n"/>
      <c r="H400" s="6" t="n"/>
    </row>
    <row r="401">
      <c r="A401" s="2" t="n"/>
      <c r="B401" s="2" t="n"/>
      <c r="C401" s="2" t="n"/>
      <c r="D401" s="2" t="n"/>
      <c r="E401" s="2" t="n"/>
      <c r="F401" s="12" t="n"/>
      <c r="G401" s="2" t="n"/>
      <c r="H401" s="2" t="n"/>
    </row>
    <row r="402">
      <c r="A402" s="6" t="n"/>
      <c r="B402" s="6" t="n"/>
      <c r="C402" s="6" t="n"/>
      <c r="D402" s="6" t="n"/>
      <c r="E402" s="6" t="n"/>
      <c r="F402" s="14" t="n"/>
      <c r="G402" s="6" t="n"/>
      <c r="H402" s="6" t="n"/>
    </row>
    <row r="403">
      <c r="A403" s="2" t="n"/>
      <c r="B403" s="2" t="n"/>
      <c r="C403" s="2" t="n"/>
      <c r="D403" s="2" t="n"/>
      <c r="E403" s="2" t="n"/>
      <c r="F403" s="12" t="n"/>
      <c r="G403" s="2" t="n"/>
      <c r="H403" s="2" t="n"/>
    </row>
    <row r="404">
      <c r="A404" s="6" t="n"/>
      <c r="B404" s="6" t="n"/>
      <c r="C404" s="6" t="n"/>
      <c r="D404" s="6" t="n"/>
      <c r="E404" s="6" t="n"/>
      <c r="F404" s="14" t="n"/>
      <c r="G404" s="6" t="n"/>
      <c r="H404" s="6" t="n"/>
    </row>
    <row r="405">
      <c r="A405" s="2" t="n"/>
      <c r="B405" s="2" t="n"/>
      <c r="C405" s="2" t="n"/>
      <c r="D405" s="2" t="n"/>
      <c r="E405" s="2" t="n"/>
      <c r="F405" s="12" t="n"/>
      <c r="G405" s="2" t="n"/>
      <c r="H405" s="2" t="n"/>
    </row>
    <row r="406">
      <c r="A406" s="6" t="n"/>
      <c r="B406" s="6" t="n"/>
      <c r="C406" s="6" t="n"/>
      <c r="D406" s="6" t="n"/>
      <c r="E406" s="6" t="n"/>
      <c r="F406" s="14" t="n"/>
      <c r="G406" s="6" t="n"/>
      <c r="H406" s="6" t="n"/>
    </row>
    <row r="407">
      <c r="A407" s="2" t="n"/>
      <c r="B407" s="2" t="n"/>
      <c r="C407" s="2" t="n"/>
      <c r="D407" s="2" t="n"/>
      <c r="E407" s="2" t="n"/>
      <c r="F407" s="12" t="n"/>
      <c r="G407" s="2" t="n"/>
      <c r="H407" s="2" t="n"/>
    </row>
    <row r="408">
      <c r="A408" s="6" t="n"/>
      <c r="B408" s="6" t="n"/>
      <c r="C408" s="6" t="n"/>
      <c r="D408" s="6" t="n"/>
      <c r="E408" s="6" t="n"/>
      <c r="F408" s="14" t="n"/>
      <c r="G408" s="6" t="n"/>
      <c r="H408" s="6" t="n"/>
    </row>
    <row r="409">
      <c r="A409" s="2" t="n"/>
      <c r="B409" s="2" t="n"/>
      <c r="C409" s="2" t="n"/>
      <c r="D409" s="2" t="n"/>
      <c r="E409" s="2" t="n"/>
      <c r="F409" s="12" t="n"/>
      <c r="G409" s="2" t="n"/>
      <c r="H409" s="2" t="n"/>
    </row>
    <row r="410">
      <c r="A410" s="6" t="n"/>
      <c r="B410" s="6" t="n"/>
      <c r="C410" s="6" t="n"/>
      <c r="D410" s="6" t="n"/>
      <c r="E410" s="6" t="n"/>
      <c r="F410" s="14" t="n"/>
      <c r="G410" s="6" t="n"/>
      <c r="H410" s="6" t="n"/>
    </row>
    <row r="411">
      <c r="A411" s="2" t="n"/>
      <c r="B411" s="2" t="n"/>
      <c r="C411" s="2" t="n"/>
      <c r="D411" s="2" t="n"/>
      <c r="E411" s="2" t="n"/>
      <c r="F411" s="12" t="n"/>
      <c r="G411" s="2" t="n"/>
      <c r="H411" s="2" t="n"/>
    </row>
    <row r="412">
      <c r="A412" s="6" t="n"/>
      <c r="B412" s="6" t="n"/>
      <c r="C412" s="6" t="n"/>
      <c r="D412" s="6" t="n"/>
      <c r="E412" s="6" t="n"/>
      <c r="F412" s="14" t="n"/>
      <c r="G412" s="6" t="n"/>
      <c r="H412" s="6" t="n"/>
    </row>
    <row r="413">
      <c r="A413" s="2" t="n"/>
      <c r="B413" s="2" t="n"/>
      <c r="C413" s="2" t="n"/>
      <c r="D413" s="2" t="n"/>
      <c r="E413" s="2" t="n"/>
      <c r="F413" s="12" t="n"/>
      <c r="G413" s="2" t="n"/>
      <c r="H413" s="2" t="n"/>
    </row>
    <row r="414">
      <c r="A414" s="6" t="n"/>
      <c r="B414" s="6" t="n"/>
      <c r="C414" s="6" t="n"/>
      <c r="D414" s="6" t="n"/>
      <c r="E414" s="6" t="n"/>
      <c r="F414" s="14" t="n"/>
      <c r="G414" s="6" t="n"/>
      <c r="H414" s="6" t="n"/>
    </row>
    <row r="415">
      <c r="A415" s="2" t="n"/>
      <c r="B415" s="2" t="n"/>
      <c r="C415" s="2" t="n"/>
      <c r="D415" s="2" t="n"/>
      <c r="E415" s="2" t="n"/>
      <c r="F415" s="12" t="n"/>
      <c r="G415" s="2" t="n"/>
      <c r="H415" s="2" t="n"/>
    </row>
    <row r="416">
      <c r="A416" s="6" t="n"/>
      <c r="B416" s="6" t="n"/>
      <c r="C416" s="6" t="n"/>
      <c r="D416" s="6" t="n"/>
      <c r="E416" s="6" t="n"/>
      <c r="F416" s="14" t="n"/>
      <c r="G416" s="6" t="n"/>
      <c r="H416" s="6" t="n"/>
    </row>
    <row r="417">
      <c r="A417" s="2" t="n"/>
      <c r="B417" s="2" t="n"/>
      <c r="C417" s="2" t="n"/>
      <c r="D417" s="2" t="n"/>
      <c r="E417" s="2" t="n"/>
      <c r="F417" s="12" t="n"/>
      <c r="G417" s="2" t="n"/>
      <c r="H417" s="2" t="n"/>
    </row>
    <row r="418">
      <c r="A418" s="6" t="n"/>
      <c r="B418" s="6" t="n"/>
      <c r="C418" s="6" t="n"/>
      <c r="D418" s="6" t="n"/>
      <c r="E418" s="6" t="n"/>
      <c r="F418" s="14" t="n"/>
      <c r="G418" s="6" t="n"/>
      <c r="H418" s="6" t="n"/>
    </row>
    <row r="419">
      <c r="A419" s="2" t="n"/>
      <c r="B419" s="2" t="n"/>
      <c r="C419" s="2" t="n"/>
      <c r="D419" s="2" t="n"/>
      <c r="E419" s="2" t="n"/>
      <c r="F419" s="12" t="n"/>
      <c r="G419" s="2" t="n"/>
      <c r="H419" s="2" t="n"/>
    </row>
    <row r="420">
      <c r="A420" s="6" t="n"/>
      <c r="B420" s="6" t="n"/>
      <c r="C420" s="6" t="n"/>
      <c r="D420" s="6" t="n"/>
      <c r="E420" s="6" t="n"/>
      <c r="F420" s="14" t="n"/>
      <c r="G420" s="6" t="n"/>
      <c r="H420" s="6" t="n"/>
    </row>
    <row r="421">
      <c r="A421" s="2" t="n"/>
      <c r="B421" s="2" t="n"/>
      <c r="C421" s="2" t="n"/>
      <c r="D421" s="2" t="n"/>
      <c r="E421" s="2" t="n"/>
      <c r="F421" s="12" t="n"/>
      <c r="G421" s="2" t="n"/>
      <c r="H421" s="2" t="n"/>
    </row>
    <row r="422">
      <c r="A422" s="6" t="n"/>
      <c r="B422" s="6" t="n"/>
      <c r="C422" s="6" t="n"/>
      <c r="D422" s="6" t="n"/>
      <c r="E422" s="6" t="n"/>
      <c r="F422" s="14" t="n"/>
      <c r="G422" s="6" t="n"/>
      <c r="H422" s="6" t="n"/>
    </row>
    <row r="423">
      <c r="A423" s="2" t="n"/>
      <c r="B423" s="2" t="n"/>
      <c r="C423" s="2" t="n"/>
      <c r="D423" s="2" t="n"/>
      <c r="E423" s="2" t="n"/>
      <c r="F423" s="12" t="n"/>
      <c r="G423" s="2" t="n"/>
      <c r="H423" s="2" t="n"/>
    </row>
    <row r="424">
      <c r="A424" s="6" t="n"/>
      <c r="B424" s="6" t="n"/>
      <c r="C424" s="6" t="n"/>
      <c r="D424" s="6" t="n"/>
      <c r="E424" s="6" t="n"/>
      <c r="F424" s="14" t="n"/>
      <c r="G424" s="6" t="n"/>
      <c r="H424" s="6" t="n"/>
    </row>
    <row r="425">
      <c r="A425" s="2" t="n"/>
      <c r="B425" s="2" t="n"/>
      <c r="C425" s="2" t="n"/>
      <c r="D425" s="2" t="n"/>
      <c r="E425" s="2" t="n"/>
      <c r="F425" s="12" t="n"/>
      <c r="G425" s="2" t="n"/>
      <c r="H425" s="2" t="n"/>
    </row>
    <row r="426">
      <c r="A426" s="6" t="n"/>
      <c r="B426" s="6" t="n"/>
      <c r="C426" s="6" t="n"/>
      <c r="D426" s="6" t="n"/>
      <c r="E426" s="6" t="n"/>
      <c r="F426" s="14" t="n"/>
      <c r="G426" s="6" t="n"/>
      <c r="H426" s="6" t="n"/>
    </row>
    <row r="427">
      <c r="A427" s="2" t="n"/>
      <c r="B427" s="2" t="n"/>
      <c r="C427" s="2" t="n"/>
      <c r="D427" s="2" t="n"/>
      <c r="E427" s="2" t="n"/>
      <c r="F427" s="12" t="n"/>
      <c r="G427" s="2" t="n"/>
      <c r="H427" s="2" t="n"/>
    </row>
    <row r="428">
      <c r="A428" s="6" t="n"/>
      <c r="B428" s="6" t="n"/>
      <c r="C428" s="6" t="n"/>
      <c r="D428" s="6" t="n"/>
      <c r="E428" s="6" t="n"/>
      <c r="F428" s="14" t="n"/>
      <c r="G428" s="6" t="n"/>
      <c r="H428" s="6" t="n"/>
    </row>
    <row r="429">
      <c r="A429" s="2" t="n"/>
      <c r="B429" s="2" t="n"/>
      <c r="C429" s="2" t="n"/>
      <c r="D429" s="2" t="n"/>
      <c r="E429" s="2" t="n"/>
      <c r="F429" s="12" t="n"/>
      <c r="G429" s="2" t="n"/>
      <c r="H429" s="2" t="n"/>
    </row>
    <row r="430">
      <c r="A430" s="6" t="n"/>
      <c r="B430" s="6" t="n"/>
      <c r="C430" s="6" t="n"/>
      <c r="D430" s="6" t="n"/>
      <c r="E430" s="6" t="n"/>
      <c r="F430" s="14" t="n"/>
      <c r="G430" s="6" t="n"/>
      <c r="H430" s="6" t="n"/>
    </row>
    <row r="431">
      <c r="A431" s="2" t="n"/>
      <c r="B431" s="2" t="n"/>
      <c r="C431" s="2" t="n"/>
      <c r="D431" s="2" t="n"/>
      <c r="E431" s="2" t="n"/>
      <c r="F431" s="12" t="n"/>
      <c r="G431" s="2" t="n"/>
      <c r="H431" s="2" t="n"/>
    </row>
    <row r="432">
      <c r="A432" s="6" t="n"/>
      <c r="B432" s="6" t="n"/>
      <c r="C432" s="6" t="n"/>
      <c r="D432" s="6" t="n"/>
      <c r="E432" s="6" t="n"/>
      <c r="F432" s="14" t="n"/>
      <c r="G432" s="6" t="n"/>
      <c r="H432" s="6" t="n"/>
    </row>
    <row r="433">
      <c r="A433" s="2" t="n"/>
      <c r="B433" s="2" t="n"/>
      <c r="C433" s="2" t="n"/>
      <c r="D433" s="2" t="n"/>
      <c r="E433" s="2" t="n"/>
      <c r="F433" s="12" t="n"/>
      <c r="G433" s="2" t="n"/>
      <c r="H433" s="2" t="n"/>
    </row>
    <row r="434">
      <c r="A434" s="6" t="n"/>
      <c r="B434" s="6" t="n"/>
      <c r="C434" s="6" t="n"/>
      <c r="D434" s="6" t="n"/>
      <c r="E434" s="6" t="n"/>
      <c r="F434" s="14" t="n"/>
      <c r="G434" s="6" t="n"/>
      <c r="H434" s="6" t="n"/>
    </row>
    <row r="435">
      <c r="A435" s="2" t="n"/>
      <c r="B435" s="2" t="n"/>
      <c r="C435" s="2" t="n"/>
      <c r="D435" s="2" t="n"/>
      <c r="E435" s="2" t="n"/>
      <c r="F435" s="12" t="n"/>
      <c r="G435" s="2" t="n"/>
      <c r="H435" s="2" t="n"/>
    </row>
    <row r="436">
      <c r="A436" s="6" t="n"/>
      <c r="B436" s="6" t="n"/>
      <c r="C436" s="6" t="n"/>
      <c r="D436" s="6" t="n"/>
      <c r="E436" s="6" t="n"/>
      <c r="F436" s="14" t="n"/>
      <c r="G436" s="6" t="n"/>
      <c r="H436" s="6" t="n"/>
    </row>
    <row r="437">
      <c r="A437" s="2" t="n"/>
      <c r="B437" s="2" t="n"/>
      <c r="C437" s="2" t="n"/>
      <c r="D437" s="2" t="n"/>
      <c r="E437" s="2" t="n"/>
      <c r="F437" s="12" t="n"/>
      <c r="G437" s="2" t="n"/>
      <c r="H437" s="2" t="n"/>
    </row>
    <row r="438">
      <c r="A438" s="6" t="n"/>
      <c r="B438" s="6" t="n"/>
      <c r="C438" s="6" t="n"/>
      <c r="D438" s="6" t="n"/>
      <c r="E438" s="6" t="n"/>
      <c r="F438" s="14" t="n"/>
      <c r="G438" s="6" t="n"/>
      <c r="H438" s="6" t="n"/>
    </row>
    <row r="439">
      <c r="A439" s="2" t="n"/>
      <c r="B439" s="2" t="n"/>
      <c r="C439" s="2" t="n"/>
      <c r="D439" s="2" t="n"/>
      <c r="E439" s="2" t="n"/>
      <c r="F439" s="12" t="n"/>
      <c r="G439" s="2" t="n"/>
      <c r="H439" s="2" t="n"/>
    </row>
    <row r="440">
      <c r="A440" s="6" t="n"/>
      <c r="B440" s="6" t="n"/>
      <c r="C440" s="6" t="n"/>
      <c r="D440" s="6" t="n"/>
      <c r="E440" s="6" t="n"/>
      <c r="F440" s="14" t="n"/>
      <c r="G440" s="6" t="n"/>
      <c r="H440" s="6" t="n"/>
    </row>
    <row r="441">
      <c r="A441" s="2" t="n"/>
      <c r="B441" s="2" t="n"/>
      <c r="C441" s="2" t="n"/>
      <c r="D441" s="2" t="n"/>
      <c r="E441" s="2" t="n"/>
      <c r="F441" s="12" t="n"/>
      <c r="G441" s="2" t="n"/>
      <c r="H441" s="2" t="n"/>
    </row>
    <row r="442">
      <c r="A442" s="6" t="n"/>
      <c r="B442" s="6" t="n"/>
      <c r="C442" s="6" t="n"/>
      <c r="D442" s="6" t="n"/>
      <c r="E442" s="6" t="n"/>
      <c r="F442" s="14" t="n"/>
      <c r="G442" s="6" t="n"/>
      <c r="H442" s="6" t="n"/>
    </row>
    <row r="443">
      <c r="A443" s="2" t="n"/>
      <c r="B443" s="2" t="n"/>
      <c r="C443" s="2" t="n"/>
      <c r="D443" s="2" t="n"/>
      <c r="E443" s="2" t="n"/>
      <c r="F443" s="12" t="n"/>
      <c r="G443" s="2" t="n"/>
      <c r="H443" s="2" t="n"/>
    </row>
    <row r="444">
      <c r="A444" s="6" t="n"/>
      <c r="B444" s="6" t="n"/>
      <c r="C444" s="6" t="n"/>
      <c r="D444" s="6" t="n"/>
      <c r="E444" s="6" t="n"/>
      <c r="F444" s="14" t="n"/>
      <c r="G444" s="6" t="n"/>
      <c r="H444" s="6" t="n"/>
    </row>
    <row r="445">
      <c r="A445" s="2" t="n"/>
      <c r="B445" s="2" t="n"/>
      <c r="C445" s="2" t="n"/>
      <c r="D445" s="2" t="n"/>
      <c r="E445" s="2" t="n"/>
      <c r="F445" s="12" t="n"/>
      <c r="G445" s="2" t="n"/>
      <c r="H445" s="2" t="n"/>
    </row>
    <row r="446">
      <c r="A446" s="6" t="n"/>
      <c r="B446" s="6" t="n"/>
      <c r="C446" s="6" t="n"/>
      <c r="D446" s="6" t="n"/>
      <c r="E446" s="6" t="n"/>
      <c r="F446" s="14" t="n"/>
      <c r="G446" s="6" t="n"/>
      <c r="H446" s="6" t="n"/>
    </row>
    <row r="447">
      <c r="A447" s="2" t="n"/>
      <c r="B447" s="2" t="n"/>
      <c r="C447" s="2" t="n"/>
      <c r="D447" s="2" t="n"/>
      <c r="E447" s="2" t="n"/>
      <c r="F447" s="12" t="n"/>
      <c r="G447" s="2" t="n"/>
      <c r="H447" s="2" t="n"/>
    </row>
    <row r="448">
      <c r="A448" s="6" t="n"/>
      <c r="B448" s="6" t="n"/>
      <c r="C448" s="6" t="n"/>
      <c r="D448" s="6" t="n"/>
      <c r="E448" s="6" t="n"/>
      <c r="F448" s="14" t="n"/>
      <c r="G448" s="6" t="n"/>
      <c r="H448" s="6" t="n"/>
    </row>
    <row r="449">
      <c r="A449" s="2" t="n"/>
      <c r="B449" s="2" t="n"/>
      <c r="C449" s="2" t="n"/>
      <c r="D449" s="2" t="n"/>
      <c r="E449" s="2" t="n"/>
      <c r="F449" s="12" t="n"/>
      <c r="G449" s="2" t="n"/>
      <c r="H449" s="2" t="n"/>
    </row>
    <row r="450">
      <c r="A450" s="6" t="n"/>
      <c r="B450" s="6" t="n"/>
      <c r="C450" s="6" t="n"/>
      <c r="D450" s="6" t="n"/>
      <c r="E450" s="6" t="n"/>
      <c r="F450" s="14" t="n"/>
      <c r="G450" s="6" t="n"/>
      <c r="H450" s="6" t="n"/>
    </row>
    <row r="451">
      <c r="A451" s="2" t="n"/>
      <c r="B451" s="2" t="n"/>
      <c r="C451" s="2" t="n"/>
      <c r="D451" s="2" t="n"/>
      <c r="E451" s="2" t="n"/>
      <c r="F451" s="12" t="n"/>
      <c r="G451" s="2" t="n"/>
      <c r="H451" s="2" t="n"/>
    </row>
    <row r="452">
      <c r="A452" s="6" t="n"/>
      <c r="B452" s="6" t="n"/>
      <c r="C452" s="6" t="n"/>
      <c r="D452" s="6" t="n"/>
      <c r="E452" s="6" t="n"/>
      <c r="F452" s="14" t="n"/>
      <c r="G452" s="6" t="n"/>
      <c r="H452" s="6" t="n"/>
    </row>
    <row r="453">
      <c r="A453" s="2" t="n"/>
      <c r="B453" s="2" t="n"/>
      <c r="C453" s="2" t="n"/>
      <c r="D453" s="2" t="n"/>
      <c r="E453" s="2" t="n"/>
      <c r="F453" s="12" t="n"/>
      <c r="G453" s="2" t="n"/>
      <c r="H453" s="2" t="n"/>
    </row>
    <row r="454">
      <c r="A454" s="6" t="n"/>
      <c r="B454" s="6" t="n"/>
      <c r="C454" s="6" t="n"/>
      <c r="D454" s="6" t="n"/>
      <c r="E454" s="6" t="n"/>
      <c r="F454" s="14" t="n"/>
      <c r="G454" s="6" t="n"/>
      <c r="H454" s="6" t="n"/>
    </row>
    <row r="455">
      <c r="A455" s="2" t="n"/>
      <c r="B455" s="2" t="n"/>
      <c r="C455" s="2" t="n"/>
      <c r="D455" s="2" t="n"/>
      <c r="E455" s="2" t="n"/>
      <c r="F455" s="12" t="n"/>
      <c r="G455" s="2" t="n"/>
      <c r="H455" s="2" t="n"/>
    </row>
    <row r="456">
      <c r="A456" s="6" t="n"/>
      <c r="B456" s="6" t="n"/>
      <c r="C456" s="6" t="n"/>
      <c r="D456" s="6" t="n"/>
      <c r="E456" s="6" t="n"/>
      <c r="F456" s="14" t="n"/>
      <c r="G456" s="6" t="n"/>
      <c r="H456" s="6" t="n"/>
    </row>
    <row r="457">
      <c r="A457" s="2" t="n"/>
      <c r="B457" s="2" t="n"/>
      <c r="C457" s="2" t="n"/>
      <c r="D457" s="2" t="n"/>
      <c r="E457" s="2" t="n"/>
      <c r="F457" s="12" t="n"/>
      <c r="G457" s="2" t="n"/>
      <c r="H457" s="2" t="n"/>
    </row>
    <row r="458">
      <c r="A458" s="6" t="n"/>
      <c r="B458" s="6" t="n"/>
      <c r="C458" s="6" t="n"/>
      <c r="D458" s="6" t="n"/>
      <c r="E458" s="6" t="n"/>
      <c r="F458" s="14" t="n"/>
      <c r="G458" s="6" t="n"/>
      <c r="H458" s="6" t="n"/>
    </row>
    <row r="459">
      <c r="A459" s="2" t="n"/>
      <c r="B459" s="2" t="n"/>
      <c r="C459" s="2" t="n"/>
      <c r="D459" s="2" t="n"/>
      <c r="E459" s="2" t="n"/>
      <c r="F459" s="12" t="n"/>
      <c r="G459" s="2" t="n"/>
      <c r="H459" s="2" t="n"/>
    </row>
    <row r="460">
      <c r="A460" s="6" t="n"/>
      <c r="B460" s="6" t="n"/>
      <c r="C460" s="6" t="n"/>
      <c r="D460" s="6" t="n"/>
      <c r="E460" s="6" t="n"/>
      <c r="F460" s="14" t="n"/>
      <c r="G460" s="6" t="n"/>
      <c r="H460" s="6" t="n"/>
    </row>
    <row r="461">
      <c r="A461" s="2" t="n"/>
      <c r="B461" s="2" t="n"/>
      <c r="C461" s="2" t="n"/>
      <c r="D461" s="2" t="n"/>
      <c r="E461" s="2" t="n"/>
      <c r="F461" s="12" t="n"/>
      <c r="G461" s="2" t="n"/>
      <c r="H461" s="2" t="n"/>
    </row>
    <row r="462">
      <c r="A462" s="6" t="n"/>
      <c r="B462" s="6" t="n"/>
      <c r="C462" s="6" t="n"/>
      <c r="D462" s="6" t="n"/>
      <c r="E462" s="6" t="n"/>
      <c r="F462" s="14" t="n"/>
      <c r="G462" s="6" t="n"/>
      <c r="H462" s="6" t="n"/>
    </row>
    <row r="463">
      <c r="A463" s="2" t="n"/>
      <c r="B463" s="2" t="n"/>
      <c r="C463" s="2" t="n"/>
      <c r="D463" s="2" t="n"/>
      <c r="E463" s="2" t="n"/>
      <c r="F463" s="12" t="n"/>
      <c r="G463" s="2" t="n"/>
      <c r="H463" s="2" t="n"/>
    </row>
    <row r="464">
      <c r="A464" s="6" t="n"/>
      <c r="B464" s="6" t="n"/>
      <c r="C464" s="6" t="n"/>
      <c r="D464" s="6" t="n"/>
      <c r="E464" s="6" t="n"/>
      <c r="F464" s="14" t="n"/>
      <c r="G464" s="6" t="n"/>
      <c r="H464" s="6" t="n"/>
    </row>
    <row r="465">
      <c r="A465" s="2" t="n"/>
      <c r="B465" s="2" t="n"/>
      <c r="C465" s="2" t="n"/>
      <c r="D465" s="2" t="n"/>
      <c r="E465" s="2" t="n"/>
      <c r="F465" s="12" t="n"/>
      <c r="G465" s="2" t="n"/>
      <c r="H465" s="2" t="n"/>
    </row>
    <row r="466">
      <c r="A466" s="6" t="n"/>
      <c r="B466" s="6" t="n"/>
      <c r="C466" s="6" t="n"/>
      <c r="D466" s="6" t="n"/>
      <c r="E466" s="6" t="n"/>
      <c r="F466" s="14" t="n"/>
      <c r="G466" s="6" t="n"/>
      <c r="H466" s="6" t="n"/>
    </row>
    <row r="467">
      <c r="A467" s="2" t="n"/>
      <c r="B467" s="2" t="n"/>
      <c r="C467" s="2" t="n"/>
      <c r="D467" s="2" t="n"/>
      <c r="E467" s="2" t="n"/>
      <c r="F467" s="12" t="n"/>
      <c r="G467" s="2" t="n"/>
      <c r="H467" s="2" t="n"/>
    </row>
    <row r="468">
      <c r="A468" s="6" t="n"/>
      <c r="B468" s="6" t="n"/>
      <c r="C468" s="6" t="n"/>
      <c r="D468" s="6" t="n"/>
      <c r="E468" s="6" t="n"/>
      <c r="F468" s="14" t="n"/>
      <c r="G468" s="6" t="n"/>
      <c r="H468" s="6" t="n"/>
    </row>
    <row r="469">
      <c r="A469" s="2" t="n"/>
      <c r="B469" s="2" t="n"/>
      <c r="C469" s="2" t="n"/>
      <c r="D469" s="2" t="n"/>
      <c r="E469" s="2" t="n"/>
      <c r="F469" s="12" t="n"/>
      <c r="G469" s="2" t="n"/>
      <c r="H469" s="2" t="n"/>
    </row>
    <row r="470">
      <c r="A470" s="6" t="n"/>
      <c r="B470" s="6" t="n"/>
      <c r="C470" s="6" t="n"/>
      <c r="D470" s="6" t="n"/>
      <c r="E470" s="6" t="n"/>
      <c r="F470" s="14" t="n"/>
      <c r="G470" s="6" t="n"/>
      <c r="H470" s="6" t="n"/>
    </row>
    <row r="471">
      <c r="A471" s="2" t="n"/>
      <c r="B471" s="2" t="n"/>
      <c r="C471" s="2" t="n"/>
      <c r="D471" s="2" t="n"/>
      <c r="E471" s="2" t="n"/>
      <c r="F471" s="12" t="n"/>
      <c r="G471" s="2" t="n"/>
      <c r="H471" s="2" t="n"/>
    </row>
    <row r="472">
      <c r="A472" s="6" t="n"/>
      <c r="B472" s="6" t="n"/>
      <c r="C472" s="6" t="n"/>
      <c r="D472" s="6" t="n"/>
      <c r="E472" s="6" t="n"/>
      <c r="F472" s="14" t="n"/>
      <c r="G472" s="6" t="n"/>
      <c r="H472" s="6" t="n"/>
    </row>
    <row r="473">
      <c r="A473" s="2" t="n"/>
      <c r="B473" s="2" t="n"/>
      <c r="C473" s="2" t="n"/>
      <c r="D473" s="2" t="n"/>
      <c r="E473" s="2" t="n"/>
      <c r="F473" s="12" t="n"/>
      <c r="G473" s="2" t="n"/>
      <c r="H473" s="2" t="n"/>
    </row>
    <row r="474">
      <c r="A474" s="6" t="n"/>
      <c r="B474" s="6" t="n"/>
      <c r="C474" s="6" t="n"/>
      <c r="D474" s="6" t="n"/>
      <c r="E474" s="6" t="n"/>
      <c r="F474" s="14" t="n"/>
      <c r="G474" s="6" t="n"/>
      <c r="H474" s="6" t="n"/>
    </row>
    <row r="475">
      <c r="A475" s="2" t="n"/>
      <c r="B475" s="2" t="n"/>
      <c r="C475" s="2" t="n"/>
      <c r="D475" s="2" t="n"/>
      <c r="E475" s="2" t="n"/>
      <c r="F475" s="12" t="n"/>
      <c r="G475" s="2" t="n"/>
      <c r="H475" s="2" t="n"/>
    </row>
    <row r="476">
      <c r="A476" s="6" t="n"/>
      <c r="B476" s="6" t="n"/>
      <c r="C476" s="6" t="n"/>
      <c r="D476" s="6" t="n"/>
      <c r="E476" s="6" t="n"/>
      <c r="F476" s="14" t="n"/>
      <c r="G476" s="6" t="n"/>
      <c r="H476" s="6" t="n"/>
    </row>
    <row r="477">
      <c r="A477" s="2" t="n"/>
      <c r="B477" s="2" t="n"/>
      <c r="C477" s="2" t="n"/>
      <c r="D477" s="2" t="n"/>
      <c r="E477" s="2" t="n"/>
      <c r="F477" s="12" t="n"/>
      <c r="G477" s="2" t="n"/>
      <c r="H477" s="2" t="n"/>
    </row>
    <row r="478">
      <c r="A478" s="6" t="n"/>
      <c r="B478" s="6" t="n"/>
      <c r="C478" s="6" t="n"/>
      <c r="D478" s="6" t="n"/>
      <c r="E478" s="6" t="n"/>
      <c r="F478" s="14" t="n"/>
      <c r="G478" s="6" t="n"/>
      <c r="H478" s="6" t="n"/>
    </row>
    <row r="479">
      <c r="A479" s="2" t="n"/>
      <c r="B479" s="2" t="n"/>
      <c r="C479" s="2" t="n"/>
      <c r="D479" s="2" t="n"/>
      <c r="E479" s="2" t="n"/>
      <c r="F479" s="12" t="n"/>
      <c r="G479" s="2" t="n"/>
      <c r="H479" s="2" t="n"/>
    </row>
    <row r="480">
      <c r="A480" s="6" t="n"/>
      <c r="B480" s="6" t="n"/>
      <c r="C480" s="6" t="n"/>
      <c r="D480" s="6" t="n"/>
      <c r="E480" s="6" t="n"/>
      <c r="F480" s="14" t="n"/>
      <c r="G480" s="6" t="n"/>
      <c r="H480" s="6" t="n"/>
    </row>
    <row r="481">
      <c r="A481" s="2" t="n"/>
      <c r="B481" s="2" t="n"/>
      <c r="C481" s="2" t="n"/>
      <c r="D481" s="2" t="n"/>
      <c r="E481" s="2" t="n"/>
      <c r="F481" s="12" t="n"/>
      <c r="G481" s="2" t="n"/>
      <c r="H481" s="2" t="n"/>
    </row>
    <row r="482">
      <c r="A482" s="6" t="n"/>
      <c r="B482" s="6" t="n"/>
      <c r="C482" s="6" t="n"/>
      <c r="D482" s="6" t="n"/>
      <c r="E482" s="6" t="n"/>
      <c r="F482" s="14" t="n"/>
      <c r="G482" s="6" t="n"/>
      <c r="H482" s="6" t="n"/>
    </row>
    <row r="483">
      <c r="A483" s="2" t="n"/>
      <c r="B483" s="2" t="n"/>
      <c r="C483" s="2" t="n"/>
      <c r="D483" s="2" t="n"/>
      <c r="E483" s="2" t="n"/>
      <c r="F483" s="12" t="n"/>
      <c r="G483" s="2" t="n"/>
      <c r="H483" s="2" t="n"/>
    </row>
    <row r="484">
      <c r="A484" s="6" t="n"/>
      <c r="B484" s="6" t="n"/>
      <c r="C484" s="6" t="n"/>
      <c r="D484" s="6" t="n"/>
      <c r="E484" s="6" t="n"/>
      <c r="F484" s="14" t="n"/>
      <c r="G484" s="6" t="n"/>
      <c r="H484" s="6" t="n"/>
    </row>
    <row r="485">
      <c r="A485" s="2" t="n"/>
      <c r="B485" s="2" t="n"/>
      <c r="C485" s="2" t="n"/>
      <c r="D485" s="2" t="n"/>
      <c r="E485" s="2" t="n"/>
      <c r="F485" s="12" t="n"/>
      <c r="G485" s="2" t="n"/>
      <c r="H485" s="2" t="n"/>
    </row>
    <row r="486">
      <c r="A486" s="6" t="n"/>
      <c r="B486" s="6" t="n"/>
      <c r="C486" s="6" t="n"/>
      <c r="D486" s="6" t="n"/>
      <c r="E486" s="6" t="n"/>
      <c r="F486" s="14" t="n"/>
      <c r="G486" s="6" t="n"/>
      <c r="H486" s="6" t="n"/>
    </row>
    <row r="487">
      <c r="A487" s="2" t="n"/>
      <c r="B487" s="2" t="n"/>
      <c r="C487" s="2" t="n"/>
      <c r="D487" s="2" t="n"/>
      <c r="E487" s="2" t="n"/>
      <c r="F487" s="12" t="n"/>
      <c r="G487" s="2" t="n"/>
      <c r="H487" s="2" t="n"/>
    </row>
    <row r="488">
      <c r="A488" s="6" t="n"/>
      <c r="B488" s="6" t="n"/>
      <c r="C488" s="6" t="n"/>
      <c r="D488" s="6" t="n"/>
      <c r="E488" s="6" t="n"/>
      <c r="F488" s="14" t="n"/>
      <c r="G488" s="6" t="n"/>
      <c r="H488" s="6" t="n"/>
    </row>
    <row r="489">
      <c r="A489" s="2" t="n"/>
      <c r="B489" s="2" t="n"/>
      <c r="C489" s="2" t="n"/>
      <c r="D489" s="2" t="n"/>
      <c r="E489" s="2" t="n"/>
      <c r="F489" s="12" t="n"/>
      <c r="G489" s="2" t="n"/>
      <c r="H489" s="2" t="n"/>
    </row>
    <row r="490">
      <c r="A490" s="6" t="n"/>
      <c r="B490" s="6" t="n"/>
      <c r="C490" s="6" t="n"/>
      <c r="D490" s="6" t="n"/>
      <c r="E490" s="6" t="n"/>
      <c r="F490" s="14" t="n"/>
      <c r="G490" s="6" t="n"/>
      <c r="H490" s="6" t="n"/>
    </row>
    <row r="491">
      <c r="A491" s="2" t="n"/>
      <c r="B491" s="2" t="n"/>
      <c r="C491" s="2" t="n"/>
      <c r="D491" s="2" t="n"/>
      <c r="E491" s="2" t="n"/>
      <c r="F491" s="12" t="n"/>
      <c r="G491" s="2" t="n"/>
      <c r="H491" s="2" t="n"/>
    </row>
    <row r="492">
      <c r="A492" s="6" t="n"/>
      <c r="B492" s="6" t="n"/>
      <c r="C492" s="6" t="n"/>
      <c r="D492" s="6" t="n"/>
      <c r="E492" s="6" t="n"/>
      <c r="F492" s="14" t="n"/>
      <c r="G492" s="6" t="n"/>
      <c r="H492" s="6" t="n"/>
    </row>
    <row r="493">
      <c r="A493" s="2" t="n"/>
      <c r="B493" s="2" t="n"/>
      <c r="C493" s="2" t="n"/>
      <c r="D493" s="2" t="n"/>
      <c r="E493" s="2" t="n"/>
      <c r="F493" s="12" t="n"/>
      <c r="G493" s="2" t="n"/>
      <c r="H493" s="2" t="n"/>
    </row>
    <row r="494">
      <c r="A494" s="6" t="n"/>
      <c r="B494" s="6" t="n"/>
      <c r="C494" s="6" t="n"/>
      <c r="D494" s="6" t="n"/>
      <c r="E494" s="6" t="n"/>
      <c r="F494" s="14" t="n"/>
      <c r="G494" s="6" t="n"/>
      <c r="H494" s="6" t="n"/>
    </row>
    <row r="495">
      <c r="A495" s="2" t="n"/>
      <c r="B495" s="2" t="n"/>
      <c r="C495" s="2" t="n"/>
      <c r="D495" s="2" t="n"/>
      <c r="E495" s="2" t="n"/>
      <c r="F495" s="12" t="n"/>
      <c r="G495" s="2" t="n"/>
      <c r="H495" s="2" t="n"/>
    </row>
    <row r="496">
      <c r="A496" s="6" t="n"/>
      <c r="B496" s="6" t="n"/>
      <c r="C496" s="6" t="n"/>
      <c r="D496" s="6" t="n"/>
      <c r="E496" s="6" t="n"/>
      <c r="F496" s="14" t="n"/>
      <c r="G496" s="6" t="n"/>
      <c r="H496" s="6" t="n"/>
    </row>
    <row r="497">
      <c r="A497" s="2" t="n"/>
      <c r="B497" s="2" t="n"/>
      <c r="C497" s="2" t="n"/>
      <c r="D497" s="2" t="n"/>
      <c r="E497" s="2" t="n"/>
      <c r="F497" s="12" t="n"/>
      <c r="G497" s="2" t="n"/>
      <c r="H497" s="2" t="n"/>
    </row>
    <row r="498">
      <c r="A498" s="6" t="n"/>
      <c r="B498" s="6" t="n"/>
      <c r="C498" s="6" t="n"/>
      <c r="D498" s="6" t="n"/>
      <c r="E498" s="6" t="n"/>
      <c r="F498" s="14" t="n"/>
      <c r="G498" s="6" t="n"/>
      <c r="H498" s="6" t="n"/>
    </row>
    <row r="499">
      <c r="A499" s="2" t="n"/>
      <c r="B499" s="2" t="n"/>
      <c r="C499" s="2" t="n"/>
      <c r="D499" s="2" t="n"/>
      <c r="E499" s="2" t="n"/>
      <c r="F499" s="12" t="n"/>
      <c r="G499" s="2" t="n"/>
      <c r="H499" s="2" t="n"/>
    </row>
    <row r="500">
      <c r="A500" s="6" t="n"/>
      <c r="B500" s="6" t="n"/>
      <c r="C500" s="6" t="n"/>
      <c r="D500" s="6" t="n"/>
      <c r="E500" s="6" t="n"/>
      <c r="F500" s="14" t="n"/>
      <c r="G500" s="6" t="n"/>
      <c r="H500" s="6" t="n"/>
    </row>
    <row r="501">
      <c r="A501" s="2" t="n"/>
      <c r="B501" s="2" t="n"/>
      <c r="C501" s="2" t="n"/>
      <c r="D501" s="2" t="n"/>
      <c r="E501" s="2" t="n"/>
      <c r="F501" s="12" t="n"/>
      <c r="G501" s="2" t="n"/>
      <c r="H501" s="2" t="n"/>
    </row>
    <row r="502">
      <c r="A502" s="6" t="n"/>
      <c r="B502" s="6" t="n"/>
      <c r="C502" s="6" t="n"/>
      <c r="D502" s="6" t="n"/>
      <c r="E502" s="6" t="n"/>
      <c r="F502" s="14" t="n"/>
      <c r="G502" s="6" t="n"/>
      <c r="H502" s="6" t="n"/>
    </row>
    <row r="503">
      <c r="A503" s="2" t="n"/>
      <c r="B503" s="2" t="n"/>
      <c r="C503" s="2" t="n"/>
      <c r="D503" s="2" t="n"/>
      <c r="E503" s="2" t="n"/>
      <c r="F503" s="12" t="n"/>
      <c r="G503" s="2" t="n"/>
      <c r="H503" s="2" t="n"/>
    </row>
    <row r="504">
      <c r="A504" s="6" t="n"/>
      <c r="B504" s="6" t="n"/>
      <c r="C504" s="6" t="n"/>
      <c r="D504" s="6" t="n"/>
      <c r="E504" s="6" t="n"/>
      <c r="F504" s="14" t="n"/>
      <c r="G504" s="6" t="n"/>
      <c r="H504" s="6" t="n"/>
    </row>
    <row r="505">
      <c r="A505" s="2" t="n"/>
      <c r="B505" s="2" t="n"/>
      <c r="C505" s="2" t="n"/>
      <c r="D505" s="2" t="n"/>
      <c r="E505" s="2" t="n"/>
      <c r="F505" s="12" t="n"/>
      <c r="G505" s="2" t="n"/>
      <c r="H505" s="2" t="n"/>
    </row>
    <row r="506">
      <c r="A506" s="6" t="n"/>
      <c r="B506" s="6" t="n"/>
      <c r="C506" s="6" t="n"/>
      <c r="D506" s="6" t="n"/>
      <c r="E506" s="6" t="n"/>
      <c r="F506" s="14" t="n"/>
      <c r="G506" s="6" t="n"/>
      <c r="H506" s="6" t="n"/>
    </row>
    <row r="507">
      <c r="A507" s="2" t="n"/>
      <c r="B507" s="2" t="n"/>
      <c r="C507" s="2" t="n"/>
      <c r="D507" s="2" t="n"/>
      <c r="E507" s="2" t="n"/>
      <c r="F507" s="12" t="n"/>
      <c r="G507" s="2" t="n"/>
      <c r="H507" s="2" t="n"/>
    </row>
    <row r="508">
      <c r="A508" s="6" t="n"/>
      <c r="B508" s="6" t="n"/>
      <c r="C508" s="6" t="n"/>
      <c r="D508" s="6" t="n"/>
      <c r="E508" s="6" t="n"/>
      <c r="F508" s="14" t="n"/>
      <c r="G508" s="6" t="n"/>
      <c r="H508" s="6" t="n"/>
    </row>
    <row r="509">
      <c r="A509" s="2" t="n"/>
      <c r="B509" s="2" t="n"/>
      <c r="C509" s="2" t="n"/>
      <c r="D509" s="2" t="n"/>
      <c r="E509" s="2" t="n"/>
      <c r="F509" s="12" t="n"/>
      <c r="G509" s="2" t="n"/>
      <c r="H509" s="2" t="n"/>
    </row>
    <row r="510">
      <c r="A510" s="6" t="n"/>
      <c r="B510" s="6" t="n"/>
      <c r="C510" s="6" t="n"/>
      <c r="D510" s="6" t="n"/>
      <c r="E510" s="6" t="n"/>
      <c r="F510" s="14" t="n"/>
      <c r="G510" s="6" t="n"/>
      <c r="H510" s="6" t="n"/>
    </row>
    <row r="511">
      <c r="A511" s="2" t="n"/>
      <c r="B511" s="2" t="n"/>
      <c r="C511" s="2" t="n"/>
      <c r="D511" s="2" t="n"/>
      <c r="E511" s="2" t="n"/>
      <c r="F511" s="12" t="n"/>
      <c r="G511" s="2" t="n"/>
      <c r="H511" s="2" t="n"/>
    </row>
    <row r="512">
      <c r="A512" s="6" t="n"/>
      <c r="B512" s="6" t="n"/>
      <c r="C512" s="6" t="n"/>
      <c r="D512" s="6" t="n"/>
      <c r="E512" s="6" t="n"/>
      <c r="F512" s="14" t="n"/>
      <c r="G512" s="6" t="n"/>
      <c r="H512" s="6" t="n"/>
    </row>
    <row r="513">
      <c r="A513" s="2" t="n"/>
      <c r="B513" s="2" t="n"/>
      <c r="C513" s="2" t="n"/>
      <c r="D513" s="2" t="n"/>
      <c r="E513" s="2" t="n"/>
      <c r="F513" s="12" t="n"/>
      <c r="G513" s="2" t="n"/>
      <c r="H513" s="2" t="n"/>
    </row>
    <row r="514">
      <c r="A514" s="6" t="n"/>
      <c r="B514" s="6" t="n"/>
      <c r="C514" s="6" t="n"/>
      <c r="D514" s="6" t="n"/>
      <c r="E514" s="6" t="n"/>
      <c r="F514" s="14" t="n"/>
      <c r="G514" s="6" t="n"/>
      <c r="H514" s="6" t="n"/>
    </row>
    <row r="515">
      <c r="A515" s="2" t="n"/>
      <c r="B515" s="2" t="n"/>
      <c r="C515" s="2" t="n"/>
      <c r="D515" s="2" t="n"/>
      <c r="E515" s="2" t="n"/>
      <c r="F515" s="12" t="n"/>
      <c r="G515" s="2" t="n"/>
      <c r="H515" s="2" t="n"/>
    </row>
    <row r="516">
      <c r="A516" s="6" t="n"/>
      <c r="B516" s="6" t="n"/>
      <c r="C516" s="6" t="n"/>
      <c r="D516" s="6" t="n"/>
      <c r="E516" s="6" t="n"/>
      <c r="F516" s="14" t="n"/>
      <c r="G516" s="6" t="n"/>
      <c r="H516" s="6" t="n"/>
    </row>
    <row r="517">
      <c r="A517" s="2" t="n"/>
      <c r="B517" s="2" t="n"/>
      <c r="C517" s="2" t="n"/>
      <c r="D517" s="2" t="n"/>
      <c r="E517" s="2" t="n"/>
      <c r="F517" s="12" t="n"/>
      <c r="G517" s="2" t="n"/>
      <c r="H517" s="2" t="n"/>
    </row>
    <row r="518">
      <c r="A518" s="6" t="n"/>
      <c r="B518" s="6" t="n"/>
      <c r="C518" s="6" t="n"/>
      <c r="D518" s="6" t="n"/>
      <c r="E518" s="6" t="n"/>
      <c r="F518" s="14" t="n"/>
      <c r="G518" s="6" t="n"/>
      <c r="H518" s="6" t="n"/>
    </row>
    <row r="519">
      <c r="A519" s="2" t="n"/>
      <c r="B519" s="2" t="n"/>
      <c r="C519" s="2" t="n"/>
      <c r="D519" s="2" t="n"/>
      <c r="E519" s="2" t="n"/>
      <c r="F519" s="12" t="n"/>
      <c r="G519" s="2" t="n"/>
      <c r="H519" s="2" t="n"/>
    </row>
    <row r="520">
      <c r="A520" s="6" t="n"/>
      <c r="B520" s="6" t="n"/>
      <c r="C520" s="6" t="n"/>
      <c r="D520" s="6" t="n"/>
      <c r="E520" s="6" t="n"/>
      <c r="F520" s="14" t="n"/>
      <c r="G520" s="6" t="n"/>
      <c r="H520" s="6" t="n"/>
    </row>
    <row r="521">
      <c r="A521" s="2" t="n"/>
      <c r="B521" s="2" t="n"/>
      <c r="C521" s="2" t="n"/>
      <c r="D521" s="2" t="n"/>
      <c r="E521" s="2" t="n"/>
      <c r="F521" s="12" t="n"/>
      <c r="G521" s="2" t="n"/>
      <c r="H521" s="2" t="n"/>
    </row>
    <row r="522">
      <c r="A522" s="6" t="n"/>
      <c r="B522" s="6" t="n"/>
      <c r="C522" s="6" t="n"/>
      <c r="D522" s="6" t="n"/>
      <c r="E522" s="6" t="n"/>
      <c r="F522" s="14" t="n"/>
      <c r="G522" s="6" t="n"/>
      <c r="H522" s="6" t="n"/>
    </row>
    <row r="523">
      <c r="A523" s="2" t="n"/>
      <c r="B523" s="2" t="n"/>
      <c r="C523" s="2" t="n"/>
      <c r="D523" s="2" t="n"/>
      <c r="E523" s="2" t="n"/>
      <c r="F523" s="12" t="n"/>
      <c r="G523" s="2" t="n"/>
      <c r="H523" s="2" t="n"/>
    </row>
    <row r="524">
      <c r="A524" s="6" t="n"/>
      <c r="B524" s="6" t="n"/>
      <c r="C524" s="6" t="n"/>
      <c r="D524" s="6" t="n"/>
      <c r="E524" s="6" t="n"/>
      <c r="F524" s="14" t="n"/>
      <c r="G524" s="6" t="n"/>
      <c r="H524" s="6" t="n"/>
    </row>
    <row r="525">
      <c r="A525" s="2" t="n"/>
      <c r="B525" s="2" t="n"/>
      <c r="C525" s="2" t="n"/>
      <c r="D525" s="2" t="n"/>
      <c r="E525" s="2" t="n"/>
      <c r="F525" s="12" t="n"/>
      <c r="G525" s="2" t="n"/>
      <c r="H525" s="2" t="n"/>
    </row>
    <row r="526">
      <c r="A526" s="6" t="n"/>
      <c r="B526" s="6" t="n"/>
      <c r="C526" s="6" t="n"/>
      <c r="D526" s="6" t="n"/>
      <c r="E526" s="6" t="n"/>
      <c r="F526" s="14" t="n"/>
      <c r="G526" s="6" t="n"/>
      <c r="H526" s="6" t="n"/>
    </row>
    <row r="527">
      <c r="A527" s="2" t="n"/>
      <c r="B527" s="2" t="n"/>
      <c r="C527" s="2" t="n"/>
      <c r="D527" s="2" t="n"/>
      <c r="E527" s="2" t="n"/>
      <c r="F527" s="12" t="n"/>
      <c r="G527" s="2" t="n"/>
      <c r="H527" s="2" t="n"/>
    </row>
    <row r="528">
      <c r="A528" s="6" t="n"/>
      <c r="B528" s="6" t="n"/>
      <c r="C528" s="6" t="n"/>
      <c r="D528" s="6" t="n"/>
      <c r="E528" s="6" t="n"/>
      <c r="F528" s="14" t="n"/>
      <c r="G528" s="6" t="n"/>
      <c r="H528" s="6" t="n"/>
    </row>
    <row r="529">
      <c r="A529" s="2" t="n"/>
      <c r="B529" s="2" t="n"/>
      <c r="C529" s="2" t="n"/>
      <c r="D529" s="2" t="n"/>
      <c r="E529" s="2" t="n"/>
      <c r="F529" s="12" t="n"/>
      <c r="G529" s="2" t="n"/>
      <c r="H529" s="2" t="n"/>
    </row>
    <row r="530">
      <c r="A530" s="6" t="n"/>
      <c r="B530" s="6" t="n"/>
      <c r="C530" s="6" t="n"/>
      <c r="D530" s="6" t="n"/>
      <c r="E530" s="6" t="n"/>
      <c r="F530" s="14" t="n"/>
      <c r="G530" s="6" t="n"/>
      <c r="H530" s="6" t="n"/>
    </row>
    <row r="531">
      <c r="A531" s="2" t="n"/>
      <c r="B531" s="2" t="n"/>
      <c r="C531" s="2" t="n"/>
      <c r="D531" s="2" t="n"/>
      <c r="E531" s="2" t="n"/>
      <c r="F531" s="12" t="n"/>
      <c r="G531" s="2" t="n"/>
      <c r="H531" s="2" t="n"/>
    </row>
    <row r="532">
      <c r="A532" s="6" t="n"/>
      <c r="B532" s="6" t="n"/>
      <c r="C532" s="6" t="n"/>
      <c r="D532" s="6" t="n"/>
      <c r="E532" s="6" t="n"/>
      <c r="F532" s="14" t="n"/>
      <c r="G532" s="6" t="n"/>
      <c r="H532" s="6" t="n"/>
    </row>
    <row r="533">
      <c r="A533" s="2" t="n"/>
      <c r="B533" s="2" t="n"/>
      <c r="C533" s="2" t="n"/>
      <c r="D533" s="2" t="n"/>
      <c r="E533" s="2" t="n"/>
      <c r="F533" s="12" t="n"/>
      <c r="G533" s="2" t="n"/>
      <c r="H533" s="2" t="n"/>
    </row>
    <row r="534">
      <c r="A534" s="6" t="n"/>
      <c r="B534" s="6" t="n"/>
      <c r="C534" s="6" t="n"/>
      <c r="D534" s="6" t="n"/>
      <c r="E534" s="6" t="n"/>
      <c r="F534" s="14" t="n"/>
      <c r="G534" s="6" t="n"/>
      <c r="H534" s="6" t="n"/>
    </row>
    <row r="535">
      <c r="A535" s="2" t="n"/>
      <c r="B535" s="2" t="n"/>
      <c r="C535" s="2" t="n"/>
      <c r="D535" s="2" t="n"/>
      <c r="E535" s="2" t="n"/>
      <c r="F535" s="12" t="n"/>
      <c r="G535" s="2" t="n"/>
      <c r="H535" s="2" t="n"/>
    </row>
    <row r="536">
      <c r="A536" s="6" t="n"/>
      <c r="B536" s="6" t="n"/>
      <c r="C536" s="6" t="n"/>
      <c r="D536" s="6" t="n"/>
      <c r="E536" s="6" t="n"/>
      <c r="F536" s="14" t="n"/>
      <c r="G536" s="6" t="n"/>
      <c r="H536" s="6" t="n"/>
    </row>
    <row r="537">
      <c r="A537" s="2" t="n"/>
      <c r="B537" s="2" t="n"/>
      <c r="C537" s="2" t="n"/>
      <c r="D537" s="2" t="n"/>
      <c r="E537" s="2" t="n"/>
      <c r="F537" s="12" t="n"/>
      <c r="G537" s="2" t="n"/>
      <c r="H537" s="2" t="n"/>
    </row>
    <row r="538">
      <c r="A538" s="6" t="n"/>
      <c r="B538" s="6" t="n"/>
      <c r="C538" s="6" t="n"/>
      <c r="D538" s="6" t="n"/>
      <c r="E538" s="6" t="n"/>
      <c r="F538" s="14" t="n"/>
      <c r="G538" s="6" t="n"/>
      <c r="H538" s="6" t="n"/>
    </row>
    <row r="539">
      <c r="A539" s="2" t="n"/>
      <c r="B539" s="2" t="n"/>
      <c r="C539" s="2" t="n"/>
      <c r="D539" s="2" t="n"/>
      <c r="E539" s="2" t="n"/>
      <c r="F539" s="12" t="n"/>
      <c r="G539" s="2" t="n"/>
      <c r="H539" s="2" t="n"/>
    </row>
    <row r="540">
      <c r="A540" s="6" t="n"/>
      <c r="B540" s="6" t="n"/>
      <c r="C540" s="6" t="n"/>
      <c r="D540" s="6" t="n"/>
      <c r="E540" s="6" t="n"/>
      <c r="F540" s="14" t="n"/>
      <c r="G540" s="6" t="n"/>
      <c r="H540" s="6" t="n"/>
    </row>
    <row r="541">
      <c r="A541" s="2" t="n"/>
      <c r="B541" s="2" t="n"/>
      <c r="C541" s="2" t="n"/>
      <c r="D541" s="2" t="n"/>
      <c r="E541" s="2" t="n"/>
      <c r="F541" s="12" t="n"/>
      <c r="G541" s="2" t="n"/>
      <c r="H541" s="2" t="n"/>
    </row>
    <row r="542">
      <c r="A542" s="6" t="n"/>
      <c r="B542" s="6" t="n"/>
      <c r="C542" s="6" t="n"/>
      <c r="D542" s="6" t="n"/>
      <c r="E542" s="6" t="n"/>
      <c r="F542" s="14" t="n"/>
      <c r="G542" s="6" t="n"/>
      <c r="H542" s="6" t="n"/>
    </row>
    <row r="543">
      <c r="A543" s="2" t="n"/>
      <c r="B543" s="2" t="n"/>
      <c r="C543" s="2" t="n"/>
      <c r="D543" s="2" t="n"/>
      <c r="E543" s="2" t="n"/>
      <c r="F543" s="12" t="n"/>
      <c r="G543" s="2" t="n"/>
      <c r="H543" s="2" t="n"/>
    </row>
    <row r="544">
      <c r="A544" s="6" t="n"/>
      <c r="B544" s="6" t="n"/>
      <c r="C544" s="6" t="n"/>
      <c r="D544" s="6" t="n"/>
      <c r="E544" s="6" t="n"/>
      <c r="F544" s="14" t="n"/>
      <c r="G544" s="6" t="n"/>
      <c r="H544" s="6" t="n"/>
    </row>
    <row r="545">
      <c r="A545" s="2" t="n"/>
      <c r="B545" s="2" t="n"/>
      <c r="C545" s="2" t="n"/>
      <c r="D545" s="2" t="n"/>
      <c r="E545" s="2" t="n"/>
      <c r="F545" s="12" t="n"/>
      <c r="G545" s="2" t="n"/>
      <c r="H545" s="2" t="n"/>
    </row>
    <row r="546">
      <c r="A546" s="6" t="n"/>
      <c r="B546" s="6" t="n"/>
      <c r="C546" s="6" t="n"/>
      <c r="D546" s="6" t="n"/>
      <c r="E546" s="6" t="n"/>
      <c r="F546" s="14" t="n"/>
      <c r="G546" s="6" t="n"/>
      <c r="H546" s="6" t="n"/>
    </row>
    <row r="547">
      <c r="A547" s="2" t="n"/>
      <c r="B547" s="2" t="n"/>
      <c r="C547" s="2" t="n"/>
      <c r="D547" s="2" t="n"/>
      <c r="E547" s="2" t="n"/>
      <c r="F547" s="12" t="n"/>
      <c r="G547" s="2" t="n"/>
      <c r="H547" s="2" t="n"/>
    </row>
    <row r="548">
      <c r="A548" s="6" t="n"/>
      <c r="B548" s="6" t="n"/>
      <c r="C548" s="6" t="n"/>
      <c r="D548" s="6" t="n"/>
      <c r="E548" s="6" t="n"/>
      <c r="F548" s="14" t="n"/>
      <c r="G548" s="6" t="n"/>
      <c r="H548" s="6" t="n"/>
    </row>
    <row r="549">
      <c r="A549" s="2" t="n"/>
      <c r="B549" s="2" t="n"/>
      <c r="C549" s="2" t="n"/>
      <c r="D549" s="2" t="n"/>
      <c r="E549" s="2" t="n"/>
      <c r="F549" s="12" t="n"/>
      <c r="G549" s="2" t="n"/>
      <c r="H549" s="2" t="n"/>
    </row>
    <row r="550">
      <c r="A550" s="6" t="n"/>
      <c r="B550" s="6" t="n"/>
      <c r="C550" s="6" t="n"/>
      <c r="D550" s="6" t="n"/>
      <c r="E550" s="6" t="n"/>
      <c r="F550" s="14" t="n"/>
      <c r="G550" s="6" t="n"/>
      <c r="H550" s="6" t="n"/>
    </row>
    <row r="551">
      <c r="A551" s="2" t="n"/>
      <c r="B551" s="2" t="n"/>
      <c r="C551" s="2" t="n"/>
      <c r="D551" s="2" t="n"/>
      <c r="E551" s="2" t="n"/>
      <c r="F551" s="12" t="n"/>
      <c r="G551" s="2" t="n"/>
      <c r="H551" s="2" t="n"/>
    </row>
    <row r="552">
      <c r="A552" s="6" t="n"/>
      <c r="B552" s="6" t="n"/>
      <c r="C552" s="6" t="n"/>
      <c r="D552" s="6" t="n"/>
      <c r="E552" s="6" t="n"/>
      <c r="F552" s="14" t="n"/>
      <c r="G552" s="6" t="n"/>
      <c r="H552" s="6" t="n"/>
    </row>
    <row r="553">
      <c r="A553" s="2" t="n"/>
      <c r="B553" s="2" t="n"/>
      <c r="C553" s="2" t="n"/>
      <c r="D553" s="2" t="n"/>
      <c r="E553" s="2" t="n"/>
      <c r="F553" s="12" t="n"/>
      <c r="G553" s="2" t="n"/>
      <c r="H553" s="2" t="n"/>
    </row>
    <row r="554">
      <c r="A554" s="6" t="n"/>
      <c r="B554" s="6" t="n"/>
      <c r="C554" s="6" t="n"/>
      <c r="D554" s="6" t="n"/>
      <c r="E554" s="6" t="n"/>
      <c r="F554" s="14" t="n"/>
      <c r="G554" s="6" t="n"/>
      <c r="H554" s="6" t="n"/>
    </row>
    <row r="555">
      <c r="A555" s="2" t="n"/>
      <c r="B555" s="2" t="n"/>
      <c r="C555" s="2" t="n"/>
      <c r="D555" s="2" t="n"/>
      <c r="E555" s="2" t="n"/>
      <c r="F555" s="12" t="n"/>
      <c r="G555" s="2" t="n"/>
      <c r="H555" s="2" t="n"/>
    </row>
    <row r="556">
      <c r="A556" s="6" t="n"/>
      <c r="B556" s="6" t="n"/>
      <c r="C556" s="6" t="n"/>
      <c r="D556" s="6" t="n"/>
      <c r="E556" s="6" t="n"/>
      <c r="F556" s="14" t="n"/>
      <c r="G556" s="6" t="n"/>
      <c r="H556" s="6" t="n"/>
    </row>
    <row r="557">
      <c r="A557" s="2" t="n"/>
      <c r="B557" s="2" t="n"/>
      <c r="C557" s="2" t="n"/>
      <c r="D557" s="2" t="n"/>
      <c r="E557" s="2" t="n"/>
      <c r="F557" s="12" t="n"/>
      <c r="G557" s="2" t="n"/>
      <c r="H557" s="2" t="n"/>
    </row>
    <row r="558">
      <c r="A558" s="6" t="n"/>
      <c r="B558" s="6" t="n"/>
      <c r="C558" s="6" t="n"/>
      <c r="D558" s="6" t="n"/>
      <c r="E558" s="6" t="n"/>
      <c r="F558" s="14" t="n"/>
      <c r="G558" s="6" t="n"/>
      <c r="H558" s="6" t="n"/>
    </row>
    <row r="559">
      <c r="A559" s="2" t="n"/>
      <c r="B559" s="2" t="n"/>
      <c r="C559" s="2" t="n"/>
      <c r="D559" s="2" t="n"/>
      <c r="E559" s="2" t="n"/>
      <c r="F559" s="12" t="n"/>
      <c r="G559" s="2" t="n"/>
      <c r="H559" s="2" t="n"/>
    </row>
    <row r="560">
      <c r="A560" s="6" t="n"/>
      <c r="B560" s="6" t="n"/>
      <c r="C560" s="6" t="n"/>
      <c r="D560" s="6" t="n"/>
      <c r="E560" s="6" t="n"/>
      <c r="F560" s="14" t="n"/>
      <c r="G560" s="6" t="n"/>
      <c r="H560" s="6" t="n"/>
    </row>
    <row r="561">
      <c r="A561" s="2" t="n"/>
      <c r="B561" s="2" t="n"/>
      <c r="C561" s="2" t="n"/>
      <c r="D561" s="2" t="n"/>
      <c r="E561" s="2" t="n"/>
      <c r="F561" s="12" t="n"/>
      <c r="G561" s="2" t="n"/>
      <c r="H561" s="2" t="n"/>
    </row>
    <row r="562">
      <c r="A562" s="6" t="n"/>
      <c r="B562" s="6" t="n"/>
      <c r="C562" s="6" t="n"/>
      <c r="D562" s="6" t="n"/>
      <c r="E562" s="6" t="n"/>
      <c r="F562" s="14" t="n"/>
      <c r="G562" s="6" t="n"/>
      <c r="H562" s="6" t="n"/>
    </row>
    <row r="563">
      <c r="A563" s="2" t="n"/>
      <c r="B563" s="2" t="n"/>
      <c r="C563" s="2" t="n"/>
      <c r="D563" s="2" t="n"/>
      <c r="E563" s="2" t="n"/>
      <c r="F563" s="12" t="n"/>
      <c r="G563" s="2" t="n"/>
      <c r="H563" s="2" t="n"/>
    </row>
    <row r="564">
      <c r="A564" s="6" t="n"/>
      <c r="B564" s="6" t="n"/>
      <c r="C564" s="6" t="n"/>
      <c r="D564" s="6" t="n"/>
      <c r="E564" s="6" t="n"/>
      <c r="F564" s="14" t="n"/>
      <c r="G564" s="6" t="n"/>
      <c r="H564" s="6" t="n"/>
    </row>
    <row r="565">
      <c r="A565" s="2" t="n"/>
      <c r="B565" s="2" t="n"/>
      <c r="C565" s="2" t="n"/>
      <c r="D565" s="2" t="n"/>
      <c r="E565" s="2" t="n"/>
      <c r="F565" s="12" t="n"/>
      <c r="G565" s="2" t="n"/>
      <c r="H565" s="2" t="n"/>
    </row>
    <row r="566">
      <c r="A566" s="6" t="n"/>
      <c r="B566" s="6" t="n"/>
      <c r="C566" s="6" t="n"/>
      <c r="D566" s="6" t="n"/>
      <c r="E566" s="6" t="n"/>
      <c r="F566" s="14" t="n"/>
      <c r="G566" s="6" t="n"/>
      <c r="H566" s="6" t="n"/>
    </row>
    <row r="567">
      <c r="A567" s="2" t="n"/>
      <c r="B567" s="2" t="n"/>
      <c r="C567" s="2" t="n"/>
      <c r="D567" s="2" t="n"/>
      <c r="E567" s="2" t="n"/>
      <c r="F567" s="12" t="n"/>
      <c r="G567" s="2" t="n"/>
      <c r="H567" s="2" t="n"/>
    </row>
    <row r="568">
      <c r="A568" s="6" t="n"/>
      <c r="B568" s="6" t="n"/>
      <c r="C568" s="6" t="n"/>
      <c r="D568" s="6" t="n"/>
      <c r="E568" s="6" t="n"/>
      <c r="F568" s="14" t="n"/>
      <c r="G568" s="6" t="n"/>
      <c r="H568" s="6" t="n"/>
    </row>
    <row r="569">
      <c r="A569" s="2" t="n"/>
      <c r="B569" s="2" t="n"/>
      <c r="C569" s="2" t="n"/>
      <c r="D569" s="2" t="n"/>
      <c r="E569" s="2" t="n"/>
      <c r="F569" s="12" t="n"/>
      <c r="G569" s="2" t="n"/>
      <c r="H569" s="2" t="n"/>
    </row>
    <row r="570">
      <c r="A570" s="6" t="n"/>
      <c r="B570" s="6" t="n"/>
      <c r="C570" s="6" t="n"/>
      <c r="D570" s="6" t="n"/>
      <c r="E570" s="6" t="n"/>
      <c r="F570" s="14" t="n"/>
      <c r="G570" s="6" t="n"/>
      <c r="H570" s="6" t="n"/>
    </row>
    <row r="571">
      <c r="A571" s="2" t="n"/>
      <c r="B571" s="2" t="n"/>
      <c r="C571" s="2" t="n"/>
      <c r="D571" s="2" t="n"/>
      <c r="E571" s="2" t="n"/>
      <c r="F571" s="12" t="n"/>
      <c r="G571" s="2" t="n"/>
      <c r="H571" s="2" t="n"/>
    </row>
    <row r="572">
      <c r="A572" s="6" t="n"/>
      <c r="B572" s="6" t="n"/>
      <c r="C572" s="6" t="n"/>
      <c r="D572" s="6" t="n"/>
      <c r="E572" s="6" t="n"/>
      <c r="F572" s="14" t="n"/>
      <c r="G572" s="6" t="n"/>
      <c r="H572" s="6" t="n"/>
    </row>
    <row r="573">
      <c r="A573" s="2" t="n"/>
      <c r="B573" s="2" t="n"/>
      <c r="C573" s="2" t="n"/>
      <c r="D573" s="2" t="n"/>
      <c r="E573" s="2" t="n"/>
      <c r="F573" s="12" t="n"/>
      <c r="G573" s="2" t="n"/>
      <c r="H573" s="2" t="n"/>
    </row>
    <row r="574">
      <c r="A574" s="6" t="n"/>
      <c r="B574" s="6" t="n"/>
      <c r="C574" s="6" t="n"/>
      <c r="D574" s="6" t="n"/>
      <c r="E574" s="6" t="n"/>
      <c r="F574" s="14" t="n"/>
      <c r="G574" s="6" t="n"/>
      <c r="H574" s="6" t="n"/>
    </row>
    <row r="575">
      <c r="A575" s="2" t="n"/>
      <c r="B575" s="2" t="n"/>
      <c r="C575" s="2" t="n"/>
      <c r="D575" s="2" t="n"/>
      <c r="E575" s="2" t="n"/>
      <c r="F575" s="12" t="n"/>
      <c r="G575" s="2" t="n"/>
      <c r="H575" s="2" t="n"/>
    </row>
    <row r="576">
      <c r="A576" s="6" t="n"/>
      <c r="B576" s="6" t="n"/>
      <c r="C576" s="6" t="n"/>
      <c r="D576" s="6" t="n"/>
      <c r="E576" s="6" t="n"/>
      <c r="F576" s="14" t="n"/>
      <c r="G576" s="6" t="n"/>
      <c r="H576" s="6" t="n"/>
    </row>
    <row r="577">
      <c r="A577" s="2" t="n"/>
      <c r="B577" s="2" t="n"/>
      <c r="C577" s="2" t="n"/>
      <c r="D577" s="2" t="n"/>
      <c r="E577" s="2" t="n"/>
      <c r="F577" s="12" t="n"/>
      <c r="G577" s="2" t="n"/>
      <c r="H577" s="2" t="n"/>
    </row>
    <row r="578">
      <c r="A578" s="6" t="n"/>
      <c r="B578" s="6" t="n"/>
      <c r="C578" s="6" t="n"/>
      <c r="D578" s="6" t="n"/>
      <c r="E578" s="6" t="n"/>
      <c r="F578" s="14" t="n"/>
      <c r="G578" s="6" t="n"/>
      <c r="H578" s="6" t="n"/>
    </row>
    <row r="579">
      <c r="A579" s="2" t="n"/>
      <c r="B579" s="2" t="n"/>
      <c r="C579" s="2" t="n"/>
      <c r="D579" s="2" t="n"/>
      <c r="E579" s="2" t="n"/>
      <c r="F579" s="12" t="n"/>
      <c r="G579" s="2" t="n"/>
      <c r="H579" s="2" t="n"/>
    </row>
    <row r="580">
      <c r="A580" s="6" t="n"/>
      <c r="B580" s="6" t="n"/>
      <c r="C580" s="6" t="n"/>
      <c r="D580" s="6" t="n"/>
      <c r="E580" s="6" t="n"/>
      <c r="F580" s="14" t="n"/>
      <c r="G580" s="6" t="n"/>
      <c r="H580" s="6" t="n"/>
    </row>
    <row r="581">
      <c r="A581" s="2" t="n"/>
      <c r="B581" s="2" t="n"/>
      <c r="C581" s="2" t="n"/>
      <c r="D581" s="2" t="n"/>
      <c r="E581" s="2" t="n"/>
      <c r="F581" s="12" t="n"/>
      <c r="G581" s="2" t="n"/>
      <c r="H581" s="2" t="n"/>
    </row>
    <row r="582">
      <c r="A582" s="6" t="n"/>
      <c r="B582" s="6" t="n"/>
      <c r="C582" s="6" t="n"/>
      <c r="D582" s="6" t="n"/>
      <c r="E582" s="6" t="n"/>
      <c r="F582" s="14" t="n"/>
      <c r="G582" s="6" t="n"/>
      <c r="H582" s="6" t="n"/>
    </row>
    <row r="583">
      <c r="A583" s="2" t="n"/>
      <c r="B583" s="2" t="n"/>
      <c r="C583" s="2" t="n"/>
      <c r="D583" s="2" t="n"/>
      <c r="E583" s="2" t="n"/>
      <c r="F583" s="12" t="n"/>
      <c r="G583" s="2" t="n"/>
      <c r="H583" s="2" t="n"/>
    </row>
    <row r="584">
      <c r="A584" s="6" t="n"/>
      <c r="B584" s="6" t="n"/>
      <c r="C584" s="6" t="n"/>
      <c r="D584" s="6" t="n"/>
      <c r="E584" s="6" t="n"/>
      <c r="F584" s="14" t="n"/>
      <c r="G584" s="6" t="n"/>
      <c r="H584" s="6" t="n"/>
    </row>
    <row r="585">
      <c r="A585" s="2" t="n"/>
      <c r="B585" s="2" t="n"/>
      <c r="C585" s="2" t="n"/>
      <c r="D585" s="2" t="n"/>
      <c r="E585" s="2" t="n"/>
      <c r="F585" s="12" t="n"/>
      <c r="G585" s="2" t="n"/>
      <c r="H585" s="2" t="n"/>
    </row>
    <row r="586">
      <c r="A586" s="6" t="n"/>
      <c r="B586" s="6" t="n"/>
      <c r="C586" s="6" t="n"/>
      <c r="D586" s="6" t="n"/>
      <c r="E586" s="6" t="n"/>
      <c r="F586" s="14" t="n"/>
      <c r="G586" s="6" t="n"/>
      <c r="H586" s="6" t="n"/>
    </row>
    <row r="587">
      <c r="A587" s="2" t="n"/>
      <c r="B587" s="2" t="n"/>
      <c r="C587" s="2" t="n"/>
      <c r="D587" s="2" t="n"/>
      <c r="E587" s="2" t="n"/>
      <c r="F587" s="12" t="n"/>
      <c r="G587" s="2" t="n"/>
      <c r="H587" s="2" t="n"/>
    </row>
    <row r="588">
      <c r="A588" s="6" t="n"/>
      <c r="B588" s="6" t="n"/>
      <c r="C588" s="6" t="n"/>
      <c r="D588" s="6" t="n"/>
      <c r="E588" s="6" t="n"/>
      <c r="F588" s="14" t="n"/>
      <c r="G588" s="6" t="n"/>
      <c r="H588" s="6" t="n"/>
    </row>
    <row r="589">
      <c r="A589" s="2" t="n"/>
      <c r="B589" s="2" t="n"/>
      <c r="C589" s="2" t="n"/>
      <c r="D589" s="2" t="n"/>
      <c r="E589" s="2" t="n"/>
      <c r="F589" s="12" t="n"/>
      <c r="G589" s="2" t="n"/>
      <c r="H589" s="2" t="n"/>
    </row>
    <row r="590">
      <c r="A590" s="6" t="n"/>
      <c r="B590" s="6" t="n"/>
      <c r="C590" s="6" t="n"/>
      <c r="D590" s="6" t="n"/>
      <c r="E590" s="6" t="n"/>
      <c r="F590" s="14" t="n"/>
      <c r="G590" s="6" t="n"/>
      <c r="H590" s="6" t="n"/>
    </row>
    <row r="591">
      <c r="A591" s="2" t="n"/>
      <c r="B591" s="2" t="n"/>
      <c r="C591" s="2" t="n"/>
      <c r="D591" s="2" t="n"/>
      <c r="E591" s="2" t="n"/>
      <c r="F591" s="12" t="n"/>
      <c r="G591" s="2" t="n"/>
      <c r="H591" s="2" t="n"/>
    </row>
    <row r="592">
      <c r="A592" s="6" t="n"/>
      <c r="B592" s="6" t="n"/>
      <c r="C592" s="6" t="n"/>
      <c r="D592" s="6" t="n"/>
      <c r="E592" s="6" t="n"/>
      <c r="F592" s="14" t="n"/>
      <c r="G592" s="6" t="n"/>
      <c r="H592" s="6" t="n"/>
    </row>
    <row r="593">
      <c r="A593" s="2" t="n"/>
      <c r="B593" s="2" t="n"/>
      <c r="C593" s="2" t="n"/>
      <c r="D593" s="2" t="n"/>
      <c r="E593" s="2" t="n"/>
      <c r="F593" s="12" t="n"/>
      <c r="G593" s="2" t="n"/>
      <c r="H593" s="2" t="n"/>
    </row>
    <row r="594">
      <c r="A594" s="6" t="n"/>
      <c r="B594" s="6" t="n"/>
      <c r="C594" s="6" t="n"/>
      <c r="D594" s="6" t="n"/>
      <c r="E594" s="6" t="n"/>
      <c r="F594" s="14" t="n"/>
      <c r="G594" s="6" t="n"/>
      <c r="H594" s="6" t="n"/>
    </row>
    <row r="595">
      <c r="A595" s="2" t="n"/>
      <c r="B595" s="2" t="n"/>
      <c r="C595" s="2" t="n"/>
      <c r="D595" s="2" t="n"/>
      <c r="E595" s="2" t="n"/>
      <c r="F595" s="12" t="n"/>
      <c r="G595" s="2" t="n"/>
      <c r="H595" s="2" t="n"/>
    </row>
    <row r="596">
      <c r="A596" s="6" t="n"/>
      <c r="B596" s="6" t="n"/>
      <c r="C596" s="6" t="n"/>
      <c r="D596" s="6" t="n"/>
      <c r="E596" s="6" t="n"/>
      <c r="F596" s="14" t="n"/>
      <c r="G596" s="6" t="n"/>
      <c r="H596" s="6" t="n"/>
    </row>
    <row r="597">
      <c r="A597" s="2" t="n"/>
      <c r="B597" s="2" t="n"/>
      <c r="C597" s="2" t="n"/>
      <c r="D597" s="2" t="n"/>
      <c r="E597" s="2" t="n"/>
      <c r="F597" s="12" t="n"/>
      <c r="G597" s="2" t="n"/>
      <c r="H597" s="2" t="n"/>
    </row>
    <row r="598">
      <c r="A598" s="6" t="n"/>
      <c r="B598" s="6" t="n"/>
      <c r="C598" s="6" t="n"/>
      <c r="D598" s="6" t="n"/>
      <c r="E598" s="6" t="n"/>
      <c r="F598" s="14" t="n"/>
      <c r="G598" s="6" t="n"/>
      <c r="H598" s="6" t="n"/>
    </row>
    <row r="599">
      <c r="A599" s="2" t="n"/>
      <c r="B599" s="2" t="n"/>
      <c r="C599" s="2" t="n"/>
      <c r="D599" s="2" t="n"/>
      <c r="E599" s="2" t="n"/>
      <c r="F599" s="12" t="n"/>
      <c r="G599" s="2" t="n"/>
      <c r="H599" s="2" t="n"/>
    </row>
    <row r="600">
      <c r="A600" s="6" t="n"/>
      <c r="B600" s="6" t="n"/>
      <c r="C600" s="6" t="n"/>
      <c r="D600" s="6" t="n"/>
      <c r="E600" s="6" t="n"/>
      <c r="F600" s="14" t="n"/>
      <c r="G600" s="6" t="n"/>
      <c r="H600" s="6" t="n"/>
    </row>
    <row r="601">
      <c r="A601" s="2" t="n"/>
      <c r="B601" s="2" t="n"/>
      <c r="C601" s="2" t="n"/>
      <c r="D601" s="2" t="n"/>
      <c r="E601" s="2" t="n"/>
      <c r="F601" s="12" t="n"/>
      <c r="G601" s="2" t="n"/>
      <c r="H601" s="2" t="n"/>
    </row>
    <row r="602">
      <c r="A602" s="6" t="n"/>
      <c r="B602" s="6" t="n"/>
      <c r="C602" s="6" t="n"/>
      <c r="D602" s="6" t="n"/>
      <c r="E602" s="6" t="n"/>
      <c r="F602" s="14" t="n"/>
      <c r="G602" s="6" t="n"/>
      <c r="H602" s="6" t="n"/>
    </row>
    <row r="603">
      <c r="A603" s="2" t="n"/>
      <c r="B603" s="2" t="n"/>
      <c r="C603" s="2" t="n"/>
      <c r="D603" s="2" t="n"/>
      <c r="E603" s="2" t="n"/>
      <c r="F603" s="12" t="n"/>
      <c r="G603" s="2" t="n"/>
      <c r="H603" s="2" t="n"/>
    </row>
    <row r="604">
      <c r="A604" s="6" t="n"/>
      <c r="B604" s="6" t="n"/>
      <c r="C604" s="6" t="n"/>
      <c r="D604" s="6" t="n"/>
      <c r="E604" s="6" t="n"/>
      <c r="F604" s="14" t="n"/>
      <c r="G604" s="6" t="n"/>
      <c r="H604" s="6" t="n"/>
    </row>
    <row r="605">
      <c r="A605" s="2" t="n"/>
      <c r="B605" s="2" t="n"/>
      <c r="C605" s="2" t="n"/>
      <c r="D605" s="2" t="n"/>
      <c r="E605" s="2" t="n"/>
      <c r="F605" s="12" t="n"/>
      <c r="G605" s="2" t="n"/>
      <c r="H605" s="2" t="n"/>
    </row>
    <row r="606">
      <c r="A606" s="6" t="n"/>
      <c r="B606" s="6" t="n"/>
      <c r="C606" s="6" t="n"/>
      <c r="D606" s="6" t="n"/>
      <c r="E606" s="6" t="n"/>
      <c r="F606" s="14" t="n"/>
      <c r="G606" s="6" t="n"/>
      <c r="H606" s="6" t="n"/>
    </row>
    <row r="607">
      <c r="A607" s="2" t="n"/>
      <c r="B607" s="2" t="n"/>
      <c r="C607" s="2" t="n"/>
      <c r="D607" s="2" t="n"/>
      <c r="E607" s="2" t="n"/>
      <c r="F607" s="12" t="n"/>
      <c r="G607" s="2" t="n"/>
      <c r="H607" s="2" t="n"/>
    </row>
    <row r="608">
      <c r="A608" s="6" t="n"/>
      <c r="B608" s="6" t="n"/>
      <c r="C608" s="6" t="n"/>
      <c r="D608" s="6" t="n"/>
      <c r="E608" s="6" t="n"/>
      <c r="F608" s="14" t="n"/>
      <c r="G608" s="6" t="n"/>
      <c r="H608" s="6" t="n"/>
    </row>
    <row r="609">
      <c r="A609" s="2" t="n"/>
      <c r="B609" s="2" t="n"/>
      <c r="C609" s="2" t="n"/>
      <c r="D609" s="2" t="n"/>
      <c r="E609" s="2" t="n"/>
      <c r="F609" s="12" t="n"/>
      <c r="G609" s="2" t="n"/>
      <c r="H609" s="2" t="n"/>
    </row>
    <row r="610">
      <c r="A610" s="6" t="n"/>
      <c r="B610" s="6" t="n"/>
      <c r="C610" s="6" t="n"/>
      <c r="D610" s="6" t="n"/>
      <c r="E610" s="6" t="n"/>
      <c r="F610" s="14" t="n"/>
      <c r="G610" s="6" t="n"/>
      <c r="H610" s="6" t="n"/>
    </row>
    <row r="611">
      <c r="A611" s="2" t="n"/>
      <c r="B611" s="2" t="n"/>
      <c r="C611" s="2" t="n"/>
      <c r="D611" s="2" t="n"/>
      <c r="E611" s="2" t="n"/>
      <c r="F611" s="12" t="n"/>
      <c r="G611" s="2" t="n"/>
      <c r="H611" s="2" t="n"/>
    </row>
    <row r="612">
      <c r="A612" s="6" t="n"/>
      <c r="B612" s="6" t="n"/>
      <c r="C612" s="6" t="n"/>
      <c r="D612" s="6" t="n"/>
      <c r="E612" s="6" t="n"/>
      <c r="F612" s="14" t="n"/>
      <c r="G612" s="6" t="n"/>
      <c r="H612" s="6" t="n"/>
    </row>
    <row r="613">
      <c r="A613" s="2" t="n"/>
      <c r="B613" s="2" t="n"/>
      <c r="C613" s="2" t="n"/>
      <c r="D613" s="2" t="n"/>
      <c r="E613" s="2" t="n"/>
      <c r="F613" s="12" t="n"/>
      <c r="G613" s="2" t="n"/>
      <c r="H613" s="2" t="n"/>
    </row>
    <row r="614">
      <c r="A614" s="6" t="n"/>
      <c r="B614" s="6" t="n"/>
      <c r="C614" s="6" t="n"/>
      <c r="D614" s="6" t="n"/>
      <c r="E614" s="6" t="n"/>
      <c r="F614" s="14" t="n"/>
      <c r="G614" s="6" t="n"/>
      <c r="H614" s="6" t="n"/>
    </row>
    <row r="615">
      <c r="A615" s="2" t="n"/>
      <c r="B615" s="2" t="n"/>
      <c r="C615" s="2" t="n"/>
      <c r="D615" s="2" t="n"/>
      <c r="E615" s="2" t="n"/>
      <c r="F615" s="12" t="n"/>
      <c r="G615" s="2" t="n"/>
      <c r="H615" s="2" t="n"/>
    </row>
    <row r="616">
      <c r="A616" s="6" t="n"/>
      <c r="B616" s="6" t="n"/>
      <c r="C616" s="6" t="n"/>
      <c r="D616" s="6" t="n"/>
      <c r="E616" s="6" t="n"/>
      <c r="F616" s="14" t="n"/>
      <c r="G616" s="6" t="n"/>
      <c r="H616" s="6" t="n"/>
    </row>
    <row r="617">
      <c r="A617" s="2" t="n"/>
      <c r="B617" s="2" t="n"/>
      <c r="C617" s="2" t="n"/>
      <c r="D617" s="2" t="n"/>
      <c r="E617" s="2" t="n"/>
      <c r="F617" s="12" t="n"/>
      <c r="G617" s="2" t="n"/>
      <c r="H617" s="2" t="n"/>
    </row>
    <row r="618">
      <c r="A618" s="6" t="n"/>
      <c r="B618" s="6" t="n"/>
      <c r="C618" s="6" t="n"/>
      <c r="D618" s="6" t="n"/>
      <c r="E618" s="6" t="n"/>
      <c r="F618" s="14" t="n"/>
      <c r="G618" s="6" t="n"/>
      <c r="H618" s="6" t="n"/>
    </row>
    <row r="619">
      <c r="A619" s="2" t="n"/>
      <c r="B619" s="2" t="n"/>
      <c r="C619" s="2" t="n"/>
      <c r="D619" s="2" t="n"/>
      <c r="E619" s="2" t="n"/>
      <c r="F619" s="12" t="n"/>
      <c r="G619" s="2" t="n"/>
      <c r="H619" s="2" t="n"/>
    </row>
    <row r="620">
      <c r="A620" s="6" t="n"/>
      <c r="B620" s="6" t="n"/>
      <c r="C620" s="6" t="n"/>
      <c r="D620" s="6" t="n"/>
      <c r="E620" s="6" t="n"/>
      <c r="F620" s="14" t="n"/>
      <c r="G620" s="6" t="n"/>
      <c r="H620" s="6" t="n"/>
    </row>
    <row r="621">
      <c r="A621" s="2" t="n"/>
      <c r="B621" s="2" t="n"/>
      <c r="C621" s="2" t="n"/>
      <c r="D621" s="2" t="n"/>
      <c r="E621" s="2" t="n"/>
      <c r="F621" s="12" t="n"/>
      <c r="G621" s="2" t="n"/>
      <c r="H621" s="2" t="n"/>
    </row>
    <row r="622">
      <c r="A622" s="6" t="n"/>
      <c r="B622" s="6" t="n"/>
      <c r="C622" s="6" t="n"/>
      <c r="D622" s="6" t="n"/>
      <c r="E622" s="6" t="n"/>
      <c r="F622" s="14" t="n"/>
      <c r="G622" s="6" t="n"/>
      <c r="H622" s="6" t="n"/>
    </row>
    <row r="623">
      <c r="A623" s="2" t="n"/>
      <c r="B623" s="2" t="n"/>
      <c r="C623" s="2" t="n"/>
      <c r="D623" s="2" t="n"/>
      <c r="E623" s="2" t="n"/>
      <c r="F623" s="12" t="n"/>
      <c r="G623" s="2" t="n"/>
      <c r="H623" s="2" t="n"/>
    </row>
    <row r="624">
      <c r="A624" s="6" t="n"/>
      <c r="B624" s="6" t="n"/>
      <c r="C624" s="6" t="n"/>
      <c r="D624" s="6" t="n"/>
      <c r="E624" s="6" t="n"/>
      <c r="F624" s="14" t="n"/>
      <c r="G624" s="6" t="n"/>
      <c r="H624" s="6" t="n"/>
    </row>
    <row r="625">
      <c r="A625" s="2" t="n"/>
      <c r="B625" s="2" t="n"/>
      <c r="C625" s="2" t="n"/>
      <c r="D625" s="2" t="n"/>
      <c r="E625" s="2" t="n"/>
      <c r="F625" s="12" t="n"/>
      <c r="G625" s="2" t="n"/>
      <c r="H625" s="2" t="n"/>
    </row>
    <row r="626">
      <c r="A626" s="6" t="n"/>
      <c r="B626" s="6" t="n"/>
      <c r="C626" s="6" t="n"/>
      <c r="D626" s="6" t="n"/>
      <c r="E626" s="6" t="n"/>
      <c r="F626" s="14" t="n"/>
      <c r="G626" s="6" t="n"/>
      <c r="H626" s="6" t="n"/>
    </row>
    <row r="627">
      <c r="A627" s="2" t="n"/>
      <c r="B627" s="2" t="n"/>
      <c r="C627" s="2" t="n"/>
      <c r="D627" s="2" t="n"/>
      <c r="E627" s="2" t="n"/>
      <c r="F627" s="12" t="n"/>
      <c r="G627" s="2" t="n"/>
      <c r="H627" s="2" t="n"/>
    </row>
    <row r="628">
      <c r="A628" s="6" t="n"/>
      <c r="B628" s="6" t="n"/>
      <c r="C628" s="6" t="n"/>
      <c r="D628" s="6" t="n"/>
      <c r="E628" s="6" t="n"/>
      <c r="F628" s="14" t="n"/>
      <c r="G628" s="6" t="n"/>
      <c r="H628" s="6" t="n"/>
    </row>
    <row r="629">
      <c r="A629" s="2" t="n"/>
      <c r="B629" s="2" t="n"/>
      <c r="C629" s="2" t="n"/>
      <c r="D629" s="2" t="n"/>
      <c r="E629" s="2" t="n"/>
      <c r="F629" s="12" t="n"/>
      <c r="G629" s="2" t="n"/>
      <c r="H629" s="2" t="n"/>
    </row>
    <row r="630">
      <c r="A630" s="6" t="n"/>
      <c r="B630" s="6" t="n"/>
      <c r="C630" s="6" t="n"/>
      <c r="D630" s="6" t="n"/>
      <c r="E630" s="6" t="n"/>
      <c r="F630" s="14" t="n"/>
      <c r="G630" s="6" t="n"/>
      <c r="H630" s="6" t="n"/>
    </row>
    <row r="631">
      <c r="A631" s="2" t="n"/>
      <c r="B631" s="2" t="n"/>
      <c r="C631" s="2" t="n"/>
      <c r="D631" s="2" t="n"/>
      <c r="E631" s="2" t="n"/>
      <c r="F631" s="12" t="n"/>
      <c r="G631" s="2" t="n"/>
      <c r="H631" s="2" t="n"/>
    </row>
    <row r="632">
      <c r="A632" s="6" t="n"/>
      <c r="B632" s="6" t="n"/>
      <c r="C632" s="6" t="n"/>
      <c r="D632" s="6" t="n"/>
      <c r="E632" s="6" t="n"/>
      <c r="F632" s="14" t="n"/>
      <c r="G632" s="6" t="n"/>
      <c r="H632" s="6" t="n"/>
    </row>
    <row r="633">
      <c r="A633" s="2" t="n"/>
      <c r="B633" s="2" t="n"/>
      <c r="C633" s="2" t="n"/>
      <c r="D633" s="2" t="n"/>
      <c r="E633" s="2" t="n"/>
      <c r="F633" s="12" t="n"/>
      <c r="G633" s="2" t="n"/>
      <c r="H633" s="2" t="n"/>
    </row>
    <row r="634">
      <c r="A634" s="6" t="n"/>
      <c r="B634" s="6" t="n"/>
      <c r="C634" s="6" t="n"/>
      <c r="D634" s="6" t="n"/>
      <c r="E634" s="6" t="n"/>
      <c r="F634" s="14" t="n"/>
      <c r="G634" s="6" t="n"/>
      <c r="H634" s="6" t="n"/>
    </row>
    <row r="635">
      <c r="A635" s="2" t="n"/>
      <c r="B635" s="2" t="n"/>
      <c r="C635" s="2" t="n"/>
      <c r="D635" s="2" t="n"/>
      <c r="E635" s="2" t="n"/>
      <c r="F635" s="12" t="n"/>
      <c r="G635" s="2" t="n"/>
      <c r="H635" s="2" t="n"/>
    </row>
    <row r="636">
      <c r="A636" s="6" t="n"/>
      <c r="B636" s="6" t="n"/>
      <c r="C636" s="6" t="n"/>
      <c r="D636" s="6" t="n"/>
      <c r="E636" s="6" t="n"/>
      <c r="F636" s="14" t="n"/>
      <c r="G636" s="6" t="n"/>
      <c r="H636" s="6" t="n"/>
    </row>
    <row r="637">
      <c r="A637" s="2" t="n"/>
      <c r="B637" s="2" t="n"/>
      <c r="C637" s="2" t="n"/>
      <c r="D637" s="2" t="n"/>
      <c r="E637" s="2" t="n"/>
      <c r="F637" s="12" t="n"/>
      <c r="G637" s="2" t="n"/>
      <c r="H637" s="2" t="n"/>
    </row>
    <row r="638">
      <c r="A638" s="6" t="n"/>
      <c r="B638" s="6" t="n"/>
      <c r="C638" s="6" t="n"/>
      <c r="D638" s="6" t="n"/>
      <c r="E638" s="6" t="n"/>
      <c r="F638" s="14" t="n"/>
      <c r="G638" s="6" t="n"/>
      <c r="H638" s="6" t="n"/>
    </row>
    <row r="639">
      <c r="A639" s="2" t="n"/>
      <c r="B639" s="2" t="n"/>
      <c r="C639" s="2" t="n"/>
      <c r="D639" s="2" t="n"/>
      <c r="E639" s="2" t="n"/>
      <c r="F639" s="12" t="n"/>
      <c r="G639" s="2" t="n"/>
      <c r="H639" s="2" t="n"/>
    </row>
    <row r="640">
      <c r="A640" s="6" t="n"/>
      <c r="B640" s="6" t="n"/>
      <c r="C640" s="6" t="n"/>
      <c r="D640" s="6" t="n"/>
      <c r="E640" s="6" t="n"/>
      <c r="F640" s="14" t="n"/>
      <c r="G640" s="6" t="n"/>
      <c r="H640" s="6" t="n"/>
    </row>
    <row r="641">
      <c r="A641" s="2" t="n"/>
      <c r="B641" s="2" t="n"/>
      <c r="C641" s="2" t="n"/>
      <c r="D641" s="2" t="n"/>
      <c r="E641" s="2" t="n"/>
      <c r="F641" s="12" t="n"/>
      <c r="G641" s="2" t="n"/>
      <c r="H641" s="2" t="n"/>
    </row>
    <row r="642">
      <c r="A642" s="6" t="n"/>
      <c r="B642" s="6" t="n"/>
      <c r="C642" s="6" t="n"/>
      <c r="D642" s="6" t="n"/>
      <c r="E642" s="6" t="n"/>
      <c r="F642" s="14" t="n"/>
      <c r="G642" s="6" t="n"/>
      <c r="H642" s="6" t="n"/>
    </row>
    <row r="643">
      <c r="A643" s="2" t="n"/>
      <c r="B643" s="2" t="n"/>
      <c r="C643" s="2" t="n"/>
      <c r="D643" s="2" t="n"/>
      <c r="E643" s="2" t="n"/>
      <c r="F643" s="12" t="n"/>
      <c r="G643" s="2" t="n"/>
      <c r="H643" s="2" t="n"/>
    </row>
    <row r="644">
      <c r="A644" s="6" t="n"/>
      <c r="B644" s="6" t="n"/>
      <c r="C644" s="6" t="n"/>
      <c r="D644" s="6" t="n"/>
      <c r="E644" s="6" t="n"/>
      <c r="F644" s="14" t="n"/>
      <c r="G644" s="6" t="n"/>
      <c r="H644" s="6" t="n"/>
    </row>
    <row r="645">
      <c r="A645" s="2" t="n"/>
      <c r="B645" s="2" t="n"/>
      <c r="C645" s="2" t="n"/>
      <c r="D645" s="2" t="n"/>
      <c r="E645" s="2" t="n"/>
      <c r="F645" s="12" t="n"/>
      <c r="G645" s="2" t="n"/>
      <c r="H645" s="2" t="n"/>
    </row>
    <row r="646">
      <c r="A646" s="6" t="n"/>
      <c r="B646" s="6" t="n"/>
      <c r="C646" s="6" t="n"/>
      <c r="D646" s="6" t="n"/>
      <c r="E646" s="6" t="n"/>
      <c r="F646" s="14" t="n"/>
      <c r="G646" s="6" t="n"/>
      <c r="H646" s="6" t="n"/>
    </row>
    <row r="647">
      <c r="A647" s="2" t="n"/>
      <c r="B647" s="2" t="n"/>
      <c r="C647" s="2" t="n"/>
      <c r="D647" s="2" t="n"/>
      <c r="E647" s="2" t="n"/>
      <c r="F647" s="12" t="n"/>
      <c r="G647" s="2" t="n"/>
      <c r="H647" s="2" t="n"/>
    </row>
    <row r="648">
      <c r="A648" s="6" t="n"/>
      <c r="B648" s="6" t="n"/>
      <c r="C648" s="6" t="n"/>
      <c r="D648" s="6" t="n"/>
      <c r="E648" s="6" t="n"/>
      <c r="F648" s="14" t="n"/>
      <c r="G648" s="6" t="n"/>
      <c r="H648" s="6" t="n"/>
    </row>
    <row r="649">
      <c r="A649" s="2" t="n"/>
      <c r="B649" s="2" t="n"/>
      <c r="C649" s="2" t="n"/>
      <c r="D649" s="2" t="n"/>
      <c r="E649" s="2" t="n"/>
      <c r="F649" s="12" t="n"/>
      <c r="G649" s="2" t="n"/>
      <c r="H649" s="2" t="n"/>
    </row>
    <row r="650">
      <c r="A650" s="6" t="n"/>
      <c r="B650" s="6" t="n"/>
      <c r="C650" s="6" t="n"/>
      <c r="D650" s="6" t="n"/>
      <c r="E650" s="6" t="n"/>
      <c r="F650" s="14" t="n"/>
      <c r="G650" s="6" t="n"/>
      <c r="H650" s="6" t="n"/>
    </row>
    <row r="651">
      <c r="A651" s="2" t="n"/>
      <c r="B651" s="2" t="n"/>
      <c r="C651" s="2" t="n"/>
      <c r="D651" s="2" t="n"/>
      <c r="E651" s="2" t="n"/>
      <c r="F651" s="12" t="n"/>
      <c r="G651" s="2" t="n"/>
      <c r="H651" s="2" t="n"/>
    </row>
    <row r="652">
      <c r="A652" s="6" t="n"/>
      <c r="B652" s="6" t="n"/>
      <c r="C652" s="6" t="n"/>
      <c r="D652" s="6" t="n"/>
      <c r="E652" s="6" t="n"/>
      <c r="F652" s="14" t="n"/>
      <c r="G652" s="6" t="n"/>
      <c r="H652" s="6" t="n"/>
    </row>
    <row r="653">
      <c r="A653" s="2" t="n"/>
      <c r="B653" s="2" t="n"/>
      <c r="C653" s="2" t="n"/>
      <c r="D653" s="2" t="n"/>
      <c r="E653" s="2" t="n"/>
      <c r="F653" s="12" t="n"/>
      <c r="G653" s="2" t="n"/>
      <c r="H653" s="2" t="n"/>
    </row>
    <row r="654">
      <c r="A654" s="6" t="n"/>
      <c r="B654" s="6" t="n"/>
      <c r="C654" s="6" t="n"/>
      <c r="D654" s="6" t="n"/>
      <c r="E654" s="6" t="n"/>
      <c r="F654" s="14" t="n"/>
      <c r="G654" s="6" t="n"/>
      <c r="H654" s="6" t="n"/>
    </row>
    <row r="655">
      <c r="A655" s="2" t="n"/>
      <c r="B655" s="2" t="n"/>
      <c r="C655" s="2" t="n"/>
      <c r="D655" s="2" t="n"/>
      <c r="E655" s="2" t="n"/>
      <c r="F655" s="12" t="n"/>
      <c r="G655" s="2" t="n"/>
      <c r="H655" s="2" t="n"/>
    </row>
    <row r="656">
      <c r="A656" s="6" t="n"/>
      <c r="B656" s="6" t="n"/>
      <c r="C656" s="6" t="n"/>
      <c r="D656" s="6" t="n"/>
      <c r="E656" s="6" t="n"/>
      <c r="F656" s="14" t="n"/>
      <c r="G656" s="6" t="n"/>
      <c r="H656" s="6" t="n"/>
    </row>
    <row r="657">
      <c r="A657" s="2" t="n"/>
      <c r="B657" s="2" t="n"/>
      <c r="C657" s="2" t="n"/>
      <c r="D657" s="2" t="n"/>
      <c r="E657" s="2" t="n"/>
      <c r="F657" s="12" t="n"/>
      <c r="G657" s="2" t="n"/>
      <c r="H657" s="2" t="n"/>
    </row>
    <row r="658">
      <c r="A658" s="6" t="n"/>
      <c r="B658" s="6" t="n"/>
      <c r="C658" s="6" t="n"/>
      <c r="D658" s="6" t="n"/>
      <c r="E658" s="6" t="n"/>
      <c r="F658" s="14" t="n"/>
      <c r="G658" s="6" t="n"/>
      <c r="H658" s="6" t="n"/>
    </row>
    <row r="659">
      <c r="A659" s="2" t="n"/>
      <c r="B659" s="2" t="n"/>
      <c r="C659" s="2" t="n"/>
      <c r="D659" s="2" t="n"/>
      <c r="E659" s="2" t="n"/>
      <c r="F659" s="12" t="n"/>
      <c r="G659" s="2" t="n"/>
      <c r="H659" s="2" t="n"/>
    </row>
    <row r="660">
      <c r="A660" s="6" t="n"/>
      <c r="B660" s="6" t="n"/>
      <c r="C660" s="6" t="n"/>
      <c r="D660" s="6" t="n"/>
      <c r="E660" s="6" t="n"/>
      <c r="F660" s="14" t="n"/>
      <c r="G660" s="6" t="n"/>
      <c r="H660" s="6" t="n"/>
    </row>
    <row r="661">
      <c r="A661" s="2" t="n"/>
      <c r="B661" s="2" t="n"/>
      <c r="C661" s="2" t="n"/>
      <c r="D661" s="2" t="n"/>
      <c r="E661" s="2" t="n"/>
      <c r="F661" s="12" t="n"/>
      <c r="G661" s="2" t="n"/>
      <c r="H661" s="2" t="n"/>
    </row>
    <row r="662">
      <c r="A662" s="6" t="n"/>
      <c r="B662" s="6" t="n"/>
      <c r="C662" s="6" t="n"/>
      <c r="D662" s="6" t="n"/>
      <c r="E662" s="6" t="n"/>
      <c r="F662" s="14" t="n"/>
      <c r="G662" s="6" t="n"/>
      <c r="H662" s="6" t="n"/>
    </row>
    <row r="663">
      <c r="A663" s="2" t="n"/>
      <c r="B663" s="2" t="n"/>
      <c r="C663" s="2" t="n"/>
      <c r="D663" s="2" t="n"/>
      <c r="E663" s="2" t="n"/>
      <c r="F663" s="12" t="n"/>
      <c r="G663" s="2" t="n"/>
      <c r="H663" s="2" t="n"/>
    </row>
    <row r="664">
      <c r="A664" s="6" t="n"/>
      <c r="B664" s="6" t="n"/>
      <c r="C664" s="6" t="n"/>
      <c r="D664" s="6" t="n"/>
      <c r="E664" s="6" t="n"/>
      <c r="F664" s="14" t="n"/>
      <c r="G664" s="6" t="n"/>
      <c r="H664" s="6" t="n"/>
    </row>
    <row r="665">
      <c r="A665" s="2" t="n"/>
      <c r="B665" s="2" t="n"/>
      <c r="C665" s="2" t="n"/>
      <c r="D665" s="2" t="n"/>
      <c r="E665" s="2" t="n"/>
      <c r="F665" s="12" t="n"/>
      <c r="G665" s="2" t="n"/>
      <c r="H665" s="2" t="n"/>
    </row>
    <row r="666">
      <c r="A666" s="6" t="n"/>
      <c r="B666" s="6" t="n"/>
      <c r="C666" s="6" t="n"/>
      <c r="D666" s="6" t="n"/>
      <c r="E666" s="6" t="n"/>
      <c r="F666" s="14" t="n"/>
      <c r="G666" s="6" t="n"/>
      <c r="H666" s="6" t="n"/>
    </row>
    <row r="667">
      <c r="A667" s="2" t="n"/>
      <c r="B667" s="2" t="n"/>
      <c r="C667" s="2" t="n"/>
      <c r="D667" s="2" t="n"/>
      <c r="E667" s="2" t="n"/>
      <c r="F667" s="12" t="n"/>
      <c r="G667" s="2" t="n"/>
      <c r="H667" s="2" t="n"/>
    </row>
    <row r="668">
      <c r="A668" s="6" t="n"/>
      <c r="B668" s="6" t="n"/>
      <c r="C668" s="6" t="n"/>
      <c r="D668" s="6" t="n"/>
      <c r="E668" s="6" t="n"/>
      <c r="F668" s="14" t="n"/>
      <c r="G668" s="6" t="n"/>
      <c r="H668" s="6" t="n"/>
    </row>
    <row r="669">
      <c r="A669" s="2" t="n"/>
      <c r="B669" s="2" t="n"/>
      <c r="C669" s="2" t="n"/>
      <c r="D669" s="2" t="n"/>
      <c r="E669" s="2" t="n"/>
      <c r="F669" s="12" t="n"/>
      <c r="G669" s="2" t="n"/>
      <c r="H669" s="2" t="n"/>
    </row>
    <row r="670">
      <c r="A670" s="6" t="n"/>
      <c r="B670" s="6" t="n"/>
      <c r="C670" s="6" t="n"/>
      <c r="D670" s="6" t="n"/>
      <c r="E670" s="6" t="n"/>
      <c r="F670" s="14" t="n"/>
      <c r="G670" s="6" t="n"/>
      <c r="H670" s="6" t="n"/>
    </row>
    <row r="671">
      <c r="A671" s="2" t="n"/>
      <c r="B671" s="2" t="n"/>
      <c r="C671" s="2" t="n"/>
      <c r="D671" s="2" t="n"/>
      <c r="E671" s="2" t="n"/>
      <c r="F671" s="12" t="n"/>
      <c r="G671" s="2" t="n"/>
      <c r="H671" s="2" t="n"/>
    </row>
    <row r="672">
      <c r="A672" s="6" t="n"/>
      <c r="B672" s="6" t="n"/>
      <c r="C672" s="6" t="n"/>
      <c r="D672" s="6" t="n"/>
      <c r="E672" s="6" t="n"/>
      <c r="F672" s="14" t="n"/>
      <c r="G672" s="6" t="n"/>
      <c r="H672" s="6" t="n"/>
    </row>
    <row r="673">
      <c r="A673" s="2" t="n"/>
      <c r="B673" s="2" t="n"/>
      <c r="C673" s="2" t="n"/>
      <c r="D673" s="2" t="n"/>
      <c r="E673" s="2" t="n"/>
      <c r="F673" s="12" t="n"/>
      <c r="G673" s="2" t="n"/>
      <c r="H673" s="2" t="n"/>
    </row>
    <row r="674">
      <c r="A674" s="6" t="n"/>
      <c r="B674" s="6" t="n"/>
      <c r="C674" s="6" t="n"/>
      <c r="D674" s="6" t="n"/>
      <c r="E674" s="6" t="n"/>
      <c r="F674" s="14" t="n"/>
      <c r="G674" s="6" t="n"/>
      <c r="H674" s="6" t="n"/>
    </row>
    <row r="675">
      <c r="A675" s="2" t="n"/>
      <c r="B675" s="2" t="n"/>
      <c r="C675" s="2" t="n"/>
      <c r="D675" s="2" t="n"/>
      <c r="E675" s="2" t="n"/>
      <c r="F675" s="12" t="n"/>
      <c r="G675" s="2" t="n"/>
      <c r="H675" s="2" t="n"/>
    </row>
    <row r="676">
      <c r="A676" s="6" t="n"/>
      <c r="B676" s="6" t="n"/>
      <c r="C676" s="6" t="n"/>
      <c r="D676" s="6" t="n"/>
      <c r="E676" s="6" t="n"/>
      <c r="F676" s="14" t="n"/>
      <c r="G676" s="6" t="n"/>
      <c r="H676" s="6" t="n"/>
    </row>
    <row r="677">
      <c r="A677" s="2" t="n"/>
      <c r="B677" s="2" t="n"/>
      <c r="C677" s="2" t="n"/>
      <c r="D677" s="2" t="n"/>
      <c r="E677" s="2" t="n"/>
      <c r="F677" s="12" t="n"/>
      <c r="G677" s="2" t="n"/>
      <c r="H677" s="2" t="n"/>
    </row>
    <row r="678">
      <c r="A678" s="6" t="n"/>
      <c r="B678" s="6" t="n"/>
      <c r="C678" s="6" t="n"/>
      <c r="D678" s="6" t="n"/>
      <c r="E678" s="6" t="n"/>
      <c r="F678" s="14" t="n"/>
      <c r="G678" s="6" t="n"/>
      <c r="H678" s="6" t="n"/>
    </row>
    <row r="679">
      <c r="A679" s="2" t="n"/>
      <c r="B679" s="2" t="n"/>
      <c r="C679" s="2" t="n"/>
      <c r="D679" s="2" t="n"/>
      <c r="E679" s="2" t="n"/>
      <c r="F679" s="12" t="n"/>
      <c r="G679" s="2" t="n"/>
      <c r="H679" s="2" t="n"/>
    </row>
    <row r="680">
      <c r="A680" s="6" t="n"/>
      <c r="B680" s="6" t="n"/>
      <c r="C680" s="6" t="n"/>
      <c r="D680" s="6" t="n"/>
      <c r="E680" s="6" t="n"/>
      <c r="F680" s="14" t="n"/>
      <c r="G680" s="6" t="n"/>
      <c r="H680" s="6" t="n"/>
    </row>
    <row r="681">
      <c r="A681" s="2" t="n"/>
      <c r="B681" s="2" t="n"/>
      <c r="C681" s="2" t="n"/>
      <c r="D681" s="2" t="n"/>
      <c r="E681" s="2" t="n"/>
      <c r="F681" s="12" t="n"/>
      <c r="G681" s="2" t="n"/>
      <c r="H681" s="2" t="n"/>
    </row>
    <row r="682">
      <c r="A682" s="6" t="n"/>
      <c r="B682" s="6" t="n"/>
      <c r="C682" s="6" t="n"/>
      <c r="D682" s="6" t="n"/>
      <c r="E682" s="6" t="n"/>
      <c r="F682" s="14" t="n"/>
      <c r="G682" s="6" t="n"/>
      <c r="H682" s="6" t="n"/>
    </row>
    <row r="683">
      <c r="A683" s="2" t="n"/>
      <c r="B683" s="2" t="n"/>
      <c r="C683" s="2" t="n"/>
      <c r="D683" s="2" t="n"/>
      <c r="E683" s="2" t="n"/>
      <c r="F683" s="12" t="n"/>
      <c r="G683" s="2" t="n"/>
      <c r="H683" s="2" t="n"/>
    </row>
    <row r="684">
      <c r="A684" s="6" t="n"/>
      <c r="B684" s="6" t="n"/>
      <c r="C684" s="6" t="n"/>
      <c r="D684" s="6" t="n"/>
      <c r="E684" s="6" t="n"/>
      <c r="F684" s="14" t="n"/>
      <c r="G684" s="6" t="n"/>
      <c r="H684" s="6" t="n"/>
    </row>
    <row r="685">
      <c r="A685" s="2" t="n"/>
      <c r="B685" s="2" t="n"/>
      <c r="C685" s="2" t="n"/>
      <c r="D685" s="2" t="n"/>
      <c r="E685" s="2" t="n"/>
      <c r="F685" s="12" t="n"/>
      <c r="G685" s="2" t="n"/>
      <c r="H685" s="2" t="n"/>
    </row>
    <row r="686">
      <c r="A686" s="6" t="n"/>
      <c r="B686" s="6" t="n"/>
      <c r="C686" s="6" t="n"/>
      <c r="D686" s="6" t="n"/>
      <c r="E686" s="6" t="n"/>
      <c r="F686" s="14" t="n"/>
      <c r="G686" s="6" t="n"/>
      <c r="H686" s="6" t="n"/>
    </row>
    <row r="687">
      <c r="A687" s="2" t="n"/>
      <c r="B687" s="2" t="n"/>
      <c r="C687" s="2" t="n"/>
      <c r="D687" s="2" t="n"/>
      <c r="E687" s="2" t="n"/>
      <c r="F687" s="12" t="n"/>
      <c r="G687" s="2" t="n"/>
      <c r="H687" s="2" t="n"/>
    </row>
    <row r="688">
      <c r="A688" s="6" t="n"/>
      <c r="B688" s="6" t="n"/>
      <c r="C688" s="6" t="n"/>
      <c r="D688" s="6" t="n"/>
      <c r="E688" s="6" t="n"/>
      <c r="F688" s="14" t="n"/>
      <c r="G688" s="6" t="n"/>
      <c r="H688" s="6" t="n"/>
    </row>
    <row r="689">
      <c r="A689" s="2" t="n"/>
      <c r="B689" s="2" t="n"/>
      <c r="C689" s="2" t="n"/>
      <c r="D689" s="2" t="n"/>
      <c r="E689" s="2" t="n"/>
      <c r="F689" s="12" t="n"/>
      <c r="G689" s="2" t="n"/>
      <c r="H689" s="2" t="n"/>
    </row>
    <row r="690">
      <c r="A690" s="6" t="n"/>
      <c r="B690" s="6" t="n"/>
      <c r="C690" s="6" t="n"/>
      <c r="D690" s="6" t="n"/>
      <c r="E690" s="6" t="n"/>
      <c r="F690" s="14" t="n"/>
      <c r="G690" s="6" t="n"/>
      <c r="H690" s="6" t="n"/>
    </row>
    <row r="691">
      <c r="A691" s="2" t="n"/>
      <c r="B691" s="2" t="n"/>
      <c r="C691" s="2" t="n"/>
      <c r="D691" s="2" t="n"/>
      <c r="E691" s="2" t="n"/>
      <c r="F691" s="12" t="n"/>
      <c r="G691" s="2" t="n"/>
      <c r="H691" s="2" t="n"/>
    </row>
    <row r="692">
      <c r="A692" s="6" t="n"/>
      <c r="B692" s="6" t="n"/>
      <c r="C692" s="6" t="n"/>
      <c r="D692" s="6" t="n"/>
      <c r="E692" s="6" t="n"/>
      <c r="F692" s="14" t="n"/>
      <c r="G692" s="6" t="n"/>
      <c r="H692" s="6" t="n"/>
    </row>
    <row r="693">
      <c r="A693" s="2" t="n"/>
      <c r="B693" s="2" t="n"/>
      <c r="C693" s="2" t="n"/>
      <c r="D693" s="2" t="n"/>
      <c r="E693" s="2" t="n"/>
      <c r="F693" s="12" t="n"/>
      <c r="G693" s="2" t="n"/>
      <c r="H693" s="2" t="n"/>
    </row>
    <row r="694">
      <c r="A694" s="6" t="n"/>
      <c r="B694" s="6" t="n"/>
      <c r="C694" s="6" t="n"/>
      <c r="D694" s="6" t="n"/>
      <c r="E694" s="6" t="n"/>
      <c r="F694" s="14" t="n"/>
      <c r="G694" s="6" t="n"/>
      <c r="H694" s="6" t="n"/>
    </row>
    <row r="695">
      <c r="A695" s="2" t="n"/>
      <c r="B695" s="2" t="n"/>
      <c r="C695" s="2" t="n"/>
      <c r="D695" s="2" t="n"/>
      <c r="E695" s="2" t="n"/>
      <c r="F695" s="12" t="n"/>
      <c r="G695" s="2" t="n"/>
      <c r="H695" s="2" t="n"/>
    </row>
    <row r="696">
      <c r="A696" s="6" t="n"/>
      <c r="B696" s="6" t="n"/>
      <c r="C696" s="6" t="n"/>
      <c r="D696" s="6" t="n"/>
      <c r="E696" s="6" t="n"/>
      <c r="F696" s="14" t="n"/>
      <c r="G696" s="6" t="n"/>
      <c r="H696" s="6" t="n"/>
    </row>
    <row r="697">
      <c r="A697" s="2" t="n"/>
      <c r="B697" s="2" t="n"/>
      <c r="C697" s="2" t="n"/>
      <c r="D697" s="2" t="n"/>
      <c r="E697" s="2" t="n"/>
      <c r="F697" s="12" t="n"/>
      <c r="G697" s="2" t="n"/>
      <c r="H697" s="2" t="n"/>
    </row>
    <row r="698">
      <c r="A698" s="6" t="n"/>
      <c r="B698" s="6" t="n"/>
      <c r="C698" s="6" t="n"/>
      <c r="D698" s="6" t="n"/>
      <c r="E698" s="6" t="n"/>
      <c r="F698" s="14" t="n"/>
      <c r="G698" s="6" t="n"/>
      <c r="H698" s="6" t="n"/>
    </row>
    <row r="699">
      <c r="A699" s="2" t="n"/>
      <c r="B699" s="2" t="n"/>
      <c r="C699" s="2" t="n"/>
      <c r="D699" s="2" t="n"/>
      <c r="E699" s="2" t="n"/>
      <c r="F699" s="12" t="n"/>
      <c r="G699" s="2" t="n"/>
      <c r="H699" s="2" t="n"/>
    </row>
    <row r="700">
      <c r="A700" s="6" t="n"/>
      <c r="B700" s="6" t="n"/>
      <c r="C700" s="6" t="n"/>
      <c r="D700" s="6" t="n"/>
      <c r="E700" s="6" t="n"/>
      <c r="F700" s="14" t="n"/>
      <c r="G700" s="6" t="n"/>
      <c r="H700" s="6" t="n"/>
    </row>
    <row r="701">
      <c r="A701" s="2" t="n"/>
      <c r="B701" s="2" t="n"/>
      <c r="C701" s="2" t="n"/>
      <c r="D701" s="2" t="n"/>
      <c r="E701" s="2" t="n"/>
      <c r="F701" s="12" t="n"/>
      <c r="G701" s="2" t="n"/>
      <c r="H701" s="2" t="n"/>
    </row>
    <row r="702">
      <c r="A702" s="6" t="n"/>
      <c r="B702" s="6" t="n"/>
      <c r="C702" s="6" t="n"/>
      <c r="D702" s="6" t="n"/>
      <c r="E702" s="6" t="n"/>
      <c r="F702" s="14" t="n"/>
      <c r="G702" s="6" t="n"/>
      <c r="H702" s="6" t="n"/>
    </row>
    <row r="703">
      <c r="A703" s="2" t="n"/>
      <c r="B703" s="2" t="n"/>
      <c r="C703" s="2" t="n"/>
      <c r="D703" s="2" t="n"/>
      <c r="E703" s="2" t="n"/>
      <c r="F703" s="12" t="n"/>
      <c r="G703" s="2" t="n"/>
      <c r="H703" s="2" t="n"/>
    </row>
    <row r="704">
      <c r="A704" s="6" t="n"/>
      <c r="B704" s="6" t="n"/>
      <c r="C704" s="6" t="n"/>
      <c r="D704" s="6" t="n"/>
      <c r="E704" s="6" t="n"/>
      <c r="F704" s="14" t="n"/>
      <c r="G704" s="6" t="n"/>
      <c r="H704" s="6" t="n"/>
    </row>
    <row r="705">
      <c r="A705" s="2" t="n"/>
      <c r="B705" s="2" t="n"/>
      <c r="C705" s="2" t="n"/>
      <c r="D705" s="2" t="n"/>
      <c r="E705" s="2" t="n"/>
      <c r="F705" s="12" t="n"/>
      <c r="G705" s="2" t="n"/>
      <c r="H705" s="2" t="n"/>
    </row>
    <row r="706">
      <c r="A706" s="6" t="n"/>
      <c r="B706" s="6" t="n"/>
      <c r="C706" s="6" t="n"/>
      <c r="D706" s="6" t="n"/>
      <c r="E706" s="6" t="n"/>
      <c r="F706" s="14" t="n"/>
      <c r="G706" s="6" t="n"/>
      <c r="H706" s="6" t="n"/>
    </row>
    <row r="707">
      <c r="A707" s="2" t="n"/>
      <c r="B707" s="2" t="n"/>
      <c r="C707" s="2" t="n"/>
      <c r="D707" s="2" t="n"/>
      <c r="E707" s="2" t="n"/>
      <c r="F707" s="12" t="n"/>
      <c r="G707" s="2" t="n"/>
      <c r="H707" s="2" t="n"/>
    </row>
    <row r="708">
      <c r="A708" s="6" t="n"/>
      <c r="B708" s="6" t="n"/>
      <c r="C708" s="6" t="n"/>
      <c r="D708" s="6" t="n"/>
      <c r="E708" s="6" t="n"/>
      <c r="F708" s="14" t="n"/>
      <c r="G708" s="6" t="n"/>
      <c r="H708" s="6" t="n"/>
    </row>
    <row r="709">
      <c r="A709" s="2" t="n"/>
      <c r="B709" s="2" t="n"/>
      <c r="C709" s="2" t="n"/>
      <c r="D709" s="2" t="n"/>
      <c r="E709" s="2" t="n"/>
      <c r="F709" s="12" t="n"/>
      <c r="G709" s="2" t="n"/>
      <c r="H709" s="2" t="n"/>
    </row>
    <row r="710">
      <c r="A710" s="6" t="n"/>
      <c r="B710" s="6" t="n"/>
      <c r="C710" s="6" t="n"/>
      <c r="D710" s="6" t="n"/>
      <c r="E710" s="6" t="n"/>
      <c r="F710" s="14" t="n"/>
      <c r="G710" s="6" t="n"/>
      <c r="H710" s="6" t="n"/>
    </row>
    <row r="711">
      <c r="A711" s="2" t="n"/>
      <c r="B711" s="2" t="n"/>
      <c r="C711" s="2" t="n"/>
      <c r="D711" s="2" t="n"/>
      <c r="E711" s="2" t="n"/>
      <c r="F711" s="12" t="n"/>
      <c r="G711" s="2" t="n"/>
      <c r="H711" s="2" t="n"/>
    </row>
    <row r="712">
      <c r="A712" s="6" t="n"/>
      <c r="B712" s="6" t="n"/>
      <c r="C712" s="6" t="n"/>
      <c r="D712" s="6" t="n"/>
      <c r="E712" s="6" t="n"/>
      <c r="F712" s="14" t="n"/>
      <c r="G712" s="6" t="n"/>
      <c r="H712" s="6" t="n"/>
    </row>
    <row r="713">
      <c r="A713" s="2" t="n"/>
      <c r="B713" s="2" t="n"/>
      <c r="C713" s="2" t="n"/>
      <c r="D713" s="2" t="n"/>
      <c r="E713" s="2" t="n"/>
      <c r="F713" s="12" t="n"/>
      <c r="G713" s="2" t="n"/>
      <c r="H713" s="2" t="n"/>
    </row>
    <row r="714">
      <c r="A714" s="6" t="n"/>
      <c r="B714" s="6" t="n"/>
      <c r="C714" s="6" t="n"/>
      <c r="D714" s="6" t="n"/>
      <c r="E714" s="6" t="n"/>
      <c r="F714" s="14" t="n"/>
      <c r="G714" s="6" t="n"/>
      <c r="H714" s="6" t="n"/>
    </row>
    <row r="715">
      <c r="A715" s="2" t="n"/>
      <c r="B715" s="2" t="n"/>
      <c r="C715" s="2" t="n"/>
      <c r="D715" s="2" t="n"/>
      <c r="E715" s="2" t="n"/>
      <c r="F715" s="12" t="n"/>
      <c r="G715" s="2" t="n"/>
      <c r="H715" s="2" t="n"/>
    </row>
    <row r="716">
      <c r="A716" s="6" t="n"/>
      <c r="B716" s="6" t="n"/>
      <c r="C716" s="6" t="n"/>
      <c r="D716" s="6" t="n"/>
      <c r="E716" s="6" t="n"/>
      <c r="F716" s="14" t="n"/>
      <c r="G716" s="6" t="n"/>
      <c r="H716" s="6" t="n"/>
    </row>
    <row r="717">
      <c r="A717" s="2" t="n"/>
      <c r="B717" s="2" t="n"/>
      <c r="C717" s="2" t="n"/>
      <c r="D717" s="2" t="n"/>
      <c r="E717" s="2" t="n"/>
      <c r="F717" s="12" t="n"/>
      <c r="G717" s="2" t="n"/>
      <c r="H717" s="2" t="n"/>
    </row>
    <row r="718">
      <c r="A718" s="6" t="n"/>
      <c r="B718" s="6" t="n"/>
      <c r="C718" s="6" t="n"/>
      <c r="D718" s="6" t="n"/>
      <c r="E718" s="6" t="n"/>
      <c r="F718" s="14" t="n"/>
      <c r="G718" s="6" t="n"/>
      <c r="H718" s="6" t="n"/>
    </row>
    <row r="719">
      <c r="A719" s="2" t="n"/>
      <c r="B719" s="2" t="n"/>
      <c r="C719" s="2" t="n"/>
      <c r="D719" s="2" t="n"/>
      <c r="E719" s="2" t="n"/>
      <c r="F719" s="12" t="n"/>
      <c r="G719" s="2" t="n"/>
      <c r="H719" s="2" t="n"/>
    </row>
    <row r="720">
      <c r="A720" s="6" t="n"/>
      <c r="B720" s="6" t="n"/>
      <c r="C720" s="6" t="n"/>
      <c r="D720" s="6" t="n"/>
      <c r="E720" s="6" t="n"/>
      <c r="F720" s="14" t="n"/>
      <c r="G720" s="6" t="n"/>
      <c r="H720" s="6" t="n"/>
    </row>
    <row r="721">
      <c r="A721" s="2" t="n"/>
      <c r="B721" s="2" t="n"/>
      <c r="C721" s="2" t="n"/>
      <c r="D721" s="2" t="n"/>
      <c r="E721" s="2" t="n"/>
      <c r="F721" s="12" t="n"/>
      <c r="G721" s="2" t="n"/>
      <c r="H721" s="2" t="n"/>
    </row>
    <row r="722">
      <c r="A722" s="6" t="n"/>
      <c r="B722" s="6" t="n"/>
      <c r="C722" s="6" t="n"/>
      <c r="D722" s="6" t="n"/>
      <c r="E722" s="6" t="n"/>
      <c r="F722" s="14" t="n"/>
      <c r="G722" s="6" t="n"/>
      <c r="H722" s="6" t="n"/>
    </row>
    <row r="723">
      <c r="A723" s="2" t="n"/>
      <c r="B723" s="2" t="n"/>
      <c r="C723" s="2" t="n"/>
      <c r="D723" s="2" t="n"/>
      <c r="E723" s="2" t="n"/>
      <c r="F723" s="12" t="n"/>
      <c r="G723" s="2" t="n"/>
      <c r="H723" s="2" t="n"/>
    </row>
    <row r="724">
      <c r="A724" s="6" t="n"/>
      <c r="B724" s="6" t="n"/>
      <c r="C724" s="6" t="n"/>
      <c r="D724" s="6" t="n"/>
      <c r="E724" s="6" t="n"/>
      <c r="F724" s="14" t="n"/>
      <c r="G724" s="6" t="n"/>
      <c r="H724" s="6" t="n"/>
    </row>
    <row r="725">
      <c r="A725" s="2" t="n"/>
      <c r="B725" s="2" t="n"/>
      <c r="C725" s="2" t="n"/>
      <c r="D725" s="2" t="n"/>
      <c r="E725" s="2" t="n"/>
      <c r="F725" s="12" t="n"/>
      <c r="G725" s="2" t="n"/>
      <c r="H725" s="2" t="n"/>
    </row>
    <row r="726">
      <c r="A726" s="6" t="n"/>
      <c r="B726" s="6" t="n"/>
      <c r="C726" s="6" t="n"/>
      <c r="D726" s="6" t="n"/>
      <c r="E726" s="6" t="n"/>
      <c r="F726" s="14" t="n"/>
      <c r="G726" s="6" t="n"/>
      <c r="H726" s="6" t="n"/>
    </row>
    <row r="727">
      <c r="A727" s="2" t="n"/>
      <c r="B727" s="2" t="n"/>
      <c r="C727" s="2" t="n"/>
      <c r="D727" s="2" t="n"/>
      <c r="E727" s="2" t="n"/>
      <c r="F727" s="12" t="n"/>
      <c r="G727" s="2" t="n"/>
      <c r="H727" s="2" t="n"/>
    </row>
    <row r="728">
      <c r="A728" s="6" t="n"/>
      <c r="B728" s="6" t="n"/>
      <c r="C728" s="6" t="n"/>
      <c r="D728" s="6" t="n"/>
      <c r="E728" s="6" t="n"/>
      <c r="F728" s="14" t="n"/>
      <c r="G728" s="6" t="n"/>
      <c r="H728" s="6" t="n"/>
    </row>
    <row r="729">
      <c r="A729" s="2" t="n"/>
      <c r="B729" s="2" t="n"/>
      <c r="C729" s="2" t="n"/>
      <c r="D729" s="2" t="n"/>
      <c r="E729" s="2" t="n"/>
      <c r="F729" s="12" t="n"/>
      <c r="G729" s="2" t="n"/>
      <c r="H729" s="2" t="n"/>
    </row>
    <row r="730">
      <c r="A730" s="6" t="n"/>
      <c r="B730" s="6" t="n"/>
      <c r="C730" s="6" t="n"/>
      <c r="D730" s="6" t="n"/>
      <c r="E730" s="6" t="n"/>
      <c r="F730" s="14" t="n"/>
      <c r="G730" s="6" t="n"/>
      <c r="H730" s="6" t="n"/>
    </row>
    <row r="731">
      <c r="A731" s="2" t="n"/>
      <c r="B731" s="2" t="n"/>
      <c r="C731" s="2" t="n"/>
      <c r="D731" s="2" t="n"/>
      <c r="E731" s="2" t="n"/>
      <c r="F731" s="12" t="n"/>
      <c r="G731" s="2" t="n"/>
      <c r="H731" s="2" t="n"/>
    </row>
    <row r="732">
      <c r="A732" s="6" t="n"/>
      <c r="B732" s="6" t="n"/>
      <c r="C732" s="6" t="n"/>
      <c r="D732" s="6" t="n"/>
      <c r="E732" s="6" t="n"/>
      <c r="F732" s="14" t="n"/>
      <c r="G732" s="6" t="n"/>
      <c r="H732" s="6" t="n"/>
    </row>
    <row r="733">
      <c r="A733" s="2" t="n"/>
      <c r="B733" s="2" t="n"/>
      <c r="C733" s="2" t="n"/>
      <c r="D733" s="2" t="n"/>
      <c r="E733" s="2" t="n"/>
      <c r="F733" s="12" t="n"/>
      <c r="G733" s="2" t="n"/>
      <c r="H733" s="2" t="n"/>
    </row>
    <row r="734">
      <c r="A734" s="6" t="n"/>
      <c r="B734" s="6" t="n"/>
      <c r="C734" s="6" t="n"/>
      <c r="D734" s="6" t="n"/>
      <c r="E734" s="6" t="n"/>
      <c r="F734" s="14" t="n"/>
      <c r="G734" s="6" t="n"/>
      <c r="H734" s="6" t="n"/>
    </row>
    <row r="735">
      <c r="A735" s="2" t="n"/>
      <c r="B735" s="2" t="n"/>
      <c r="C735" s="2" t="n"/>
      <c r="D735" s="2" t="n"/>
      <c r="E735" s="2" t="n"/>
      <c r="F735" s="12" t="n"/>
      <c r="G735" s="2" t="n"/>
      <c r="H735" s="2" t="n"/>
    </row>
    <row r="736">
      <c r="A736" s="6" t="n"/>
      <c r="B736" s="6" t="n"/>
      <c r="C736" s="6" t="n"/>
      <c r="D736" s="6" t="n"/>
      <c r="E736" s="6" t="n"/>
      <c r="F736" s="14" t="n"/>
      <c r="G736" s="6" t="n"/>
      <c r="H736" s="6" t="n"/>
    </row>
    <row r="737">
      <c r="A737" s="2" t="n"/>
      <c r="B737" s="2" t="n"/>
      <c r="C737" s="2" t="n"/>
      <c r="D737" s="2" t="n"/>
      <c r="E737" s="2" t="n"/>
      <c r="F737" s="12" t="n"/>
      <c r="G737" s="2" t="n"/>
      <c r="H737" s="2" t="n"/>
    </row>
    <row r="738">
      <c r="A738" s="6" t="n"/>
      <c r="B738" s="6" t="n"/>
      <c r="C738" s="6" t="n"/>
      <c r="D738" s="6" t="n"/>
      <c r="E738" s="6" t="n"/>
      <c r="F738" s="14" t="n"/>
      <c r="G738" s="6" t="n"/>
      <c r="H738" s="6" t="n"/>
    </row>
    <row r="739">
      <c r="A739" s="2" t="n"/>
      <c r="B739" s="2" t="n"/>
      <c r="C739" s="2" t="n"/>
      <c r="D739" s="2" t="n"/>
      <c r="E739" s="2" t="n"/>
      <c r="F739" s="12" t="n"/>
      <c r="G739" s="2" t="n"/>
      <c r="H739" s="2" t="n"/>
    </row>
    <row r="740">
      <c r="A740" s="6" t="n"/>
      <c r="B740" s="6" t="n"/>
      <c r="C740" s="6" t="n"/>
      <c r="D740" s="6" t="n"/>
      <c r="E740" s="6" t="n"/>
      <c r="F740" s="14" t="n"/>
      <c r="G740" s="6" t="n"/>
      <c r="H740" s="6" t="n"/>
    </row>
    <row r="741">
      <c r="A741" s="2" t="n"/>
      <c r="B741" s="2" t="n"/>
      <c r="C741" s="2" t="n"/>
      <c r="D741" s="2" t="n"/>
      <c r="E741" s="2" t="n"/>
      <c r="F741" s="12" t="n"/>
      <c r="G741" s="2" t="n"/>
      <c r="H741" s="2" t="n"/>
    </row>
    <row r="742">
      <c r="A742" s="6" t="n"/>
      <c r="B742" s="6" t="n"/>
      <c r="C742" s="6" t="n"/>
      <c r="D742" s="6" t="n"/>
      <c r="E742" s="6" t="n"/>
      <c r="F742" s="14" t="n"/>
      <c r="G742" s="6" t="n"/>
      <c r="H742" s="6" t="n"/>
    </row>
    <row r="743">
      <c r="A743" s="2" t="n"/>
      <c r="B743" s="2" t="n"/>
      <c r="C743" s="2" t="n"/>
      <c r="D743" s="2" t="n"/>
      <c r="E743" s="2" t="n"/>
      <c r="F743" s="12" t="n"/>
      <c r="G743" s="2" t="n"/>
      <c r="H743" s="2" t="n"/>
    </row>
    <row r="744">
      <c r="A744" s="6" t="n"/>
      <c r="B744" s="6" t="n"/>
      <c r="C744" s="6" t="n"/>
      <c r="D744" s="6" t="n"/>
      <c r="E744" s="6" t="n"/>
      <c r="F744" s="14" t="n"/>
      <c r="G744" s="6" t="n"/>
      <c r="H744" s="6" t="n"/>
    </row>
    <row r="745">
      <c r="A745" s="2" t="n"/>
      <c r="B745" s="2" t="n"/>
      <c r="C745" s="2" t="n"/>
      <c r="D745" s="2" t="n"/>
      <c r="E745" s="2" t="n"/>
      <c r="F745" s="12" t="n"/>
      <c r="G745" s="2" t="n"/>
      <c r="H745" s="2" t="n"/>
    </row>
    <row r="746">
      <c r="A746" s="6" t="n"/>
      <c r="B746" s="6" t="n"/>
      <c r="C746" s="6" t="n"/>
      <c r="D746" s="6" t="n"/>
      <c r="E746" s="6" t="n"/>
      <c r="F746" s="14" t="n"/>
      <c r="G746" s="6" t="n"/>
      <c r="H746" s="6" t="n"/>
    </row>
    <row r="747">
      <c r="A747" s="2" t="n"/>
      <c r="B747" s="2" t="n"/>
      <c r="C747" s="2" t="n"/>
      <c r="D747" s="2" t="n"/>
      <c r="E747" s="2" t="n"/>
      <c r="F747" s="12" t="n"/>
      <c r="G747" s="2" t="n"/>
      <c r="H747" s="2" t="n"/>
    </row>
    <row r="748">
      <c r="A748" s="6" t="n"/>
      <c r="B748" s="6" t="n"/>
      <c r="C748" s="6" t="n"/>
      <c r="D748" s="6" t="n"/>
      <c r="E748" s="6" t="n"/>
      <c r="F748" s="14" t="n"/>
      <c r="G748" s="6" t="n"/>
      <c r="H748" s="6" t="n"/>
    </row>
    <row r="749">
      <c r="A749" s="2" t="n"/>
      <c r="B749" s="2" t="n"/>
      <c r="C749" s="2" t="n"/>
      <c r="D749" s="2" t="n"/>
      <c r="E749" s="2" t="n"/>
      <c r="F749" s="12" t="n"/>
      <c r="G749" s="2" t="n"/>
      <c r="H749" s="2" t="n"/>
    </row>
    <row r="750">
      <c r="A750" s="6" t="n"/>
      <c r="B750" s="6" t="n"/>
      <c r="C750" s="6" t="n"/>
      <c r="D750" s="6" t="n"/>
      <c r="E750" s="6" t="n"/>
      <c r="F750" s="14" t="n"/>
      <c r="G750" s="6" t="n"/>
      <c r="H750" s="6" t="n"/>
    </row>
    <row r="751">
      <c r="A751" s="2" t="n"/>
      <c r="B751" s="2" t="n"/>
      <c r="C751" s="2" t="n"/>
      <c r="D751" s="2" t="n"/>
      <c r="E751" s="2" t="n"/>
      <c r="F751" s="12" t="n"/>
      <c r="G751" s="2" t="n"/>
      <c r="H751" s="2" t="n"/>
    </row>
    <row r="752">
      <c r="A752" s="6" t="n"/>
      <c r="B752" s="6" t="n"/>
      <c r="C752" s="6" t="n"/>
      <c r="D752" s="6" t="n"/>
      <c r="E752" s="6" t="n"/>
      <c r="F752" s="14" t="n"/>
      <c r="G752" s="6" t="n"/>
      <c r="H752" s="6" t="n"/>
    </row>
    <row r="753">
      <c r="A753" s="2" t="n"/>
      <c r="B753" s="2" t="n"/>
      <c r="C753" s="2" t="n"/>
      <c r="D753" s="2" t="n"/>
      <c r="E753" s="2" t="n"/>
      <c r="F753" s="12" t="n"/>
      <c r="G753" s="2" t="n"/>
      <c r="H753" s="2" t="n"/>
    </row>
    <row r="754">
      <c r="A754" s="6" t="n"/>
      <c r="B754" s="6" t="n"/>
      <c r="C754" s="6" t="n"/>
      <c r="D754" s="6" t="n"/>
      <c r="E754" s="6" t="n"/>
      <c r="F754" s="14" t="n"/>
      <c r="G754" s="6" t="n"/>
      <c r="H754" s="6" t="n"/>
    </row>
    <row r="755">
      <c r="A755" s="2" t="n"/>
      <c r="B755" s="2" t="n"/>
      <c r="C755" s="2" t="n"/>
      <c r="D755" s="2" t="n"/>
      <c r="E755" s="2" t="n"/>
      <c r="F755" s="12" t="n"/>
      <c r="G755" s="2" t="n"/>
      <c r="H755" s="2" t="n"/>
    </row>
    <row r="756">
      <c r="A756" s="6" t="n"/>
      <c r="B756" s="6" t="n"/>
      <c r="C756" s="6" t="n"/>
      <c r="D756" s="6" t="n"/>
      <c r="E756" s="6" t="n"/>
      <c r="F756" s="14" t="n"/>
      <c r="G756" s="6" t="n"/>
      <c r="H756" s="6" t="n"/>
    </row>
    <row r="757">
      <c r="A757" s="2" t="n"/>
      <c r="B757" s="2" t="n"/>
      <c r="C757" s="2" t="n"/>
      <c r="D757" s="2" t="n"/>
      <c r="E757" s="2" t="n"/>
      <c r="F757" s="12" t="n"/>
      <c r="G757" s="2" t="n"/>
      <c r="H757" s="2" t="n"/>
    </row>
    <row r="758">
      <c r="A758" s="6" t="n"/>
      <c r="B758" s="6" t="n"/>
      <c r="C758" s="6" t="n"/>
      <c r="D758" s="6" t="n"/>
      <c r="E758" s="6" t="n"/>
      <c r="F758" s="14" t="n"/>
      <c r="G758" s="6" t="n"/>
      <c r="H758" s="6" t="n"/>
    </row>
    <row r="759">
      <c r="A759" s="2" t="n"/>
      <c r="B759" s="2" t="n"/>
      <c r="C759" s="2" t="n"/>
      <c r="D759" s="2" t="n"/>
      <c r="E759" s="2" t="n"/>
      <c r="F759" s="12" t="n"/>
      <c r="G759" s="2" t="n"/>
      <c r="H759" s="2" t="n"/>
    </row>
    <row r="760">
      <c r="A760" s="6" t="n"/>
      <c r="B760" s="6" t="n"/>
      <c r="C760" s="6" t="n"/>
      <c r="D760" s="6" t="n"/>
      <c r="E760" s="6" t="n"/>
      <c r="F760" s="14" t="n"/>
      <c r="G760" s="6" t="n"/>
      <c r="H760" s="6" t="n"/>
    </row>
    <row r="761">
      <c r="A761" s="2" t="n"/>
      <c r="B761" s="2" t="n"/>
      <c r="C761" s="2" t="n"/>
      <c r="D761" s="2" t="n"/>
      <c r="E761" s="2" t="n"/>
      <c r="F761" s="12" t="n"/>
      <c r="G761" s="2" t="n"/>
      <c r="H761" s="2" t="n"/>
    </row>
    <row r="762">
      <c r="A762" s="6" t="n"/>
      <c r="B762" s="6" t="n"/>
      <c r="C762" s="6" t="n"/>
      <c r="D762" s="6" t="n"/>
      <c r="E762" s="6" t="n"/>
      <c r="F762" s="14" t="n"/>
      <c r="G762" s="6" t="n"/>
      <c r="H762" s="6" t="n"/>
    </row>
    <row r="763">
      <c r="A763" s="2" t="n"/>
      <c r="B763" s="2" t="n"/>
      <c r="C763" s="2" t="n"/>
      <c r="D763" s="2" t="n"/>
      <c r="E763" s="2" t="n"/>
      <c r="F763" s="12" t="n"/>
      <c r="G763" s="2" t="n"/>
      <c r="H763" s="2" t="n"/>
    </row>
    <row r="764">
      <c r="A764" s="6" t="n"/>
      <c r="B764" s="6" t="n"/>
      <c r="C764" s="6" t="n"/>
      <c r="D764" s="6" t="n"/>
      <c r="E764" s="6" t="n"/>
      <c r="F764" s="14" t="n"/>
      <c r="G764" s="6" t="n"/>
      <c r="H764" s="6" t="n"/>
    </row>
    <row r="765">
      <c r="A765" s="2" t="n"/>
      <c r="B765" s="2" t="n"/>
      <c r="C765" s="2" t="n"/>
      <c r="D765" s="2" t="n"/>
      <c r="E765" s="2" t="n"/>
      <c r="F765" s="12" t="n"/>
      <c r="G765" s="2" t="n"/>
      <c r="H765" s="2" t="n"/>
    </row>
    <row r="766">
      <c r="A766" s="6" t="n"/>
      <c r="B766" s="6" t="n"/>
      <c r="C766" s="6" t="n"/>
      <c r="D766" s="6" t="n"/>
      <c r="E766" s="6" t="n"/>
      <c r="F766" s="14" t="n"/>
      <c r="G766" s="6" t="n"/>
      <c r="H766" s="6" t="n"/>
    </row>
    <row r="767">
      <c r="A767" s="2" t="n"/>
      <c r="B767" s="2" t="n"/>
      <c r="C767" s="2" t="n"/>
      <c r="D767" s="2" t="n"/>
      <c r="E767" s="2" t="n"/>
      <c r="F767" s="12" t="n"/>
      <c r="G767" s="2" t="n"/>
      <c r="H767" s="2" t="n"/>
    </row>
    <row r="768">
      <c r="A768" s="6" t="n"/>
      <c r="B768" s="6" t="n"/>
      <c r="C768" s="6" t="n"/>
      <c r="D768" s="6" t="n"/>
      <c r="E768" s="6" t="n"/>
      <c r="F768" s="14" t="n"/>
      <c r="G768" s="6" t="n"/>
      <c r="H768" s="6" t="n"/>
    </row>
    <row r="769">
      <c r="A769" s="2" t="n"/>
      <c r="B769" s="2" t="n"/>
      <c r="C769" s="2" t="n"/>
      <c r="D769" s="2" t="n"/>
      <c r="E769" s="2" t="n"/>
      <c r="F769" s="12" t="n"/>
      <c r="G769" s="2" t="n"/>
      <c r="H769" s="2" t="n"/>
    </row>
    <row r="770">
      <c r="A770" s="6" t="n"/>
      <c r="B770" s="6" t="n"/>
      <c r="C770" s="6" t="n"/>
      <c r="D770" s="6" t="n"/>
      <c r="E770" s="6" t="n"/>
      <c r="F770" s="14" t="n"/>
      <c r="G770" s="6" t="n"/>
      <c r="H770" s="6" t="n"/>
    </row>
    <row r="771">
      <c r="A771" s="2" t="n"/>
      <c r="B771" s="2" t="n"/>
      <c r="C771" s="2" t="n"/>
      <c r="D771" s="2" t="n"/>
      <c r="E771" s="2" t="n"/>
      <c r="F771" s="12" t="n"/>
      <c r="G771" s="2" t="n"/>
      <c r="H771" s="2" t="n"/>
    </row>
    <row r="772">
      <c r="A772" s="6" t="n"/>
      <c r="B772" s="6" t="n"/>
      <c r="C772" s="6" t="n"/>
      <c r="D772" s="6" t="n"/>
      <c r="E772" s="6" t="n"/>
      <c r="F772" s="14" t="n"/>
      <c r="G772" s="6" t="n"/>
      <c r="H772" s="6" t="n"/>
    </row>
    <row r="773">
      <c r="A773" s="2" t="n"/>
      <c r="B773" s="2" t="n"/>
      <c r="C773" s="2" t="n"/>
      <c r="D773" s="2" t="n"/>
      <c r="E773" s="2" t="n"/>
      <c r="F773" s="12" t="n"/>
      <c r="G773" s="2" t="n"/>
      <c r="H773" s="2" t="n"/>
    </row>
    <row r="774">
      <c r="A774" s="6" t="n"/>
      <c r="B774" s="6" t="n"/>
      <c r="C774" s="6" t="n"/>
      <c r="D774" s="6" t="n"/>
      <c r="E774" s="6" t="n"/>
      <c r="F774" s="14" t="n"/>
      <c r="G774" s="6" t="n"/>
      <c r="H774" s="6" t="n"/>
    </row>
    <row r="775">
      <c r="A775" s="2" t="n"/>
      <c r="B775" s="2" t="n"/>
      <c r="C775" s="2" t="n"/>
      <c r="D775" s="2" t="n"/>
      <c r="E775" s="2" t="n"/>
      <c r="F775" s="12" t="n"/>
      <c r="G775" s="2" t="n"/>
      <c r="H775" s="2" t="n"/>
    </row>
    <row r="776">
      <c r="A776" s="6" t="n"/>
      <c r="B776" s="6" t="n"/>
      <c r="C776" s="6" t="n"/>
      <c r="D776" s="6" t="n"/>
      <c r="E776" s="6" t="n"/>
      <c r="F776" s="14" t="n"/>
      <c r="G776" s="6" t="n"/>
      <c r="H776" s="6" t="n"/>
    </row>
    <row r="777">
      <c r="A777" s="2" t="n"/>
      <c r="B777" s="2" t="n"/>
      <c r="C777" s="2" t="n"/>
      <c r="D777" s="2" t="n"/>
      <c r="E777" s="2" t="n"/>
      <c r="F777" s="12" t="n"/>
      <c r="G777" s="2" t="n"/>
      <c r="H777" s="2" t="n"/>
    </row>
    <row r="778">
      <c r="A778" s="6" t="n"/>
      <c r="B778" s="6" t="n"/>
      <c r="C778" s="6" t="n"/>
      <c r="D778" s="6" t="n"/>
      <c r="E778" s="6" t="n"/>
      <c r="F778" s="14" t="n"/>
      <c r="G778" s="6" t="n"/>
      <c r="H778" s="6" t="n"/>
    </row>
    <row r="779">
      <c r="A779" s="2" t="n"/>
      <c r="B779" s="2" t="n"/>
      <c r="C779" s="2" t="n"/>
      <c r="D779" s="2" t="n"/>
      <c r="E779" s="2" t="n"/>
      <c r="F779" s="12" t="n"/>
      <c r="G779" s="2" t="n"/>
      <c r="H779" s="2" t="n"/>
    </row>
    <row r="780">
      <c r="A780" s="6" t="n"/>
      <c r="B780" s="6" t="n"/>
      <c r="C780" s="6" t="n"/>
      <c r="D780" s="6" t="n"/>
      <c r="E780" s="6" t="n"/>
      <c r="F780" s="14" t="n"/>
      <c r="G780" s="6" t="n"/>
      <c r="H780" s="6" t="n"/>
    </row>
    <row r="781">
      <c r="A781" s="2" t="n"/>
      <c r="B781" s="2" t="n"/>
      <c r="C781" s="2" t="n"/>
      <c r="D781" s="2" t="n"/>
      <c r="E781" s="2" t="n"/>
      <c r="F781" s="12" t="n"/>
      <c r="G781" s="2" t="n"/>
      <c r="H781" s="2" t="n"/>
    </row>
    <row r="782">
      <c r="A782" s="6" t="n"/>
      <c r="B782" s="6" t="n"/>
      <c r="C782" s="6" t="n"/>
      <c r="D782" s="6" t="n"/>
      <c r="E782" s="6" t="n"/>
      <c r="F782" s="14" t="n"/>
      <c r="G782" s="6" t="n"/>
      <c r="H782" s="6" t="n"/>
    </row>
    <row r="783">
      <c r="A783" s="2" t="n"/>
      <c r="B783" s="2" t="n"/>
      <c r="C783" s="2" t="n"/>
      <c r="D783" s="2" t="n"/>
      <c r="E783" s="2" t="n"/>
      <c r="F783" s="12" t="n"/>
      <c r="G783" s="2" t="n"/>
      <c r="H783" s="2" t="n"/>
    </row>
    <row r="784">
      <c r="A784" s="6" t="n"/>
      <c r="B784" s="6" t="n"/>
      <c r="C784" s="6" t="n"/>
      <c r="D784" s="6" t="n"/>
      <c r="E784" s="6" t="n"/>
      <c r="F784" s="14" t="n"/>
      <c r="G784" s="6" t="n"/>
      <c r="H784" s="6" t="n"/>
    </row>
    <row r="785">
      <c r="A785" s="2" t="n"/>
      <c r="B785" s="2" t="n"/>
      <c r="C785" s="2" t="n"/>
      <c r="D785" s="2" t="n"/>
      <c r="E785" s="2" t="n"/>
      <c r="F785" s="12" t="n"/>
      <c r="G785" s="2" t="n"/>
      <c r="H785" s="2" t="n"/>
    </row>
    <row r="786">
      <c r="A786" s="6" t="n"/>
      <c r="B786" s="6" t="n"/>
      <c r="C786" s="6" t="n"/>
      <c r="D786" s="6" t="n"/>
      <c r="E786" s="6" t="n"/>
      <c r="F786" s="14" t="n"/>
      <c r="G786" s="6" t="n"/>
      <c r="H786" s="6" t="n"/>
    </row>
    <row r="787">
      <c r="A787" s="2" t="n"/>
      <c r="B787" s="2" t="n"/>
      <c r="C787" s="2" t="n"/>
      <c r="D787" s="2" t="n"/>
      <c r="E787" s="2" t="n"/>
      <c r="F787" s="12" t="n"/>
      <c r="G787" s="2" t="n"/>
      <c r="H787" s="2" t="n"/>
    </row>
    <row r="788">
      <c r="A788" s="6" t="n"/>
      <c r="B788" s="6" t="n"/>
      <c r="C788" s="6" t="n"/>
      <c r="D788" s="6" t="n"/>
      <c r="E788" s="6" t="n"/>
      <c r="F788" s="14" t="n"/>
      <c r="G788" s="6" t="n"/>
      <c r="H788" s="6" t="n"/>
    </row>
    <row r="789">
      <c r="A789" s="2" t="n"/>
      <c r="B789" s="2" t="n"/>
      <c r="C789" s="2" t="n"/>
      <c r="D789" s="2" t="n"/>
      <c r="E789" s="2" t="n"/>
      <c r="F789" s="12" t="n"/>
      <c r="G789" s="2" t="n"/>
      <c r="H789" s="2" t="n"/>
    </row>
    <row r="790">
      <c r="A790" s="6" t="n"/>
      <c r="B790" s="6" t="n"/>
      <c r="C790" s="6" t="n"/>
      <c r="D790" s="6" t="n"/>
      <c r="E790" s="6" t="n"/>
      <c r="F790" s="14" t="n"/>
      <c r="G790" s="6" t="n"/>
      <c r="H790" s="6" t="n"/>
    </row>
    <row r="791">
      <c r="A791" s="2" t="n"/>
      <c r="B791" s="2" t="n"/>
      <c r="C791" s="2" t="n"/>
      <c r="D791" s="2" t="n"/>
      <c r="E791" s="2" t="n"/>
      <c r="F791" s="12" t="n"/>
      <c r="G791" s="2" t="n"/>
      <c r="H791" s="2" t="n"/>
    </row>
    <row r="792">
      <c r="A792" s="6" t="n"/>
      <c r="B792" s="6" t="n"/>
      <c r="C792" s="6" t="n"/>
      <c r="D792" s="6" t="n"/>
      <c r="E792" s="6" t="n"/>
      <c r="F792" s="14" t="n"/>
      <c r="G792" s="6" t="n"/>
      <c r="H792" s="6" t="n"/>
    </row>
    <row r="793">
      <c r="A793" s="2" t="n"/>
      <c r="B793" s="2" t="n"/>
      <c r="C793" s="2" t="n"/>
      <c r="D793" s="2" t="n"/>
      <c r="E793" s="2" t="n"/>
      <c r="F793" s="12" t="n"/>
      <c r="G793" s="2" t="n"/>
      <c r="H793" s="2" t="n"/>
    </row>
    <row r="794">
      <c r="A794" s="6" t="n"/>
      <c r="B794" s="6" t="n"/>
      <c r="C794" s="6" t="n"/>
      <c r="D794" s="6" t="n"/>
      <c r="E794" s="6" t="n"/>
      <c r="F794" s="14" t="n"/>
      <c r="G794" s="6" t="n"/>
      <c r="H794" s="6" t="n"/>
    </row>
    <row r="795">
      <c r="A795" s="2" t="n"/>
      <c r="B795" s="2" t="n"/>
      <c r="C795" s="2" t="n"/>
      <c r="D795" s="2" t="n"/>
      <c r="E795" s="2" t="n"/>
      <c r="F795" s="12" t="n"/>
      <c r="G795" s="2" t="n"/>
      <c r="H795" s="2" t="n"/>
    </row>
    <row r="796">
      <c r="A796" s="6" t="n"/>
      <c r="B796" s="6" t="n"/>
      <c r="C796" s="6" t="n"/>
      <c r="D796" s="6" t="n"/>
      <c r="E796" s="6" t="n"/>
      <c r="F796" s="14" t="n"/>
      <c r="G796" s="6" t="n"/>
      <c r="H796" s="6" t="n"/>
    </row>
    <row r="797">
      <c r="A797" s="2" t="n"/>
      <c r="B797" s="2" t="n"/>
      <c r="C797" s="2" t="n"/>
      <c r="D797" s="2" t="n"/>
      <c r="E797" s="2" t="n"/>
      <c r="F797" s="12" t="n"/>
      <c r="G797" s="2" t="n"/>
      <c r="H797" s="2" t="n"/>
    </row>
    <row r="798">
      <c r="A798" s="6" t="n"/>
      <c r="B798" s="6" t="n"/>
      <c r="C798" s="6" t="n"/>
      <c r="D798" s="6" t="n"/>
      <c r="E798" s="6" t="n"/>
      <c r="F798" s="14" t="n"/>
      <c r="G798" s="6" t="n"/>
      <c r="H798" s="6" t="n"/>
    </row>
    <row r="799">
      <c r="A799" s="2" t="n"/>
      <c r="B799" s="2" t="n"/>
      <c r="C799" s="2" t="n"/>
      <c r="D799" s="2" t="n"/>
      <c r="E799" s="2" t="n"/>
      <c r="F799" s="12" t="n"/>
      <c r="G799" s="2" t="n"/>
      <c r="H799" s="2" t="n"/>
    </row>
    <row r="800">
      <c r="A800" s="6" t="n"/>
      <c r="B800" s="6" t="n"/>
      <c r="C800" s="6" t="n"/>
      <c r="D800" s="6" t="n"/>
      <c r="E800" s="6" t="n"/>
      <c r="F800" s="14" t="n"/>
      <c r="G800" s="6" t="n"/>
      <c r="H800" s="6" t="n"/>
    </row>
    <row r="801">
      <c r="A801" s="2" t="n"/>
      <c r="B801" s="2" t="n"/>
      <c r="C801" s="2" t="n"/>
      <c r="D801" s="2" t="n"/>
      <c r="E801" s="2" t="n"/>
      <c r="F801" s="12" t="n"/>
      <c r="G801" s="2" t="n"/>
      <c r="H801" s="2" t="n"/>
    </row>
    <row r="802">
      <c r="A802" s="6" t="n"/>
      <c r="B802" s="6" t="n"/>
      <c r="C802" s="6" t="n"/>
      <c r="D802" s="6" t="n"/>
      <c r="E802" s="6" t="n"/>
      <c r="F802" s="14" t="n"/>
      <c r="G802" s="6" t="n"/>
      <c r="H802" s="6" t="n"/>
    </row>
    <row r="803">
      <c r="A803" s="2" t="n"/>
      <c r="B803" s="2" t="n"/>
      <c r="C803" s="2" t="n"/>
      <c r="D803" s="2" t="n"/>
      <c r="E803" s="2" t="n"/>
      <c r="F803" s="12" t="n"/>
      <c r="G803" s="2" t="n"/>
      <c r="H803" s="2" t="n"/>
    </row>
    <row r="804">
      <c r="A804" s="6" t="n"/>
      <c r="B804" s="6" t="n"/>
      <c r="C804" s="6" t="n"/>
      <c r="D804" s="6" t="n"/>
      <c r="E804" s="6" t="n"/>
      <c r="F804" s="14" t="n"/>
      <c r="G804" s="6" t="n"/>
      <c r="H804" s="6" t="n"/>
    </row>
    <row r="805">
      <c r="A805" s="2" t="n"/>
      <c r="B805" s="2" t="n"/>
      <c r="C805" s="2" t="n"/>
      <c r="D805" s="2" t="n"/>
      <c r="E805" s="2" t="n"/>
      <c r="F805" s="12" t="n"/>
      <c r="G805" s="2" t="n"/>
      <c r="H805" s="2" t="n"/>
    </row>
    <row r="806">
      <c r="A806" s="6" t="n"/>
      <c r="B806" s="6" t="n"/>
      <c r="C806" s="6" t="n"/>
      <c r="D806" s="6" t="n"/>
      <c r="E806" s="6" t="n"/>
      <c r="F806" s="14" t="n"/>
      <c r="G806" s="6" t="n"/>
      <c r="H806" s="6" t="n"/>
    </row>
    <row r="807">
      <c r="A807" s="2" t="n"/>
      <c r="B807" s="2" t="n"/>
      <c r="C807" s="2" t="n"/>
      <c r="D807" s="2" t="n"/>
      <c r="E807" s="2" t="n"/>
      <c r="F807" s="12" t="n"/>
      <c r="G807" s="2" t="n"/>
      <c r="H807" s="2" t="n"/>
    </row>
    <row r="808">
      <c r="A808" s="6" t="n"/>
      <c r="B808" s="6" t="n"/>
      <c r="C808" s="6" t="n"/>
      <c r="D808" s="6" t="n"/>
      <c r="E808" s="6" t="n"/>
      <c r="F808" s="14" t="n"/>
      <c r="G808" s="6" t="n"/>
      <c r="H808" s="6" t="n"/>
    </row>
    <row r="809">
      <c r="A809" s="2" t="n"/>
      <c r="B809" s="2" t="n"/>
      <c r="C809" s="2" t="n"/>
      <c r="D809" s="2" t="n"/>
      <c r="E809" s="2" t="n"/>
      <c r="F809" s="12" t="n"/>
      <c r="G809" s="2" t="n"/>
      <c r="H809" s="2" t="n"/>
    </row>
    <row r="810">
      <c r="A810" s="6" t="n"/>
      <c r="B810" s="6" t="n"/>
      <c r="C810" s="6" t="n"/>
      <c r="D810" s="6" t="n"/>
      <c r="E810" s="6" t="n"/>
      <c r="F810" s="14" t="n"/>
      <c r="G810" s="6" t="n"/>
      <c r="H810" s="6" t="n"/>
    </row>
    <row r="811">
      <c r="A811" s="2" t="n"/>
      <c r="B811" s="2" t="n"/>
      <c r="C811" s="2" t="n"/>
      <c r="D811" s="2" t="n"/>
      <c r="E811" s="2" t="n"/>
      <c r="F811" s="12" t="n"/>
      <c r="G811" s="2" t="n"/>
      <c r="H811" s="2" t="n"/>
    </row>
    <row r="812">
      <c r="A812" s="6" t="n"/>
      <c r="B812" s="6" t="n"/>
      <c r="C812" s="6" t="n"/>
      <c r="D812" s="6" t="n"/>
      <c r="E812" s="6" t="n"/>
      <c r="F812" s="14" t="n"/>
      <c r="G812" s="6" t="n"/>
      <c r="H812" s="6" t="n"/>
    </row>
    <row r="813">
      <c r="A813" s="2" t="n"/>
      <c r="B813" s="2" t="n"/>
      <c r="C813" s="2" t="n"/>
      <c r="D813" s="2" t="n"/>
      <c r="E813" s="2" t="n"/>
      <c r="F813" s="12" t="n"/>
      <c r="G813" s="2" t="n"/>
      <c r="H813" s="2" t="n"/>
    </row>
    <row r="814">
      <c r="A814" s="6" t="n"/>
      <c r="B814" s="6" t="n"/>
      <c r="C814" s="6" t="n"/>
      <c r="D814" s="6" t="n"/>
      <c r="E814" s="6" t="n"/>
      <c r="F814" s="14" t="n"/>
      <c r="G814" s="6" t="n"/>
      <c r="H814" s="6" t="n"/>
    </row>
    <row r="815">
      <c r="A815" s="2" t="n"/>
      <c r="B815" s="2" t="n"/>
      <c r="C815" s="2" t="n"/>
      <c r="D815" s="2" t="n"/>
      <c r="E815" s="2" t="n"/>
      <c r="F815" s="12" t="n"/>
      <c r="G815" s="2" t="n"/>
      <c r="H815" s="2" t="n"/>
    </row>
    <row r="816">
      <c r="A816" s="6" t="n"/>
      <c r="B816" s="6" t="n"/>
      <c r="C816" s="6" t="n"/>
      <c r="D816" s="6" t="n"/>
      <c r="E816" s="6" t="n"/>
      <c r="F816" s="14" t="n"/>
      <c r="G816" s="6" t="n"/>
      <c r="H816" s="6" t="n"/>
    </row>
    <row r="817">
      <c r="A817" s="2" t="n"/>
      <c r="B817" s="2" t="n"/>
      <c r="C817" s="2" t="n"/>
      <c r="D817" s="2" t="n"/>
      <c r="E817" s="2" t="n"/>
      <c r="F817" s="12" t="n"/>
      <c r="G817" s="2" t="n"/>
      <c r="H817" s="2" t="n"/>
    </row>
    <row r="818">
      <c r="A818" s="6" t="n"/>
      <c r="B818" s="6" t="n"/>
      <c r="C818" s="6" t="n"/>
      <c r="D818" s="6" t="n"/>
      <c r="E818" s="6" t="n"/>
      <c r="F818" s="14" t="n"/>
      <c r="G818" s="6" t="n"/>
      <c r="H818" s="6" t="n"/>
    </row>
    <row r="819">
      <c r="A819" s="2" t="n"/>
      <c r="B819" s="2" t="n"/>
      <c r="C819" s="2" t="n"/>
      <c r="D819" s="2" t="n"/>
      <c r="E819" s="2" t="n"/>
      <c r="F819" s="12" t="n"/>
      <c r="G819" s="2" t="n"/>
      <c r="H819" s="2" t="n"/>
    </row>
    <row r="820">
      <c r="A820" s="6" t="n"/>
      <c r="B820" s="6" t="n"/>
      <c r="C820" s="6" t="n"/>
      <c r="D820" s="6" t="n"/>
      <c r="E820" s="6" t="n"/>
      <c r="F820" s="14" t="n"/>
      <c r="G820" s="6" t="n"/>
      <c r="H820" s="6" t="n"/>
    </row>
    <row r="821">
      <c r="A821" s="2" t="n"/>
      <c r="B821" s="2" t="n"/>
      <c r="C821" s="2" t="n"/>
      <c r="D821" s="2" t="n"/>
      <c r="E821" s="2" t="n"/>
      <c r="F821" s="12" t="n"/>
      <c r="G821" s="2" t="n"/>
      <c r="H821" s="2" t="n"/>
    </row>
    <row r="822">
      <c r="A822" s="6" t="n"/>
      <c r="B822" s="6" t="n"/>
      <c r="C822" s="6" t="n"/>
      <c r="D822" s="6" t="n"/>
      <c r="E822" s="6" t="n"/>
      <c r="F822" s="14" t="n"/>
      <c r="G822" s="6" t="n"/>
      <c r="H822" s="6" t="n"/>
    </row>
    <row r="823">
      <c r="A823" s="2" t="n"/>
      <c r="B823" s="2" t="n"/>
      <c r="C823" s="2" t="n"/>
      <c r="D823" s="2" t="n"/>
      <c r="E823" s="2" t="n"/>
      <c r="F823" s="12" t="n"/>
      <c r="G823" s="2" t="n"/>
      <c r="H823" s="2" t="n"/>
    </row>
    <row r="824">
      <c r="A824" s="6" t="n"/>
      <c r="B824" s="6" t="n"/>
      <c r="C824" s="6" t="n"/>
      <c r="D824" s="6" t="n"/>
      <c r="E824" s="6" t="n"/>
      <c r="F824" s="14" t="n"/>
      <c r="G824" s="6" t="n"/>
      <c r="H824" s="6" t="n"/>
    </row>
    <row r="825">
      <c r="A825" s="2" t="n"/>
      <c r="B825" s="2" t="n"/>
      <c r="C825" s="2" t="n"/>
      <c r="D825" s="2" t="n"/>
      <c r="E825" s="2" t="n"/>
      <c r="F825" s="12" t="n"/>
      <c r="G825" s="2" t="n"/>
      <c r="H825" s="2" t="n"/>
    </row>
    <row r="826">
      <c r="A826" s="6" t="n"/>
      <c r="B826" s="6" t="n"/>
      <c r="C826" s="6" t="n"/>
      <c r="D826" s="6" t="n"/>
      <c r="E826" s="6" t="n"/>
      <c r="F826" s="14" t="n"/>
      <c r="G826" s="6" t="n"/>
      <c r="H826" s="6" t="n"/>
    </row>
    <row r="827">
      <c r="A827" s="2" t="n"/>
      <c r="B827" s="2" t="n"/>
      <c r="C827" s="2" t="n"/>
      <c r="D827" s="2" t="n"/>
      <c r="E827" s="2" t="n"/>
      <c r="F827" s="12" t="n"/>
      <c r="G827" s="2" t="n"/>
      <c r="H827" s="2" t="n"/>
    </row>
    <row r="828">
      <c r="A828" s="6" t="n"/>
      <c r="B828" s="6" t="n"/>
      <c r="C828" s="6" t="n"/>
      <c r="D828" s="6" t="n"/>
      <c r="E828" s="6" t="n"/>
      <c r="F828" s="14" t="n"/>
      <c r="G828" s="6" t="n"/>
      <c r="H828" s="6" t="n"/>
    </row>
    <row r="829">
      <c r="A829" s="2" t="n"/>
      <c r="B829" s="2" t="n"/>
      <c r="C829" s="2" t="n"/>
      <c r="D829" s="2" t="n"/>
      <c r="E829" s="2" t="n"/>
      <c r="F829" s="12" t="n"/>
      <c r="G829" s="2" t="n"/>
      <c r="H829" s="2" t="n"/>
    </row>
    <row r="830">
      <c r="A830" s="6" t="n"/>
      <c r="B830" s="6" t="n"/>
      <c r="C830" s="6" t="n"/>
      <c r="D830" s="6" t="n"/>
      <c r="E830" s="6" t="n"/>
      <c r="F830" s="14" t="n"/>
      <c r="G830" s="6" t="n"/>
      <c r="H830" s="6" t="n"/>
    </row>
    <row r="831">
      <c r="A831" s="2" t="n"/>
      <c r="B831" s="2" t="n"/>
      <c r="C831" s="2" t="n"/>
      <c r="D831" s="2" t="n"/>
      <c r="E831" s="2" t="n"/>
      <c r="F831" s="12" t="n"/>
      <c r="G831" s="2" t="n"/>
      <c r="H831" s="2" t="n"/>
    </row>
    <row r="832">
      <c r="A832" s="6" t="n"/>
      <c r="B832" s="6" t="n"/>
      <c r="C832" s="6" t="n"/>
      <c r="D832" s="6" t="n"/>
      <c r="E832" s="6" t="n"/>
      <c r="F832" s="14" t="n"/>
      <c r="G832" s="6" t="n"/>
      <c r="H832" s="6" t="n"/>
    </row>
    <row r="833">
      <c r="A833" s="2" t="n"/>
      <c r="B833" s="2" t="n"/>
      <c r="C833" s="2" t="n"/>
      <c r="D833" s="2" t="n"/>
      <c r="E833" s="2" t="n"/>
      <c r="F833" s="12" t="n"/>
      <c r="G833" s="2" t="n"/>
      <c r="H833" s="2" t="n"/>
    </row>
    <row r="834">
      <c r="A834" s="6" t="n"/>
      <c r="B834" s="6" t="n"/>
      <c r="C834" s="6" t="n"/>
      <c r="D834" s="6" t="n"/>
      <c r="E834" s="6" t="n"/>
      <c r="F834" s="14" t="n"/>
      <c r="G834" s="6" t="n"/>
      <c r="H834" s="6" t="n"/>
    </row>
    <row r="835">
      <c r="A835" s="2" t="n"/>
      <c r="B835" s="2" t="n"/>
      <c r="C835" s="2" t="n"/>
      <c r="D835" s="2" t="n"/>
      <c r="E835" s="2" t="n"/>
      <c r="F835" s="12" t="n"/>
      <c r="G835" s="2" t="n"/>
      <c r="H835" s="2" t="n"/>
    </row>
    <row r="836">
      <c r="A836" s="6" t="n"/>
      <c r="B836" s="6" t="n"/>
      <c r="C836" s="6" t="n"/>
      <c r="D836" s="6" t="n"/>
      <c r="E836" s="6" t="n"/>
      <c r="F836" s="14" t="n"/>
      <c r="G836" s="6" t="n"/>
      <c r="H836" s="6" t="n"/>
    </row>
    <row r="837">
      <c r="A837" s="2" t="n"/>
      <c r="B837" s="2" t="n"/>
      <c r="C837" s="2" t="n"/>
      <c r="D837" s="2" t="n"/>
      <c r="E837" s="2" t="n"/>
      <c r="F837" s="12" t="n"/>
      <c r="G837" s="2" t="n"/>
      <c r="H837" s="2" t="n"/>
    </row>
    <row r="838">
      <c r="A838" s="6" t="n"/>
      <c r="B838" s="6" t="n"/>
      <c r="C838" s="6" t="n"/>
      <c r="D838" s="6" t="n"/>
      <c r="E838" s="6" t="n"/>
      <c r="F838" s="14" t="n"/>
      <c r="G838" s="6" t="n"/>
      <c r="H838" s="6" t="n"/>
    </row>
    <row r="839">
      <c r="A839" s="2" t="n"/>
      <c r="B839" s="2" t="n"/>
      <c r="C839" s="2" t="n"/>
      <c r="D839" s="2" t="n"/>
      <c r="E839" s="2" t="n"/>
      <c r="F839" s="12" t="n"/>
      <c r="G839" s="2" t="n"/>
      <c r="H839" s="2" t="n"/>
    </row>
    <row r="840">
      <c r="A840" s="6" t="n"/>
      <c r="B840" s="6" t="n"/>
      <c r="C840" s="6" t="n"/>
      <c r="D840" s="6" t="n"/>
      <c r="E840" s="6" t="n"/>
      <c r="F840" s="14" t="n"/>
      <c r="G840" s="6" t="n"/>
      <c r="H840" s="6" t="n"/>
    </row>
    <row r="841">
      <c r="A841" s="2" t="n"/>
      <c r="B841" s="2" t="n"/>
      <c r="C841" s="2" t="n"/>
      <c r="D841" s="2" t="n"/>
      <c r="E841" s="2" t="n"/>
      <c r="F841" s="12" t="n"/>
      <c r="G841" s="2" t="n"/>
      <c r="H841" s="2" t="n"/>
    </row>
    <row r="842">
      <c r="A842" s="6" t="n"/>
      <c r="B842" s="6" t="n"/>
      <c r="C842" s="6" t="n"/>
      <c r="D842" s="6" t="n"/>
      <c r="E842" s="6" t="n"/>
      <c r="F842" s="14" t="n"/>
      <c r="G842" s="6" t="n"/>
      <c r="H842" s="6" t="n"/>
    </row>
    <row r="843">
      <c r="A843" s="2" t="n"/>
      <c r="B843" s="2" t="n"/>
      <c r="C843" s="2" t="n"/>
      <c r="D843" s="2" t="n"/>
      <c r="E843" s="2" t="n"/>
      <c r="F843" s="12" t="n"/>
      <c r="G843" s="2" t="n"/>
      <c r="H843" s="2" t="n"/>
    </row>
    <row r="844">
      <c r="A844" s="6" t="n"/>
      <c r="B844" s="6" t="n"/>
      <c r="C844" s="6" t="n"/>
      <c r="D844" s="6" t="n"/>
      <c r="E844" s="6" t="n"/>
      <c r="F844" s="14" t="n"/>
      <c r="G844" s="6" t="n"/>
      <c r="H844" s="6" t="n"/>
    </row>
    <row r="845">
      <c r="A845" s="2" t="n"/>
      <c r="B845" s="2" t="n"/>
      <c r="C845" s="2" t="n"/>
      <c r="D845" s="2" t="n"/>
      <c r="E845" s="2" t="n"/>
      <c r="F845" s="12" t="n"/>
      <c r="G845" s="2" t="n"/>
      <c r="H845" s="2" t="n"/>
    </row>
    <row r="846">
      <c r="A846" s="6" t="n"/>
      <c r="B846" s="6" t="n"/>
      <c r="C846" s="6" t="n"/>
      <c r="D846" s="6" t="n"/>
      <c r="E846" s="6" t="n"/>
      <c r="F846" s="14" t="n"/>
      <c r="G846" s="6" t="n"/>
      <c r="H846" s="6" t="n"/>
    </row>
    <row r="847">
      <c r="A847" s="2" t="n"/>
      <c r="B847" s="2" t="n"/>
      <c r="C847" s="2" t="n"/>
      <c r="D847" s="2" t="n"/>
      <c r="E847" s="2" t="n"/>
      <c r="F847" s="12" t="n"/>
      <c r="G847" s="2" t="n"/>
      <c r="H847" s="2" t="n"/>
    </row>
    <row r="848">
      <c r="A848" s="6" t="n"/>
      <c r="B848" s="6" t="n"/>
      <c r="C848" s="6" t="n"/>
      <c r="D848" s="6" t="n"/>
      <c r="E848" s="6" t="n"/>
      <c r="F848" s="14" t="n"/>
      <c r="G848" s="6" t="n"/>
      <c r="H848" s="6" t="n"/>
    </row>
    <row r="849">
      <c r="A849" s="2" t="n"/>
      <c r="B849" s="2" t="n"/>
      <c r="C849" s="2" t="n"/>
      <c r="D849" s="2" t="n"/>
      <c r="E849" s="2" t="n"/>
      <c r="F849" s="12" t="n"/>
      <c r="G849" s="2" t="n"/>
      <c r="H849" s="2" t="n"/>
    </row>
    <row r="850">
      <c r="A850" s="6" t="n"/>
      <c r="B850" s="6" t="n"/>
      <c r="C850" s="6" t="n"/>
      <c r="D850" s="6" t="n"/>
      <c r="E850" s="6" t="n"/>
      <c r="F850" s="14" t="n"/>
      <c r="G850" s="6" t="n"/>
      <c r="H850" s="6" t="n"/>
    </row>
    <row r="851">
      <c r="A851" s="2" t="n"/>
      <c r="B851" s="2" t="n"/>
      <c r="C851" s="2" t="n"/>
      <c r="D851" s="2" t="n"/>
      <c r="E851" s="2" t="n"/>
      <c r="F851" s="12" t="n"/>
      <c r="G851" s="2" t="n"/>
      <c r="H851" s="2" t="n"/>
    </row>
    <row r="852">
      <c r="A852" s="6" t="n"/>
      <c r="B852" s="6" t="n"/>
      <c r="C852" s="6" t="n"/>
      <c r="D852" s="6" t="n"/>
      <c r="E852" s="6" t="n"/>
      <c r="F852" s="14" t="n"/>
      <c r="G852" s="6" t="n"/>
      <c r="H852" s="6" t="n"/>
    </row>
    <row r="853">
      <c r="A853" s="2" t="n"/>
      <c r="B853" s="2" t="n"/>
      <c r="C853" s="2" t="n"/>
      <c r="D853" s="2" t="n"/>
      <c r="E853" s="2" t="n"/>
      <c r="F853" s="12" t="n"/>
      <c r="G853" s="2" t="n"/>
      <c r="H853" s="2" t="n"/>
    </row>
    <row r="854">
      <c r="A854" s="6" t="n"/>
      <c r="B854" s="6" t="n"/>
      <c r="C854" s="6" t="n"/>
      <c r="D854" s="6" t="n"/>
      <c r="E854" s="6" t="n"/>
      <c r="F854" s="14" t="n"/>
      <c r="G854" s="6" t="n"/>
      <c r="H854" s="6" t="n"/>
    </row>
    <row r="855">
      <c r="A855" s="2" t="n"/>
      <c r="B855" s="2" t="n"/>
      <c r="C855" s="2" t="n"/>
      <c r="D855" s="2" t="n"/>
      <c r="E855" s="2" t="n"/>
      <c r="F855" s="12" t="n"/>
      <c r="G855" s="2" t="n"/>
      <c r="H855" s="2" t="n"/>
    </row>
    <row r="856">
      <c r="A856" s="6" t="n"/>
      <c r="B856" s="6" t="n"/>
      <c r="C856" s="6" t="n"/>
      <c r="D856" s="6" t="n"/>
      <c r="E856" s="6" t="n"/>
      <c r="F856" s="14" t="n"/>
      <c r="G856" s="6" t="n"/>
      <c r="H856" s="6" t="n"/>
    </row>
    <row r="857">
      <c r="A857" s="2" t="n"/>
      <c r="B857" s="2" t="n"/>
      <c r="C857" s="2" t="n"/>
      <c r="D857" s="2" t="n"/>
      <c r="E857" s="2" t="n"/>
      <c r="F857" s="12" t="n"/>
      <c r="G857" s="2" t="n"/>
      <c r="H857" s="2" t="n"/>
    </row>
    <row r="858">
      <c r="A858" s="6" t="n"/>
      <c r="B858" s="6" t="n"/>
      <c r="C858" s="6" t="n"/>
      <c r="D858" s="6" t="n"/>
      <c r="E858" s="6" t="n"/>
      <c r="F858" s="14" t="n"/>
      <c r="G858" s="6" t="n"/>
      <c r="H858" s="6" t="n"/>
    </row>
    <row r="859">
      <c r="A859" s="2" t="n"/>
      <c r="B859" s="2" t="n"/>
      <c r="C859" s="2" t="n"/>
      <c r="D859" s="2" t="n"/>
      <c r="E859" s="2" t="n"/>
      <c r="F859" s="12" t="n"/>
      <c r="G859" s="2" t="n"/>
      <c r="H859" s="2" t="n"/>
    </row>
    <row r="860">
      <c r="A860" s="6" t="n"/>
      <c r="B860" s="6" t="n"/>
      <c r="C860" s="6" t="n"/>
      <c r="D860" s="6" t="n"/>
      <c r="E860" s="6" t="n"/>
      <c r="F860" s="14" t="n"/>
      <c r="G860" s="6" t="n"/>
      <c r="H860" s="6" t="n"/>
    </row>
    <row r="861">
      <c r="A861" s="2" t="n"/>
      <c r="B861" s="2" t="n"/>
      <c r="C861" s="2" t="n"/>
      <c r="D861" s="2" t="n"/>
      <c r="E861" s="2" t="n"/>
      <c r="F861" s="12" t="n"/>
      <c r="G861" s="2" t="n"/>
      <c r="H861" s="2" t="n"/>
    </row>
    <row r="862">
      <c r="A862" s="6" t="n"/>
      <c r="B862" s="6" t="n"/>
      <c r="C862" s="6" t="n"/>
      <c r="D862" s="6" t="n"/>
      <c r="E862" s="6" t="n"/>
      <c r="F862" s="14" t="n"/>
      <c r="G862" s="6" t="n"/>
      <c r="H862" s="6" t="n"/>
    </row>
    <row r="863">
      <c r="A863" s="2" t="n"/>
      <c r="B863" s="2" t="n"/>
      <c r="C863" s="2" t="n"/>
      <c r="D863" s="2" t="n"/>
      <c r="E863" s="2" t="n"/>
      <c r="F863" s="12" t="n"/>
      <c r="G863" s="2" t="n"/>
      <c r="H863" s="2" t="n"/>
    </row>
    <row r="864">
      <c r="A864" s="6" t="n"/>
      <c r="B864" s="6" t="n"/>
      <c r="C864" s="6" t="n"/>
      <c r="D864" s="6" t="n"/>
      <c r="E864" s="6" t="n"/>
      <c r="F864" s="14" t="n"/>
      <c r="G864" s="6" t="n"/>
      <c r="H864" s="6" t="n"/>
    </row>
    <row r="865">
      <c r="A865" s="2" t="n"/>
      <c r="B865" s="2" t="n"/>
      <c r="C865" s="2" t="n"/>
      <c r="D865" s="2" t="n"/>
      <c r="E865" s="2" t="n"/>
      <c r="F865" s="12" t="n"/>
      <c r="G865" s="2" t="n"/>
      <c r="H865" s="2" t="n"/>
    </row>
    <row r="866">
      <c r="A866" s="6" t="n"/>
      <c r="B866" s="6" t="n"/>
      <c r="C866" s="6" t="n"/>
      <c r="D866" s="6" t="n"/>
      <c r="E866" s="6" t="n"/>
      <c r="F866" s="14" t="n"/>
      <c r="G866" s="6" t="n"/>
      <c r="H866" s="6" t="n"/>
    </row>
    <row r="867">
      <c r="A867" s="2" t="n"/>
      <c r="B867" s="2" t="n"/>
      <c r="C867" s="2" t="n"/>
      <c r="D867" s="2" t="n"/>
      <c r="E867" s="2" t="n"/>
      <c r="F867" s="12" t="n"/>
      <c r="G867" s="2" t="n"/>
      <c r="H867" s="2" t="n"/>
    </row>
    <row r="868">
      <c r="A868" s="6" t="n"/>
      <c r="B868" s="6" t="n"/>
      <c r="C868" s="6" t="n"/>
      <c r="D868" s="6" t="n"/>
      <c r="E868" s="6" t="n"/>
      <c r="F868" s="14" t="n"/>
      <c r="G868" s="6" t="n"/>
      <c r="H868" s="6" t="n"/>
    </row>
    <row r="869">
      <c r="A869" s="2" t="n"/>
      <c r="B869" s="2" t="n"/>
      <c r="C869" s="2" t="n"/>
      <c r="D869" s="2" t="n"/>
      <c r="E869" s="2" t="n"/>
      <c r="F869" s="12" t="n"/>
      <c r="G869" s="2" t="n"/>
      <c r="H869" s="2" t="n"/>
    </row>
    <row r="870">
      <c r="A870" s="6" t="n"/>
      <c r="B870" s="6" t="n"/>
      <c r="C870" s="6" t="n"/>
      <c r="D870" s="6" t="n"/>
      <c r="E870" s="6" t="n"/>
      <c r="F870" s="14" t="n"/>
      <c r="G870" s="6" t="n"/>
      <c r="H870" s="6" t="n"/>
    </row>
    <row r="871">
      <c r="A871" s="2" t="n"/>
      <c r="B871" s="2" t="n"/>
      <c r="C871" s="2" t="n"/>
      <c r="D871" s="2" t="n"/>
      <c r="E871" s="2" t="n"/>
      <c r="F871" s="12" t="n"/>
      <c r="G871" s="2" t="n"/>
      <c r="H871" s="2" t="n"/>
    </row>
    <row r="872">
      <c r="A872" s="6" t="n"/>
      <c r="B872" s="6" t="n"/>
      <c r="C872" s="6" t="n"/>
      <c r="D872" s="6" t="n"/>
      <c r="E872" s="6" t="n"/>
      <c r="F872" s="14" t="n"/>
      <c r="G872" s="6" t="n"/>
      <c r="H872" s="6" t="n"/>
    </row>
    <row r="873">
      <c r="A873" s="2" t="n"/>
      <c r="B873" s="2" t="n"/>
      <c r="C873" s="2" t="n"/>
      <c r="D873" s="2" t="n"/>
      <c r="E873" s="2" t="n"/>
      <c r="F873" s="12" t="n"/>
      <c r="G873" s="2" t="n"/>
      <c r="H873" s="2" t="n"/>
    </row>
    <row r="874">
      <c r="A874" s="6" t="n"/>
      <c r="B874" s="6" t="n"/>
      <c r="C874" s="6" t="n"/>
      <c r="D874" s="6" t="n"/>
      <c r="E874" s="6" t="n"/>
      <c r="F874" s="14" t="n"/>
      <c r="G874" s="6" t="n"/>
      <c r="H874" s="6" t="n"/>
    </row>
    <row r="875">
      <c r="A875" s="2" t="n"/>
      <c r="B875" s="2" t="n"/>
      <c r="C875" s="2" t="n"/>
      <c r="D875" s="2" t="n"/>
      <c r="E875" s="2" t="n"/>
      <c r="F875" s="12" t="n"/>
      <c r="G875" s="2" t="n"/>
      <c r="H875" s="2" t="n"/>
    </row>
    <row r="876">
      <c r="A876" s="6" t="n"/>
      <c r="B876" s="6" t="n"/>
      <c r="C876" s="6" t="n"/>
      <c r="D876" s="6" t="n"/>
      <c r="E876" s="6" t="n"/>
      <c r="F876" s="14" t="n"/>
      <c r="G876" s="6" t="n"/>
      <c r="H876" s="6" t="n"/>
    </row>
    <row r="877">
      <c r="A877" s="2" t="n"/>
      <c r="B877" s="2" t="n"/>
      <c r="C877" s="2" t="n"/>
      <c r="D877" s="2" t="n"/>
      <c r="E877" s="2" t="n"/>
      <c r="F877" s="12" t="n"/>
      <c r="G877" s="2" t="n"/>
      <c r="H877" s="2" t="n"/>
    </row>
    <row r="878">
      <c r="A878" s="6" t="n"/>
      <c r="B878" s="6" t="n"/>
      <c r="C878" s="6" t="n"/>
      <c r="D878" s="6" t="n"/>
      <c r="E878" s="6" t="n"/>
      <c r="F878" s="14" t="n"/>
      <c r="G878" s="6" t="n"/>
      <c r="H878" s="6" t="n"/>
    </row>
    <row r="879">
      <c r="A879" s="2" t="n"/>
      <c r="B879" s="2" t="n"/>
      <c r="C879" s="2" t="n"/>
      <c r="D879" s="2" t="n"/>
      <c r="E879" s="2" t="n"/>
      <c r="F879" s="12" t="n"/>
      <c r="G879" s="2" t="n"/>
      <c r="H879" s="2" t="n"/>
    </row>
    <row r="880">
      <c r="A880" s="6" t="n"/>
      <c r="B880" s="6" t="n"/>
      <c r="C880" s="6" t="n"/>
      <c r="D880" s="6" t="n"/>
      <c r="E880" s="6" t="n"/>
      <c r="F880" s="14" t="n"/>
      <c r="G880" s="6" t="n"/>
      <c r="H880" s="6" t="n"/>
    </row>
    <row r="881">
      <c r="A881" s="2" t="n"/>
      <c r="B881" s="2" t="n"/>
      <c r="C881" s="2" t="n"/>
      <c r="D881" s="2" t="n"/>
      <c r="E881" s="2" t="n"/>
      <c r="F881" s="12" t="n"/>
      <c r="G881" s="2" t="n"/>
      <c r="H881" s="2" t="n"/>
    </row>
    <row r="882">
      <c r="A882" s="6" t="n"/>
      <c r="B882" s="6" t="n"/>
      <c r="C882" s="6" t="n"/>
      <c r="D882" s="6" t="n"/>
      <c r="E882" s="6" t="n"/>
      <c r="F882" s="14" t="n"/>
      <c r="G882" s="6" t="n"/>
      <c r="H882" s="6" t="n"/>
    </row>
    <row r="883">
      <c r="A883" s="2" t="n"/>
      <c r="B883" s="2" t="n"/>
      <c r="C883" s="2" t="n"/>
      <c r="D883" s="2" t="n"/>
      <c r="E883" s="2" t="n"/>
      <c r="F883" s="12" t="n"/>
      <c r="G883" s="2" t="n"/>
      <c r="H883" s="2" t="n"/>
    </row>
    <row r="884">
      <c r="A884" s="6" t="n"/>
      <c r="B884" s="6" t="n"/>
      <c r="C884" s="6" t="n"/>
      <c r="D884" s="6" t="n"/>
      <c r="E884" s="6" t="n"/>
      <c r="F884" s="14" t="n"/>
      <c r="G884" s="6" t="n"/>
      <c r="H884" s="6" t="n"/>
    </row>
    <row r="885">
      <c r="A885" s="2" t="n"/>
      <c r="B885" s="2" t="n"/>
      <c r="C885" s="2" t="n"/>
      <c r="D885" s="2" t="n"/>
      <c r="E885" s="2" t="n"/>
      <c r="F885" s="12" t="n"/>
      <c r="G885" s="2" t="n"/>
      <c r="H885" s="2" t="n"/>
    </row>
    <row r="886">
      <c r="A886" s="6" t="n"/>
      <c r="B886" s="6" t="n"/>
      <c r="C886" s="6" t="n"/>
      <c r="D886" s="6" t="n"/>
      <c r="E886" s="6" t="n"/>
      <c r="F886" s="14" t="n"/>
      <c r="G886" s="6" t="n"/>
      <c r="H886" s="6" t="n"/>
    </row>
    <row r="887">
      <c r="A887" s="2" t="n"/>
      <c r="B887" s="2" t="n"/>
      <c r="C887" s="2" t="n"/>
      <c r="D887" s="2" t="n"/>
      <c r="E887" s="2" t="n"/>
      <c r="F887" s="12" t="n"/>
      <c r="G887" s="2" t="n"/>
      <c r="H887" s="2" t="n"/>
    </row>
    <row r="888">
      <c r="A888" s="6" t="n"/>
      <c r="B888" s="6" t="n"/>
      <c r="C888" s="6" t="n"/>
      <c r="D888" s="6" t="n"/>
      <c r="E888" s="6" t="n"/>
      <c r="F888" s="14" t="n"/>
      <c r="G888" s="6" t="n"/>
      <c r="H888" s="6" t="n"/>
    </row>
    <row r="889">
      <c r="A889" s="2" t="n"/>
      <c r="B889" s="2" t="n"/>
      <c r="C889" s="2" t="n"/>
      <c r="D889" s="2" t="n"/>
      <c r="E889" s="2" t="n"/>
      <c r="F889" s="12" t="n"/>
      <c r="G889" s="2" t="n"/>
      <c r="H889" s="2" t="n"/>
    </row>
    <row r="890">
      <c r="A890" s="6" t="n"/>
      <c r="B890" s="6" t="n"/>
      <c r="C890" s="6" t="n"/>
      <c r="D890" s="6" t="n"/>
      <c r="E890" s="6" t="n"/>
      <c r="F890" s="14" t="n"/>
      <c r="G890" s="6" t="n"/>
      <c r="H890" s="6" t="n"/>
    </row>
    <row r="891">
      <c r="A891" s="2" t="n"/>
      <c r="B891" s="2" t="n"/>
      <c r="C891" s="2" t="n"/>
      <c r="D891" s="2" t="n"/>
      <c r="E891" s="2" t="n"/>
      <c r="F891" s="12" t="n"/>
      <c r="G891" s="2" t="n"/>
      <c r="H891" s="2" t="n"/>
    </row>
    <row r="892">
      <c r="A892" s="6" t="n"/>
      <c r="B892" s="6" t="n"/>
      <c r="C892" s="6" t="n"/>
      <c r="D892" s="6" t="n"/>
      <c r="E892" s="6" t="n"/>
      <c r="F892" s="14" t="n"/>
      <c r="G892" s="6" t="n"/>
      <c r="H892" s="6" t="n"/>
    </row>
    <row r="893">
      <c r="A893" s="2" t="n"/>
      <c r="B893" s="2" t="n"/>
      <c r="C893" s="2" t="n"/>
      <c r="D893" s="2" t="n"/>
      <c r="E893" s="2" t="n"/>
      <c r="F893" s="12" t="n"/>
      <c r="G893" s="2" t="n"/>
      <c r="H893" s="2" t="n"/>
    </row>
    <row r="894">
      <c r="A894" s="6" t="n"/>
      <c r="B894" s="6" t="n"/>
      <c r="C894" s="6" t="n"/>
      <c r="D894" s="6" t="n"/>
      <c r="E894" s="6" t="n"/>
      <c r="F894" s="14" t="n"/>
      <c r="G894" s="6" t="n"/>
      <c r="H894" s="6" t="n"/>
    </row>
    <row r="895">
      <c r="A895" s="2" t="n"/>
      <c r="B895" s="2" t="n"/>
      <c r="C895" s="2" t="n"/>
      <c r="D895" s="2" t="n"/>
      <c r="E895" s="2" t="n"/>
      <c r="F895" s="12" t="n"/>
      <c r="G895" s="2" t="n"/>
      <c r="H895" s="2" t="n"/>
    </row>
    <row r="896">
      <c r="A896" s="6" t="n"/>
      <c r="B896" s="6" t="n"/>
      <c r="C896" s="6" t="n"/>
      <c r="D896" s="6" t="n"/>
      <c r="E896" s="6" t="n"/>
      <c r="F896" s="14" t="n"/>
      <c r="G896" s="6" t="n"/>
      <c r="H896" s="6" t="n"/>
    </row>
    <row r="897">
      <c r="A897" s="2" t="n"/>
      <c r="B897" s="2" t="n"/>
      <c r="C897" s="2" t="n"/>
      <c r="D897" s="2" t="n"/>
      <c r="E897" s="2" t="n"/>
      <c r="F897" s="12" t="n"/>
      <c r="G897" s="2" t="n"/>
      <c r="H897" s="2" t="n"/>
    </row>
    <row r="898">
      <c r="A898" s="6" t="n"/>
      <c r="B898" s="6" t="n"/>
      <c r="C898" s="6" t="n"/>
      <c r="D898" s="6" t="n"/>
      <c r="E898" s="6" t="n"/>
      <c r="F898" s="14" t="n"/>
      <c r="G898" s="6" t="n"/>
      <c r="H898" s="6" t="n"/>
    </row>
    <row r="899">
      <c r="A899" s="2" t="n"/>
      <c r="B899" s="2" t="n"/>
      <c r="C899" s="2" t="n"/>
      <c r="D899" s="2" t="n"/>
      <c r="E899" s="2" t="n"/>
      <c r="F899" s="12" t="n"/>
      <c r="G899" s="2" t="n"/>
      <c r="H899" s="2" t="n"/>
    </row>
    <row r="900">
      <c r="A900" s="6" t="n"/>
      <c r="B900" s="6" t="n"/>
      <c r="C900" s="6" t="n"/>
      <c r="D900" s="6" t="n"/>
      <c r="E900" s="6" t="n"/>
      <c r="F900" s="14" t="n"/>
      <c r="G900" s="6" t="n"/>
      <c r="H900" s="6" t="n"/>
    </row>
    <row r="901">
      <c r="A901" s="2" t="n"/>
      <c r="B901" s="2" t="n"/>
      <c r="C901" s="2" t="n"/>
      <c r="D901" s="2" t="n"/>
      <c r="E901" s="2" t="n"/>
      <c r="F901" s="12" t="n"/>
      <c r="G901" s="2" t="n"/>
      <c r="H901" s="2" t="n"/>
    </row>
    <row r="902">
      <c r="A902" s="6" t="n"/>
      <c r="B902" s="6" t="n"/>
      <c r="C902" s="6" t="n"/>
      <c r="D902" s="6" t="n"/>
      <c r="E902" s="6" t="n"/>
      <c r="F902" s="14" t="n"/>
      <c r="G902" s="6" t="n"/>
      <c r="H902" s="6" t="n"/>
    </row>
    <row r="903">
      <c r="A903" s="2" t="n"/>
      <c r="B903" s="2" t="n"/>
      <c r="C903" s="2" t="n"/>
      <c r="D903" s="2" t="n"/>
      <c r="E903" s="2" t="n"/>
      <c r="F903" s="12" t="n"/>
      <c r="G903" s="2" t="n"/>
      <c r="H903" s="2" t="n"/>
    </row>
    <row r="904">
      <c r="A904" s="6" t="n"/>
      <c r="B904" s="6" t="n"/>
      <c r="C904" s="6" t="n"/>
      <c r="D904" s="6" t="n"/>
      <c r="E904" s="6" t="n"/>
      <c r="F904" s="14" t="n"/>
      <c r="G904" s="6" t="n"/>
      <c r="H904" s="6" t="n"/>
    </row>
    <row r="905">
      <c r="A905" s="2" t="n"/>
      <c r="B905" s="2" t="n"/>
      <c r="C905" s="2" t="n"/>
      <c r="D905" s="2" t="n"/>
      <c r="E905" s="2" t="n"/>
      <c r="F905" s="12" t="n"/>
      <c r="G905" s="2" t="n"/>
      <c r="H905" s="2" t="n"/>
    </row>
    <row r="906">
      <c r="A906" s="6" t="n"/>
      <c r="B906" s="6" t="n"/>
      <c r="C906" s="6" t="n"/>
      <c r="D906" s="6" t="n"/>
      <c r="E906" s="6" t="n"/>
      <c r="F906" s="14" t="n"/>
      <c r="G906" s="6" t="n"/>
      <c r="H906" s="6" t="n"/>
    </row>
    <row r="907">
      <c r="A907" s="2" t="n"/>
      <c r="B907" s="2" t="n"/>
      <c r="C907" s="2" t="n"/>
      <c r="D907" s="2" t="n"/>
      <c r="E907" s="2" t="n"/>
      <c r="F907" s="12" t="n"/>
      <c r="G907" s="2" t="n"/>
      <c r="H907" s="2" t="n"/>
    </row>
    <row r="908">
      <c r="A908" s="6" t="n"/>
      <c r="B908" s="6" t="n"/>
      <c r="C908" s="6" t="n"/>
      <c r="D908" s="6" t="n"/>
      <c r="E908" s="6" t="n"/>
      <c r="F908" s="14" t="n"/>
      <c r="G908" s="6" t="n"/>
      <c r="H908" s="6" t="n"/>
    </row>
    <row r="909">
      <c r="A909" s="2" t="n"/>
      <c r="B909" s="2" t="n"/>
      <c r="C909" s="2" t="n"/>
      <c r="D909" s="2" t="n"/>
      <c r="E909" s="2" t="n"/>
      <c r="F909" s="12" t="n"/>
      <c r="G909" s="2" t="n"/>
      <c r="H909" s="2" t="n"/>
    </row>
    <row r="910">
      <c r="A910" s="6" t="n"/>
      <c r="B910" s="6" t="n"/>
      <c r="C910" s="6" t="n"/>
      <c r="D910" s="6" t="n"/>
      <c r="E910" s="6" t="n"/>
      <c r="F910" s="14" t="n"/>
      <c r="G910" s="6" t="n"/>
      <c r="H910" s="6" t="n"/>
    </row>
    <row r="911">
      <c r="A911" s="2" t="n"/>
      <c r="B911" s="2" t="n"/>
      <c r="C911" s="2" t="n"/>
      <c r="D911" s="2" t="n"/>
      <c r="E911" s="2" t="n"/>
      <c r="F911" s="12" t="n"/>
      <c r="G911" s="2" t="n"/>
      <c r="H911" s="2" t="n"/>
    </row>
    <row r="912">
      <c r="A912" s="6" t="n"/>
      <c r="B912" s="6" t="n"/>
      <c r="C912" s="6" t="n"/>
      <c r="D912" s="6" t="n"/>
      <c r="E912" s="6" t="n"/>
      <c r="F912" s="14" t="n"/>
      <c r="G912" s="6" t="n"/>
      <c r="H912" s="6" t="n"/>
    </row>
    <row r="913">
      <c r="A913" s="2" t="n"/>
      <c r="B913" s="2" t="n"/>
      <c r="C913" s="2" t="n"/>
      <c r="D913" s="2" t="n"/>
      <c r="E913" s="2" t="n"/>
      <c r="F913" s="12" t="n"/>
      <c r="G913" s="2" t="n"/>
      <c r="H913" s="2" t="n"/>
    </row>
    <row r="914">
      <c r="A914" s="6" t="n"/>
      <c r="B914" s="6" t="n"/>
      <c r="C914" s="6" t="n"/>
      <c r="D914" s="6" t="n"/>
      <c r="E914" s="6" t="n"/>
      <c r="F914" s="14" t="n"/>
      <c r="G914" s="6" t="n"/>
      <c r="H914" s="6" t="n"/>
    </row>
    <row r="915">
      <c r="A915" s="2" t="n"/>
      <c r="B915" s="2" t="n"/>
      <c r="C915" s="2" t="n"/>
      <c r="D915" s="2" t="n"/>
      <c r="E915" s="2" t="n"/>
      <c r="F915" s="12" t="n"/>
      <c r="G915" s="2" t="n"/>
      <c r="H915" s="2" t="n"/>
    </row>
    <row r="916">
      <c r="A916" s="6" t="n"/>
      <c r="B916" s="6" t="n"/>
      <c r="C916" s="6" t="n"/>
      <c r="D916" s="6" t="n"/>
      <c r="E916" s="6" t="n"/>
      <c r="F916" s="14" t="n"/>
      <c r="G916" s="6" t="n"/>
      <c r="H916" s="6" t="n"/>
    </row>
    <row r="917">
      <c r="A917" s="2" t="n"/>
      <c r="B917" s="2" t="n"/>
      <c r="C917" s="2" t="n"/>
      <c r="D917" s="2" t="n"/>
      <c r="E917" s="2" t="n"/>
      <c r="F917" s="12" t="n"/>
      <c r="G917" s="2" t="n"/>
      <c r="H917" s="2" t="n"/>
    </row>
    <row r="918">
      <c r="A918" s="6" t="n"/>
      <c r="B918" s="6" t="n"/>
      <c r="C918" s="6" t="n"/>
      <c r="D918" s="6" t="n"/>
      <c r="E918" s="6" t="n"/>
      <c r="F918" s="14" t="n"/>
      <c r="G918" s="6" t="n"/>
      <c r="H918" s="6" t="n"/>
    </row>
    <row r="919">
      <c r="A919" s="2" t="n"/>
      <c r="B919" s="2" t="n"/>
      <c r="C919" s="2" t="n"/>
      <c r="D919" s="2" t="n"/>
      <c r="E919" s="2" t="n"/>
      <c r="F919" s="12" t="n"/>
      <c r="G919" s="2" t="n"/>
      <c r="H919" s="2" t="n"/>
    </row>
    <row r="920">
      <c r="A920" s="6" t="n"/>
      <c r="B920" s="6" t="n"/>
      <c r="C920" s="6" t="n"/>
      <c r="D920" s="6" t="n"/>
      <c r="E920" s="6" t="n"/>
      <c r="F920" s="14" t="n"/>
      <c r="G920" s="6" t="n"/>
      <c r="H920" s="6" t="n"/>
    </row>
    <row r="921">
      <c r="A921" s="2" t="n"/>
      <c r="B921" s="2" t="n"/>
      <c r="C921" s="2" t="n"/>
      <c r="D921" s="2" t="n"/>
      <c r="E921" s="2" t="n"/>
      <c r="F921" s="12" t="n"/>
      <c r="G921" s="2" t="n"/>
      <c r="H921" s="2" t="n"/>
    </row>
    <row r="922">
      <c r="A922" s="6" t="n"/>
      <c r="B922" s="6" t="n"/>
      <c r="C922" s="6" t="n"/>
      <c r="D922" s="6" t="n"/>
      <c r="E922" s="6" t="n"/>
      <c r="F922" s="14" t="n"/>
      <c r="G922" s="6" t="n"/>
      <c r="H922" s="6" t="n"/>
    </row>
    <row r="923">
      <c r="A923" s="2" t="n"/>
      <c r="B923" s="2" t="n"/>
      <c r="C923" s="2" t="n"/>
      <c r="D923" s="2" t="n"/>
      <c r="E923" s="2" t="n"/>
      <c r="F923" s="12" t="n"/>
      <c r="G923" s="2" t="n"/>
      <c r="H923" s="2" t="n"/>
    </row>
    <row r="924">
      <c r="A924" s="6" t="n"/>
      <c r="B924" s="6" t="n"/>
      <c r="C924" s="6" t="n"/>
      <c r="D924" s="6" t="n"/>
      <c r="E924" s="6" t="n"/>
      <c r="F924" s="14" t="n"/>
      <c r="G924" s="6" t="n"/>
      <c r="H924" s="6" t="n"/>
    </row>
    <row r="925">
      <c r="A925" s="2" t="n"/>
      <c r="B925" s="2" t="n"/>
      <c r="C925" s="2" t="n"/>
      <c r="D925" s="2" t="n"/>
      <c r="E925" s="2" t="n"/>
      <c r="F925" s="12" t="n"/>
      <c r="G925" s="2" t="n"/>
      <c r="H925" s="2" t="n"/>
    </row>
    <row r="926">
      <c r="A926" s="6" t="n"/>
      <c r="B926" s="6" t="n"/>
      <c r="C926" s="6" t="n"/>
      <c r="D926" s="6" t="n"/>
      <c r="E926" s="6" t="n"/>
      <c r="F926" s="14" t="n"/>
      <c r="G926" s="6" t="n"/>
      <c r="H926" s="6" t="n"/>
    </row>
    <row r="927">
      <c r="A927" s="2" t="n"/>
      <c r="B927" s="2" t="n"/>
      <c r="C927" s="2" t="n"/>
      <c r="D927" s="2" t="n"/>
      <c r="E927" s="2" t="n"/>
      <c r="F927" s="12" t="n"/>
      <c r="G927" s="2" t="n"/>
      <c r="H927" s="2" t="n"/>
    </row>
    <row r="928">
      <c r="A928" s="6" t="n"/>
      <c r="B928" s="6" t="n"/>
      <c r="C928" s="6" t="n"/>
      <c r="D928" s="6" t="n"/>
      <c r="E928" s="6" t="n"/>
      <c r="F928" s="14" t="n"/>
      <c r="G928" s="6" t="n"/>
      <c r="H928" s="6" t="n"/>
    </row>
    <row r="929">
      <c r="A929" s="2" t="n"/>
      <c r="B929" s="2" t="n"/>
      <c r="C929" s="2" t="n"/>
      <c r="D929" s="2" t="n"/>
      <c r="E929" s="2" t="n"/>
      <c r="F929" s="12" t="n"/>
      <c r="G929" s="2" t="n"/>
      <c r="H929" s="2" t="n"/>
    </row>
    <row r="930">
      <c r="A930" s="6" t="n"/>
      <c r="B930" s="6" t="n"/>
      <c r="C930" s="6" t="n"/>
      <c r="D930" s="6" t="n"/>
      <c r="E930" s="6" t="n"/>
      <c r="F930" s="14" t="n"/>
      <c r="G930" s="6" t="n"/>
      <c r="H930" s="6" t="n"/>
    </row>
    <row r="931">
      <c r="A931" s="2" t="n"/>
      <c r="B931" s="2" t="n"/>
      <c r="C931" s="2" t="n"/>
      <c r="D931" s="2" t="n"/>
      <c r="E931" s="2" t="n"/>
      <c r="F931" s="12" t="n"/>
      <c r="G931" s="2" t="n"/>
      <c r="H931" s="2" t="n"/>
    </row>
    <row r="932">
      <c r="A932" s="6" t="n"/>
      <c r="B932" s="6" t="n"/>
      <c r="C932" s="6" t="n"/>
      <c r="D932" s="6" t="n"/>
      <c r="E932" s="6" t="n"/>
      <c r="F932" s="14" t="n"/>
      <c r="G932" s="6" t="n"/>
      <c r="H932" s="6" t="n"/>
    </row>
    <row r="933">
      <c r="A933" s="2" t="n"/>
      <c r="B933" s="2" t="n"/>
      <c r="C933" s="2" t="n"/>
      <c r="D933" s="2" t="n"/>
      <c r="E933" s="2" t="n"/>
      <c r="F933" s="12" t="n"/>
      <c r="G933" s="2" t="n"/>
      <c r="H933" s="2" t="n"/>
    </row>
    <row r="934">
      <c r="A934" s="6" t="n"/>
      <c r="B934" s="6" t="n"/>
      <c r="C934" s="6" t="n"/>
      <c r="D934" s="6" t="n"/>
      <c r="E934" s="6" t="n"/>
      <c r="F934" s="14" t="n"/>
      <c r="G934" s="6" t="n"/>
      <c r="H934" s="6" t="n"/>
    </row>
    <row r="935">
      <c r="A935" s="2" t="n"/>
      <c r="B935" s="2" t="n"/>
      <c r="C935" s="2" t="n"/>
      <c r="D935" s="2" t="n"/>
      <c r="E935" s="2" t="n"/>
      <c r="F935" s="12" t="n"/>
      <c r="G935" s="2" t="n"/>
      <c r="H935" s="2" t="n"/>
    </row>
    <row r="936">
      <c r="A936" s="6" t="n"/>
      <c r="B936" s="6" t="n"/>
      <c r="C936" s="6" t="n"/>
      <c r="D936" s="6" t="n"/>
      <c r="E936" s="6" t="n"/>
      <c r="F936" s="14" t="n"/>
      <c r="G936" s="6" t="n"/>
      <c r="H936" s="6" t="n"/>
    </row>
    <row r="937">
      <c r="A937" s="2" t="n"/>
      <c r="B937" s="2" t="n"/>
      <c r="C937" s="2" t="n"/>
      <c r="D937" s="2" t="n"/>
      <c r="E937" s="2" t="n"/>
      <c r="F937" s="12" t="n"/>
      <c r="G937" s="2" t="n"/>
      <c r="H937" s="2" t="n"/>
    </row>
    <row r="938">
      <c r="A938" s="6" t="n"/>
      <c r="B938" s="6" t="n"/>
      <c r="C938" s="6" t="n"/>
      <c r="D938" s="6" t="n"/>
      <c r="E938" s="6" t="n"/>
      <c r="F938" s="14" t="n"/>
      <c r="G938" s="6" t="n"/>
      <c r="H938" s="6" t="n"/>
    </row>
    <row r="939">
      <c r="A939" s="2" t="n"/>
      <c r="B939" s="2" t="n"/>
      <c r="C939" s="2" t="n"/>
      <c r="D939" s="2" t="n"/>
      <c r="E939" s="2" t="n"/>
      <c r="F939" s="12" t="n"/>
      <c r="G939" s="2" t="n"/>
      <c r="H939" s="2" t="n"/>
    </row>
    <row r="940">
      <c r="A940" s="6" t="n"/>
      <c r="B940" s="6" t="n"/>
      <c r="C940" s="6" t="n"/>
      <c r="D940" s="6" t="n"/>
      <c r="E940" s="6" t="n"/>
      <c r="F940" s="14" t="n"/>
      <c r="G940" s="6" t="n"/>
      <c r="H940" s="6" t="n"/>
    </row>
    <row r="941">
      <c r="A941" s="2" t="n"/>
      <c r="B941" s="2" t="n"/>
      <c r="C941" s="2" t="n"/>
      <c r="D941" s="2" t="n"/>
      <c r="E941" s="2" t="n"/>
      <c r="F941" s="12" t="n"/>
      <c r="G941" s="2" t="n"/>
      <c r="H941" s="2" t="n"/>
    </row>
    <row r="942">
      <c r="A942" s="6" t="n"/>
      <c r="B942" s="6" t="n"/>
      <c r="C942" s="6" t="n"/>
      <c r="D942" s="6" t="n"/>
      <c r="E942" s="6" t="n"/>
      <c r="F942" s="14" t="n"/>
      <c r="G942" s="6" t="n"/>
      <c r="H942" s="6" t="n"/>
    </row>
    <row r="943">
      <c r="A943" s="2" t="n"/>
      <c r="B943" s="2" t="n"/>
      <c r="C943" s="2" t="n"/>
      <c r="D943" s="2" t="n"/>
      <c r="E943" s="2" t="n"/>
      <c r="F943" s="12" t="n"/>
      <c r="G943" s="2" t="n"/>
      <c r="H943" s="2" t="n"/>
    </row>
    <row r="944">
      <c r="A944" s="6" t="n"/>
      <c r="B944" s="6" t="n"/>
      <c r="C944" s="6" t="n"/>
      <c r="D944" s="6" t="n"/>
      <c r="E944" s="6" t="n"/>
      <c r="F944" s="14" t="n"/>
      <c r="G944" s="6" t="n"/>
      <c r="H944" s="6" t="n"/>
    </row>
    <row r="945">
      <c r="A945" s="2" t="n"/>
      <c r="B945" s="2" t="n"/>
      <c r="C945" s="2" t="n"/>
      <c r="D945" s="2" t="n"/>
      <c r="E945" s="2" t="n"/>
      <c r="F945" s="12" t="n"/>
      <c r="G945" s="2" t="n"/>
      <c r="H945" s="2" t="n"/>
    </row>
    <row r="946">
      <c r="A946" s="6" t="n"/>
      <c r="B946" s="6" t="n"/>
      <c r="C946" s="6" t="n"/>
      <c r="D946" s="6" t="n"/>
      <c r="E946" s="6" t="n"/>
      <c r="F946" s="14" t="n"/>
      <c r="G946" s="6" t="n"/>
      <c r="H946" s="6" t="n"/>
    </row>
    <row r="947">
      <c r="A947" s="2" t="n"/>
      <c r="B947" s="2" t="n"/>
      <c r="C947" s="2" t="n"/>
      <c r="D947" s="2" t="n"/>
      <c r="E947" s="2" t="n"/>
      <c r="F947" s="12" t="n"/>
      <c r="G947" s="2" t="n"/>
      <c r="H947" s="2" t="n"/>
    </row>
    <row r="948">
      <c r="A948" s="6" t="n"/>
      <c r="B948" s="6" t="n"/>
      <c r="C948" s="6" t="n"/>
      <c r="D948" s="6" t="n"/>
      <c r="E948" s="6" t="n"/>
      <c r="F948" s="14" t="n"/>
      <c r="G948" s="6" t="n"/>
      <c r="H948" s="6" t="n"/>
    </row>
    <row r="949">
      <c r="A949" s="2" t="n"/>
      <c r="B949" s="2" t="n"/>
      <c r="C949" s="2" t="n"/>
      <c r="D949" s="2" t="n"/>
      <c r="E949" s="2" t="n"/>
      <c r="F949" s="12" t="n"/>
      <c r="G949" s="2" t="n"/>
      <c r="H949" s="2" t="n"/>
    </row>
    <row r="950">
      <c r="A950" s="6" t="n"/>
      <c r="B950" s="6" t="n"/>
      <c r="C950" s="6" t="n"/>
      <c r="D950" s="6" t="n"/>
      <c r="E950" s="6" t="n"/>
      <c r="F950" s="14" t="n"/>
      <c r="G950" s="6" t="n"/>
      <c r="H950" s="6" t="n"/>
    </row>
    <row r="951">
      <c r="A951" s="2" t="n"/>
      <c r="B951" s="2" t="n"/>
      <c r="C951" s="2" t="n"/>
      <c r="D951" s="2" t="n"/>
      <c r="E951" s="2" t="n"/>
      <c r="F951" s="12" t="n"/>
      <c r="G951" s="2" t="n"/>
      <c r="H951" s="2" t="n"/>
    </row>
    <row r="952">
      <c r="A952" s="6" t="n"/>
      <c r="B952" s="6" t="n"/>
      <c r="C952" s="6" t="n"/>
      <c r="D952" s="6" t="n"/>
      <c r="E952" s="6" t="n"/>
      <c r="F952" s="14" t="n"/>
      <c r="G952" s="6" t="n"/>
      <c r="H952" s="6" t="n"/>
    </row>
    <row r="953">
      <c r="A953" s="2" t="n"/>
      <c r="B953" s="2" t="n"/>
      <c r="C953" s="2" t="n"/>
      <c r="D953" s="2" t="n"/>
      <c r="E953" s="2" t="n"/>
      <c r="F953" s="12" t="n"/>
      <c r="G953" s="2" t="n"/>
      <c r="H953" s="2" t="n"/>
    </row>
    <row r="954">
      <c r="A954" s="6" t="n"/>
      <c r="B954" s="6" t="n"/>
      <c r="C954" s="6" t="n"/>
      <c r="D954" s="6" t="n"/>
      <c r="E954" s="6" t="n"/>
      <c r="F954" s="14" t="n"/>
      <c r="G954" s="6" t="n"/>
      <c r="H954" s="6" t="n"/>
    </row>
    <row r="955">
      <c r="A955" s="2" t="n"/>
      <c r="B955" s="2" t="n"/>
      <c r="C955" s="2" t="n"/>
      <c r="D955" s="2" t="n"/>
      <c r="E955" s="2" t="n"/>
      <c r="F955" s="12" t="n"/>
      <c r="G955" s="2" t="n"/>
      <c r="H955" s="2" t="n"/>
    </row>
    <row r="956">
      <c r="A956" s="6" t="n"/>
      <c r="B956" s="6" t="n"/>
      <c r="C956" s="6" t="n"/>
      <c r="D956" s="6" t="n"/>
      <c r="E956" s="6" t="n"/>
      <c r="F956" s="14" t="n"/>
      <c r="G956" s="6" t="n"/>
      <c r="H956" s="6" t="n"/>
    </row>
    <row r="957">
      <c r="A957" s="2" t="n"/>
      <c r="B957" s="2" t="n"/>
      <c r="C957" s="2" t="n"/>
      <c r="D957" s="2" t="n"/>
      <c r="E957" s="2" t="n"/>
      <c r="F957" s="12" t="n"/>
      <c r="G957" s="2" t="n"/>
      <c r="H957" s="2" t="n"/>
    </row>
    <row r="958">
      <c r="A958" s="6" t="n"/>
      <c r="B958" s="6" t="n"/>
      <c r="C958" s="6" t="n"/>
      <c r="D958" s="6" t="n"/>
      <c r="E958" s="6" t="n"/>
      <c r="F958" s="14" t="n"/>
      <c r="G958" s="6" t="n"/>
      <c r="H958" s="6" t="n"/>
    </row>
    <row r="959">
      <c r="A959" s="2" t="n"/>
      <c r="B959" s="2" t="n"/>
      <c r="C959" s="2" t="n"/>
      <c r="D959" s="2" t="n"/>
      <c r="E959" s="2" t="n"/>
      <c r="F959" s="12" t="n"/>
      <c r="G959" s="2" t="n"/>
      <c r="H959" s="2" t="n"/>
    </row>
    <row r="960">
      <c r="A960" s="6" t="n"/>
      <c r="B960" s="6" t="n"/>
      <c r="C960" s="6" t="n"/>
      <c r="D960" s="6" t="n"/>
      <c r="E960" s="6" t="n"/>
      <c r="F960" s="14" t="n"/>
      <c r="G960" s="6" t="n"/>
      <c r="H960" s="6" t="n"/>
    </row>
    <row r="961">
      <c r="A961" s="2" t="n"/>
      <c r="B961" s="2" t="n"/>
      <c r="C961" s="2" t="n"/>
      <c r="D961" s="2" t="n"/>
      <c r="E961" s="2" t="n"/>
      <c r="F961" s="12" t="n"/>
      <c r="G961" s="2" t="n"/>
      <c r="H961" s="2" t="n"/>
    </row>
    <row r="962">
      <c r="A962" s="6" t="n"/>
      <c r="B962" s="6" t="n"/>
      <c r="C962" s="6" t="n"/>
      <c r="D962" s="6" t="n"/>
      <c r="E962" s="6" t="n"/>
      <c r="F962" s="14" t="n"/>
      <c r="G962" s="6" t="n"/>
      <c r="H962" s="6" t="n"/>
    </row>
    <row r="963">
      <c r="A963" s="2" t="n"/>
      <c r="B963" s="2" t="n"/>
      <c r="C963" s="2" t="n"/>
      <c r="D963" s="2" t="n"/>
      <c r="E963" s="2" t="n"/>
      <c r="F963" s="12" t="n"/>
      <c r="G963" s="2" t="n"/>
      <c r="H963" s="2" t="n"/>
    </row>
    <row r="964">
      <c r="A964" s="6" t="n"/>
      <c r="B964" s="6" t="n"/>
      <c r="C964" s="6" t="n"/>
      <c r="D964" s="6" t="n"/>
      <c r="E964" s="6" t="n"/>
      <c r="F964" s="14" t="n"/>
      <c r="G964" s="6" t="n"/>
      <c r="H964" s="6" t="n"/>
    </row>
    <row r="965">
      <c r="A965" s="2" t="n"/>
      <c r="B965" s="2" t="n"/>
      <c r="C965" s="2" t="n"/>
      <c r="D965" s="2" t="n"/>
      <c r="E965" s="2" t="n"/>
      <c r="F965" s="12" t="n"/>
      <c r="G965" s="2" t="n"/>
      <c r="H965" s="2" t="n"/>
    </row>
    <row r="966">
      <c r="A966" s="6" t="n"/>
      <c r="B966" s="6" t="n"/>
      <c r="C966" s="6" t="n"/>
      <c r="D966" s="6" t="n"/>
      <c r="E966" s="6" t="n"/>
      <c r="F966" s="14" t="n"/>
      <c r="G966" s="6" t="n"/>
      <c r="H966" s="6" t="n"/>
    </row>
    <row r="967">
      <c r="A967" s="2" t="n"/>
      <c r="B967" s="2" t="n"/>
      <c r="C967" s="2" t="n"/>
      <c r="D967" s="2" t="n"/>
      <c r="E967" s="2" t="n"/>
      <c r="F967" s="12" t="n"/>
      <c r="G967" s="2" t="n"/>
      <c r="H967" s="2" t="n"/>
    </row>
    <row r="968">
      <c r="A968" s="6" t="n"/>
      <c r="B968" s="6" t="n"/>
      <c r="C968" s="6" t="n"/>
      <c r="D968" s="6" t="n"/>
      <c r="E968" s="6" t="n"/>
      <c r="F968" s="14" t="n"/>
      <c r="G968" s="6" t="n"/>
      <c r="H968" s="6" t="n"/>
    </row>
    <row r="969">
      <c r="A969" s="2" t="n"/>
      <c r="B969" s="2" t="n"/>
      <c r="C969" s="2" t="n"/>
      <c r="D969" s="2" t="n"/>
      <c r="E969" s="2" t="n"/>
      <c r="F969" s="12" t="n"/>
      <c r="G969" s="2" t="n"/>
      <c r="H969" s="2" t="n"/>
    </row>
    <row r="970">
      <c r="A970" s="6" t="n"/>
      <c r="B970" s="6" t="n"/>
      <c r="C970" s="6" t="n"/>
      <c r="D970" s="6" t="n"/>
      <c r="E970" s="6" t="n"/>
      <c r="F970" s="14" t="n"/>
      <c r="G970" s="6" t="n"/>
      <c r="H970" s="6" t="n"/>
    </row>
    <row r="971">
      <c r="A971" s="2" t="n"/>
      <c r="B971" s="2" t="n"/>
      <c r="C971" s="2" t="n"/>
      <c r="D971" s="2" t="n"/>
      <c r="E971" s="2" t="n"/>
      <c r="F971" s="12" t="n"/>
      <c r="G971" s="2" t="n"/>
      <c r="H971" s="2" t="n"/>
    </row>
    <row r="972">
      <c r="A972" s="6" t="n"/>
      <c r="B972" s="6" t="n"/>
      <c r="C972" s="6" t="n"/>
      <c r="D972" s="6" t="n"/>
      <c r="E972" s="6" t="n"/>
      <c r="F972" s="14" t="n"/>
      <c r="G972" s="6" t="n"/>
      <c r="H972" s="6" t="n"/>
    </row>
    <row r="973">
      <c r="A973" s="2" t="n"/>
      <c r="B973" s="2" t="n"/>
      <c r="C973" s="2" t="n"/>
      <c r="D973" s="2" t="n"/>
      <c r="E973" s="2" t="n"/>
      <c r="F973" s="12" t="n"/>
      <c r="G973" s="2" t="n"/>
      <c r="H973" s="2" t="n"/>
    </row>
    <row r="974">
      <c r="A974" s="6" t="n"/>
      <c r="B974" s="6" t="n"/>
      <c r="C974" s="6" t="n"/>
      <c r="D974" s="6" t="n"/>
      <c r="E974" s="6" t="n"/>
      <c r="F974" s="14" t="n"/>
      <c r="G974" s="6" t="n"/>
      <c r="H974" s="6" t="n"/>
    </row>
    <row r="975">
      <c r="A975" s="2" t="n"/>
      <c r="B975" s="2" t="n"/>
      <c r="C975" s="2" t="n"/>
      <c r="D975" s="2" t="n"/>
      <c r="E975" s="2" t="n"/>
      <c r="F975" s="12" t="n"/>
      <c r="G975" s="2" t="n"/>
      <c r="H975" s="2" t="n"/>
    </row>
    <row r="976">
      <c r="A976" s="6" t="n"/>
      <c r="B976" s="6" t="n"/>
      <c r="C976" s="6" t="n"/>
      <c r="D976" s="6" t="n"/>
      <c r="E976" s="6" t="n"/>
      <c r="F976" s="14" t="n"/>
      <c r="G976" s="6" t="n"/>
      <c r="H976" s="6" t="n"/>
    </row>
    <row r="977">
      <c r="A977" s="2" t="n"/>
      <c r="B977" s="2" t="n"/>
      <c r="C977" s="2" t="n"/>
      <c r="D977" s="2" t="n"/>
      <c r="E977" s="2" t="n"/>
      <c r="F977" s="12" t="n"/>
      <c r="G977" s="2" t="n"/>
      <c r="H977" s="2" t="n"/>
    </row>
    <row r="978">
      <c r="A978" s="6" t="n"/>
      <c r="B978" s="6" t="n"/>
      <c r="C978" s="6" t="n"/>
      <c r="D978" s="6" t="n"/>
      <c r="E978" s="6" t="n"/>
      <c r="F978" s="14" t="n"/>
      <c r="G978" s="6" t="n"/>
      <c r="H978" s="6" t="n"/>
    </row>
    <row r="979">
      <c r="A979" s="2" t="n"/>
      <c r="B979" s="2" t="n"/>
      <c r="C979" s="2" t="n"/>
      <c r="D979" s="2" t="n"/>
      <c r="E979" s="2" t="n"/>
      <c r="F979" s="12" t="n"/>
      <c r="G979" s="2" t="n"/>
      <c r="H979" s="2" t="n"/>
    </row>
    <row r="980">
      <c r="A980" s="6" t="n"/>
      <c r="B980" s="6" t="n"/>
      <c r="C980" s="6" t="n"/>
      <c r="D980" s="6" t="n"/>
      <c r="E980" s="6" t="n"/>
      <c r="F980" s="14" t="n"/>
      <c r="G980" s="6" t="n"/>
      <c r="H980" s="6" t="n"/>
    </row>
    <row r="981">
      <c r="A981" s="2" t="n"/>
      <c r="B981" s="2" t="n"/>
      <c r="C981" s="2" t="n"/>
      <c r="D981" s="2" t="n"/>
      <c r="E981" s="2" t="n"/>
      <c r="F981" s="12" t="n"/>
      <c r="G981" s="2" t="n"/>
      <c r="H981" s="2" t="n"/>
    </row>
    <row r="982">
      <c r="A982" s="6" t="n"/>
      <c r="B982" s="6" t="n"/>
      <c r="C982" s="6" t="n"/>
      <c r="D982" s="6" t="n"/>
      <c r="E982" s="6" t="n"/>
      <c r="F982" s="14" t="n"/>
      <c r="G982" s="6" t="n"/>
      <c r="H982" s="6" t="n"/>
    </row>
    <row r="983">
      <c r="A983" s="2" t="n"/>
      <c r="B983" s="2" t="n"/>
      <c r="C983" s="2" t="n"/>
      <c r="D983" s="2" t="n"/>
      <c r="E983" s="2" t="n"/>
      <c r="F983" s="12" t="n"/>
      <c r="G983" s="2" t="n"/>
      <c r="H983" s="2" t="n"/>
    </row>
    <row r="984">
      <c r="A984" s="6" t="n"/>
      <c r="B984" s="6" t="n"/>
      <c r="C984" s="6" t="n"/>
      <c r="D984" s="6" t="n"/>
      <c r="E984" s="6" t="n"/>
      <c r="F984" s="14" t="n"/>
      <c r="G984" s="6" t="n"/>
      <c r="H984" s="6" t="n"/>
    </row>
    <row r="985">
      <c r="A985" s="2" t="n"/>
      <c r="B985" s="2" t="n"/>
      <c r="C985" s="2" t="n"/>
      <c r="D985" s="2" t="n"/>
      <c r="E985" s="2" t="n"/>
      <c r="F985" s="12" t="n"/>
      <c r="G985" s="2" t="n"/>
      <c r="H985" s="2" t="n"/>
    </row>
    <row r="986">
      <c r="A986" s="6" t="n"/>
      <c r="B986" s="6" t="n"/>
      <c r="C986" s="6" t="n"/>
      <c r="D986" s="6" t="n"/>
      <c r="E986" s="6" t="n"/>
      <c r="F986" s="14" t="n"/>
      <c r="G986" s="6" t="n"/>
      <c r="H986" s="6" t="n"/>
    </row>
    <row r="987">
      <c r="A987" s="2" t="n"/>
      <c r="B987" s="2" t="n"/>
      <c r="C987" s="2" t="n"/>
      <c r="D987" s="2" t="n"/>
      <c r="E987" s="2" t="n"/>
      <c r="F987" s="12" t="n"/>
      <c r="G987" s="2" t="n"/>
      <c r="H987" s="2" t="n"/>
    </row>
    <row r="988">
      <c r="A988" s="6" t="n"/>
      <c r="B988" s="6" t="n"/>
      <c r="C988" s="6" t="n"/>
      <c r="D988" s="6" t="n"/>
      <c r="E988" s="6" t="n"/>
      <c r="F988" s="14" t="n"/>
      <c r="G988" s="6" t="n"/>
      <c r="H988" s="6" t="n"/>
    </row>
    <row r="989">
      <c r="A989" s="2" t="n"/>
      <c r="B989" s="2" t="n"/>
      <c r="C989" s="2" t="n"/>
      <c r="D989" s="2" t="n"/>
      <c r="E989" s="2" t="n"/>
      <c r="F989" s="12" t="n"/>
      <c r="G989" s="2" t="n"/>
      <c r="H989" s="2" t="n"/>
    </row>
    <row r="990">
      <c r="A990" s="6" t="n"/>
      <c r="B990" s="6" t="n"/>
      <c r="C990" s="6" t="n"/>
      <c r="D990" s="6" t="n"/>
      <c r="E990" s="6" t="n"/>
      <c r="F990" s="14" t="n"/>
      <c r="G990" s="6" t="n"/>
      <c r="H990" s="6" t="n"/>
    </row>
    <row r="991">
      <c r="A991" s="2" t="n"/>
      <c r="B991" s="2" t="n"/>
      <c r="C991" s="2" t="n"/>
      <c r="D991" s="2" t="n"/>
      <c r="E991" s="2" t="n"/>
      <c r="F991" s="12" t="n"/>
      <c r="G991" s="2" t="n"/>
      <c r="H991" s="2" t="n"/>
    </row>
    <row r="992">
      <c r="A992" s="6" t="n"/>
      <c r="B992" s="6" t="n"/>
      <c r="C992" s="6" t="n"/>
      <c r="D992" s="6" t="n"/>
      <c r="E992" s="6" t="n"/>
      <c r="F992" s="14" t="n"/>
      <c r="G992" s="6" t="n"/>
      <c r="H992" s="6" t="n"/>
    </row>
    <row r="993">
      <c r="A993" s="2" t="n"/>
      <c r="B993" s="2" t="n"/>
      <c r="C993" s="2" t="n"/>
      <c r="D993" s="2" t="n"/>
      <c r="E993" s="2" t="n"/>
      <c r="F993" s="12" t="n"/>
      <c r="G993" s="2" t="n"/>
      <c r="H993" s="2" t="n"/>
    </row>
    <row r="994">
      <c r="A994" s="6" t="n"/>
      <c r="B994" s="6" t="n"/>
      <c r="C994" s="6" t="n"/>
      <c r="D994" s="6" t="n"/>
      <c r="E994" s="6" t="n"/>
      <c r="F994" s="14" t="n"/>
      <c r="G994" s="6" t="n"/>
      <c r="H994" s="6" t="n"/>
    </row>
    <row r="995">
      <c r="A995" s="2" t="n"/>
      <c r="B995" s="2" t="n"/>
      <c r="C995" s="2" t="n"/>
      <c r="D995" s="2" t="n"/>
      <c r="E995" s="2" t="n"/>
      <c r="F995" s="12" t="n"/>
      <c r="G995" s="2" t="n"/>
      <c r="H995" s="2" t="n"/>
    </row>
    <row r="996">
      <c r="A996" s="6" t="n"/>
      <c r="B996" s="6" t="n"/>
      <c r="C996" s="6" t="n"/>
      <c r="D996" s="6" t="n"/>
      <c r="E996" s="6" t="n"/>
      <c r="F996" s="14" t="n"/>
      <c r="G996" s="6" t="n"/>
      <c r="H996" s="6" t="n"/>
    </row>
    <row r="997">
      <c r="A997" s="2" t="n"/>
      <c r="B997" s="2" t="n"/>
      <c r="C997" s="2" t="n"/>
      <c r="D997" s="2" t="n"/>
      <c r="E997" s="2" t="n"/>
      <c r="F997" s="12" t="n"/>
      <c r="G997" s="2" t="n"/>
      <c r="H997" s="2" t="n"/>
    </row>
    <row r="998">
      <c r="A998" s="6" t="n"/>
      <c r="B998" s="6" t="n"/>
      <c r="C998" s="6" t="n"/>
      <c r="D998" s="6" t="n"/>
      <c r="E998" s="6" t="n"/>
      <c r="F998" s="14" t="n"/>
      <c r="G998" s="6" t="n"/>
      <c r="H998" s="6" t="n"/>
    </row>
    <row r="999">
      <c r="A999" s="2" t="n"/>
      <c r="B999" s="2" t="n"/>
      <c r="C999" s="2" t="n"/>
      <c r="D999" s="2" t="n"/>
      <c r="E999" s="2" t="n"/>
      <c r="F999" s="12" t="n"/>
      <c r="G999" s="2" t="n"/>
      <c r="H999" s="2" t="n"/>
    </row>
    <row r="1000">
      <c r="A1000" s="6" t="n"/>
      <c r="B1000" s="6" t="n"/>
      <c r="C1000" s="6" t="n"/>
      <c r="D1000" s="6" t="n"/>
      <c r="E1000" s="6" t="n"/>
      <c r="F1000" s="14" t="n"/>
      <c r="G1000" s="6" t="n"/>
      <c r="H1000" s="6" t="n"/>
    </row>
    <row r="1001">
      <c r="A1001" s="2" t="n"/>
      <c r="B1001" s="2" t="n"/>
      <c r="C1001" s="2" t="n"/>
      <c r="D1001" s="2" t="n"/>
      <c r="E1001" s="2" t="n"/>
      <c r="F1001" s="12" t="n"/>
      <c r="G1001" s="2" t="n"/>
      <c r="H1001" s="2" t="n"/>
    </row>
    <row r="1002">
      <c r="A1002" s="6" t="n"/>
      <c r="B1002" s="6" t="n"/>
      <c r="C1002" s="6" t="n"/>
      <c r="D1002" s="6" t="n"/>
      <c r="E1002" s="6" t="n"/>
      <c r="F1002" s="14" t="n"/>
      <c r="G1002" s="6" t="n"/>
      <c r="H1002" s="6" t="n"/>
    </row>
    <row r="1003">
      <c r="A1003" s="2" t="n"/>
      <c r="B1003" s="2" t="n"/>
      <c r="C1003" s="2" t="n"/>
      <c r="D1003" s="2" t="n"/>
      <c r="E1003" s="2" t="n"/>
      <c r="F1003" s="12" t="n"/>
      <c r="G1003" s="2" t="n"/>
      <c r="H1003" s="2" t="n"/>
    </row>
    <row r="1004">
      <c r="A1004" s="6" t="n"/>
      <c r="B1004" s="6" t="n"/>
      <c r="C1004" s="6" t="n"/>
      <c r="D1004" s="6" t="n"/>
      <c r="E1004" s="6" t="n"/>
      <c r="F1004" s="14" t="n"/>
      <c r="G1004" s="6" t="n"/>
      <c r="H1004" s="6" t="n"/>
    </row>
  </sheetData>
  <autoFilter ref="A4:H504"/>
  <dataValidations count="2">
    <dataValidation sqref="D5:D504" showDropDown="0" showInputMessage="0" showErrorMessage="0" allowBlank="1" type="list">
      <formula1>"Email,Mail,Both,Do Not Bill"</formula1>
    </dataValidation>
    <dataValidation sqref="E5:E504" showDropDown="0" showInputMessage="0" showErrorMessage="0" allowBlank="1" type="list">
      <formula1>"Not Sent,Sent,Delivered,Bounced,Returned,Printed,Mailed"</formula1>
    </dataValidation>
  </dataValidation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90" customWidth="1" min="3" max="3"/>
  </cols>
  <sheetData>
    <row r="1">
      <c r="A1" s="1" t="inlineStr">
        <is>
          <t>Macro Blueprint for Future .xlsm Version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1" t="inlineStr">
        <is>
          <t>Button / Macro</t>
        </is>
      </c>
      <c r="B4" s="11" t="inlineStr">
        <is>
          <t>Purpose</t>
        </is>
      </c>
      <c r="C4" s="11" t="inlineStr">
        <is>
          <t>Recommended Behavior</t>
        </is>
      </c>
      <c r="D4" s="2" t="n"/>
    </row>
    <row r="5">
      <c r="A5" s="5" t="inlineStr">
        <is>
          <t>Generate Quarterly Billing</t>
        </is>
      </c>
      <c r="B5" s="5" t="inlineStr">
        <is>
          <t>Create a clean billing run for the selected quarter.</t>
        </is>
      </c>
      <c r="C5" s="5" t="inlineStr">
        <is>
          <t>Clear prior draft rows after confirmation, loop through active Units_Owners rows, assign invoice numbers, copy dues/special assessment, calculate prior balance, and set status to Draft/Open.</t>
        </is>
      </c>
      <c r="D5" s="2" t="n"/>
    </row>
    <row r="6">
      <c r="A6" s="5" t="inlineStr">
        <is>
          <t>Export Invoices to PDF</t>
        </is>
      </c>
      <c r="B6" s="5" t="inlineStr">
        <is>
          <t>Save one PDF per invoice from Invoice_Template.</t>
        </is>
      </c>
      <c r="C6" s="5" t="inlineStr">
        <is>
          <t>Loop through Quarterly_Billing_Run rows where status is Open or Sent, place invoice number into Invoice_Template!B3, export print area to PDF using file names like 2026_Q1_Unit_101_Owner.pdf.</t>
        </is>
      </c>
      <c r="D6" s="6" t="n"/>
    </row>
    <row r="7">
      <c r="A7" s="5" t="inlineStr">
        <is>
          <t>Mark Billing Run as Sent</t>
        </is>
      </c>
      <c r="B7" s="5" t="inlineStr">
        <is>
          <t>Lock in the send/print step.</t>
        </is>
      </c>
      <c r="C7" s="5" t="inlineStr">
        <is>
          <t>Update Sent Date, status, and Print_Email_Log for all selected invoices; optionally prevent duplicate send without confirmation.</t>
        </is>
      </c>
      <c r="D7" s="2" t="n"/>
    </row>
    <row r="8">
      <c r="A8" s="5" t="inlineStr">
        <is>
          <t>Apply Late Fees</t>
        </is>
      </c>
      <c r="B8" s="5" t="inlineStr">
        <is>
          <t>Add approved late fees after due date.</t>
        </is>
      </c>
      <c r="C8" s="5" t="inlineStr">
        <is>
          <t>For invoices still open after Setup!Late Fee Date, add the configured late fee once, update balance/status, and add a ledger row.</t>
        </is>
      </c>
      <c r="D8" s="6" t="n"/>
    </row>
    <row r="9">
      <c r="A9" s="5" t="inlineStr">
        <is>
          <t>Generate Owner Statements</t>
        </is>
      </c>
      <c r="B9" s="5" t="inlineStr">
        <is>
          <t>Create statements by unit for owners with open balances.</t>
        </is>
      </c>
      <c r="C9" s="5" t="inlineStr">
        <is>
          <t>Filter Ledger by Unit ID, populate Owner_Statement, export or print statements for delinquency review.</t>
        </is>
      </c>
      <c r="D9" s="2" t="n"/>
    </row>
    <row r="10">
      <c r="A10" s="6" t="n"/>
      <c r="B10" s="6" t="n"/>
      <c r="C10" s="6" t="n"/>
      <c r="D10" s="6" t="n"/>
    </row>
    <row r="11">
      <c r="A11" s="2" t="n"/>
      <c r="B11" s="2" t="n"/>
      <c r="C11" s="2" t="n"/>
      <c r="D11" s="2" t="n"/>
    </row>
    <row r="12">
      <c r="A12" s="4" t="inlineStr">
        <is>
          <t>Note</t>
        </is>
      </c>
      <c r="B12" s="2" t="inlineStr">
        <is>
          <t>After you approve this workbook layout, the next step is to convert it to .xlsm and add these macros as real Excel buttons.</t>
        </is>
      </c>
      <c r="C12" s="6" t="n"/>
      <c r="D12" s="6" t="n"/>
    </row>
    <row r="13">
      <c r="A13" s="2" t="n"/>
      <c r="B13" s="2" t="n"/>
      <c r="C13" s="2" t="n"/>
      <c r="D13" s="2" t="n"/>
    </row>
    <row r="14">
      <c r="A14" s="6" t="n"/>
      <c r="B14" s="6" t="n"/>
      <c r="C14" s="6" t="n"/>
      <c r="D14" s="6" t="n"/>
    </row>
    <row r="15">
      <c r="A15" s="2" t="n"/>
      <c r="B15" s="2" t="n"/>
      <c r="C15" s="2" t="n"/>
      <c r="D15" s="2" t="n"/>
    </row>
    <row r="16">
      <c r="A16" s="6" t="n"/>
      <c r="B16" s="6" t="n"/>
      <c r="C16" s="6" t="n"/>
      <c r="D16" s="6" t="n"/>
    </row>
    <row r="17">
      <c r="A17" s="2" t="n"/>
      <c r="B17" s="2" t="n"/>
      <c r="C17" s="2" t="n"/>
      <c r="D17" s="2" t="n"/>
    </row>
    <row r="18">
      <c r="A18" s="6" t="n"/>
      <c r="B18" s="6" t="n"/>
      <c r="C18" s="6" t="n"/>
      <c r="D18" s="6" t="n"/>
    </row>
    <row r="19">
      <c r="A19" s="2" t="n"/>
      <c r="B19" s="2" t="n"/>
      <c r="C19" s="2" t="n"/>
      <c r="D19" s="2" t="n"/>
    </row>
    <row r="20">
      <c r="A20" s="6" t="n"/>
      <c r="B20" s="6" t="n"/>
      <c r="C20" s="6" t="n"/>
      <c r="D20" s="6" t="n"/>
    </row>
    <row r="21">
      <c r="A21" s="2" t="n"/>
      <c r="B21" s="2" t="n"/>
      <c r="C21" s="2" t="n"/>
      <c r="D21" s="2" t="n"/>
    </row>
    <row r="22">
      <c r="A22" s="6" t="n"/>
      <c r="B22" s="6" t="n"/>
      <c r="C22" s="6" t="n"/>
      <c r="D22" s="6" t="n"/>
    </row>
    <row r="23">
      <c r="A23" s="2" t="n"/>
      <c r="B23" s="2" t="n"/>
      <c r="C23" s="2" t="n"/>
      <c r="D23" s="2" t="n"/>
    </row>
    <row r="24">
      <c r="A24" s="6" t="n"/>
      <c r="B24" s="6" t="n"/>
      <c r="C24" s="6" t="n"/>
      <c r="D24" s="6" t="n"/>
    </row>
    <row r="25">
      <c r="A25" s="2" t="n"/>
      <c r="B25" s="2" t="n"/>
      <c r="C25" s="2" t="n"/>
      <c r="D25" s="2" t="n"/>
    </row>
    <row r="26">
      <c r="A26" s="6" t="n"/>
      <c r="B26" s="6" t="n"/>
      <c r="C26" s="6" t="n"/>
      <c r="D26" s="6" t="n"/>
    </row>
    <row r="27">
      <c r="A27" s="2" t="n"/>
      <c r="B27" s="2" t="n"/>
      <c r="C27" s="2" t="n"/>
      <c r="D27" s="2" t="n"/>
    </row>
    <row r="28">
      <c r="A28" s="6" t="n"/>
      <c r="B28" s="6" t="n"/>
      <c r="C28" s="6" t="n"/>
      <c r="D28" s="6" t="n"/>
    </row>
    <row r="29">
      <c r="A29" s="2" t="n"/>
      <c r="B29" s="2" t="n"/>
      <c r="C29" s="2" t="n"/>
      <c r="D29" s="2" t="n"/>
    </row>
    <row r="30">
      <c r="A30" s="6" t="n"/>
      <c r="B30" s="6" t="n"/>
      <c r="C30" s="6" t="n"/>
      <c r="D30" s="6" t="n"/>
    </row>
  </sheetData>
  <mergeCells count="1">
    <mergeCell ref="B12:C1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 Cloud Agent</dc:creator>
  <dc:title>HOA Quarterly Billing System</dc:title>
  <dc:subject>Quarterly HOA billing workbook</dc:subject>
  <dcterms:created xsi:type="dcterms:W3CDTF">2026-06-12T19:06:31Z</dcterms:created>
  <dcterms:modified xsi:type="dcterms:W3CDTF">2026-06-12T19:06:33Z</dcterms:modified>
</cp:coreProperties>
</file>